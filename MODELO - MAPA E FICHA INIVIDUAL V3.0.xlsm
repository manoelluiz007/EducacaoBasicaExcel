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filterPrivacy="1" codeName="EstaPastaDeTrabalho"/>
  <xr:revisionPtr revIDLastSave="0" documentId="13_ncr:1_{80C61D91-5423-4993-B047-A01EF7F35F14}" xr6:coauthVersionLast="47" xr6:coauthVersionMax="47" xr10:uidLastSave="{00000000-0000-0000-0000-000000000000}"/>
  <bookViews>
    <workbookView showSheetTabs="0" xWindow="-120" yWindow="-120" windowWidth="20730" windowHeight="11040" tabRatio="714" xr2:uid="{00000000-000D-0000-FFFF-FFFF00000000}"/>
  </bookViews>
  <sheets>
    <sheet name="MENU" sheetId="6" r:id="rId1"/>
    <sheet name="NOTAS" sheetId="9" r:id="rId2"/>
    <sheet name="PRESENCA" sheetId="10" r:id="rId3"/>
    <sheet name="MAPADERENDIMENTO" sheetId="1" r:id="rId4"/>
    <sheet name="FICHAINDIVIDUAL" sheetId="4" r:id="rId5"/>
    <sheet name="Conversor" sheetId="5" r:id="rId6"/>
    <sheet name="Tabela" sheetId="11" r:id="rId7"/>
  </sheets>
  <definedNames>
    <definedName name="_xlnm.Print_Area" localSheetId="0">MENU!$A$1:$AP$39</definedName>
    <definedName name="_xlnm.Print_Area" localSheetId="1">NOTAS!$A$1:$AP$37</definedName>
    <definedName name="_xlnm.Print_Area" localSheetId="2">PRESENCA!$A$1:$W$37</definedName>
    <definedName name="_xlnm.Print_Titles" localSheetId="3">MAPADERENDIMENTO!$1:$9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9" l="1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P9" i="9"/>
  <c r="AP10" i="9"/>
  <c r="AP11" i="9"/>
  <c r="AP12" i="9"/>
  <c r="AP13" i="9"/>
  <c r="AP14" i="9"/>
  <c r="AP15" i="9"/>
  <c r="AP16" i="9"/>
  <c r="AP17" i="9"/>
  <c r="AP18" i="9"/>
  <c r="AP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8" i="9"/>
  <c r="AP10" i="6" s="1"/>
  <c r="AK8" i="9"/>
  <c r="AK10" i="6" s="1"/>
  <c r="AF8" i="9"/>
  <c r="AA8" i="9"/>
  <c r="AA10" i="6" s="1"/>
  <c r="V8" i="9"/>
  <c r="Q8" i="9"/>
  <c r="Q10" i="6" s="1"/>
  <c r="L8" i="9"/>
  <c r="L10" i="6" s="1"/>
  <c r="G8" i="9"/>
  <c r="G10" i="6" s="1"/>
  <c r="C11" i="6"/>
  <c r="D11" i="6"/>
  <c r="E11" i="6"/>
  <c r="F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AP16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O10" i="6"/>
  <c r="AN10" i="6"/>
  <c r="AM10" i="6"/>
  <c r="AL10" i="6"/>
  <c r="AJ10" i="6"/>
  <c r="AI10" i="6"/>
  <c r="AH10" i="6"/>
  <c r="AG10" i="6"/>
  <c r="AF10" i="6"/>
  <c r="AE10" i="6"/>
  <c r="AD10" i="6"/>
  <c r="AC10" i="6"/>
  <c r="AB10" i="6"/>
  <c r="Z10" i="6"/>
  <c r="Y10" i="6"/>
  <c r="X10" i="6"/>
  <c r="W10" i="6"/>
  <c r="V10" i="6"/>
  <c r="U10" i="6"/>
  <c r="T10" i="6"/>
  <c r="S10" i="6"/>
  <c r="R10" i="6"/>
  <c r="P10" i="6"/>
  <c r="O10" i="6"/>
  <c r="N10" i="6"/>
  <c r="M10" i="6"/>
  <c r="K10" i="6"/>
  <c r="J10" i="6"/>
  <c r="I10" i="6"/>
  <c r="H10" i="6"/>
  <c r="F10" i="6"/>
  <c r="E10" i="6"/>
  <c r="D10" i="6"/>
  <c r="C10" i="6"/>
  <c r="H4" i="5" l="1"/>
  <c r="B4" i="11" l="1"/>
  <c r="D4" i="11"/>
  <c r="B5" i="11" s="1"/>
  <c r="C4" i="11"/>
  <c r="C5" i="11" s="1"/>
  <c r="C6" i="11" s="1"/>
  <c r="D5" i="11" l="1"/>
  <c r="B6" i="11" s="1"/>
  <c r="C2" i="10" l="1"/>
  <c r="C3" i="10"/>
  <c r="C4" i="10"/>
  <c r="C5" i="10"/>
  <c r="C1" i="10"/>
  <c r="C1" i="6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8" i="10"/>
  <c r="B10" i="6"/>
  <c r="T9" i="10"/>
  <c r="AR9" i="9" s="1"/>
  <c r="U9" i="10"/>
  <c r="AS9" i="9" s="1"/>
  <c r="V9" i="10"/>
  <c r="AT9" i="9" s="1"/>
  <c r="W9" i="10"/>
  <c r="AU9" i="9" s="1"/>
  <c r="T10" i="10"/>
  <c r="AR10" i="9" s="1"/>
  <c r="U10" i="10"/>
  <c r="AS10" i="9" s="1"/>
  <c r="V10" i="10"/>
  <c r="AT10" i="9" s="1"/>
  <c r="W10" i="10"/>
  <c r="AU10" i="9" s="1"/>
  <c r="T11" i="10"/>
  <c r="AR11" i="9" s="1"/>
  <c r="U11" i="10"/>
  <c r="AS11" i="9" s="1"/>
  <c r="V11" i="10"/>
  <c r="AT11" i="9" s="1"/>
  <c r="W11" i="10"/>
  <c r="AU11" i="9" s="1"/>
  <c r="T12" i="10"/>
  <c r="AR12" i="9" s="1"/>
  <c r="U12" i="10"/>
  <c r="AS12" i="9" s="1"/>
  <c r="V12" i="10"/>
  <c r="AT12" i="9" s="1"/>
  <c r="W12" i="10"/>
  <c r="AU12" i="9" s="1"/>
  <c r="T13" i="10"/>
  <c r="AR13" i="9" s="1"/>
  <c r="U13" i="10"/>
  <c r="AS13" i="9" s="1"/>
  <c r="V13" i="10"/>
  <c r="AT13" i="9" s="1"/>
  <c r="W13" i="10"/>
  <c r="AU13" i="9" s="1"/>
  <c r="T14" i="10"/>
  <c r="AR14" i="9" s="1"/>
  <c r="U14" i="10"/>
  <c r="AS14" i="9" s="1"/>
  <c r="V14" i="10"/>
  <c r="AT14" i="9" s="1"/>
  <c r="W14" i="10"/>
  <c r="AU14" i="9" s="1"/>
  <c r="T15" i="10"/>
  <c r="AR15" i="9" s="1"/>
  <c r="U15" i="10"/>
  <c r="AS15" i="9" s="1"/>
  <c r="V15" i="10"/>
  <c r="AT15" i="9" s="1"/>
  <c r="W15" i="10"/>
  <c r="AU15" i="9" s="1"/>
  <c r="T16" i="10"/>
  <c r="AR16" i="9" s="1"/>
  <c r="U16" i="10"/>
  <c r="AS16" i="9" s="1"/>
  <c r="V16" i="10"/>
  <c r="AT16" i="9" s="1"/>
  <c r="W16" i="10"/>
  <c r="AU16" i="9" s="1"/>
  <c r="T17" i="10"/>
  <c r="AR17" i="9" s="1"/>
  <c r="U17" i="10"/>
  <c r="AS17" i="9" s="1"/>
  <c r="V17" i="10"/>
  <c r="AT17" i="9" s="1"/>
  <c r="W17" i="10"/>
  <c r="AU17" i="9" s="1"/>
  <c r="T18" i="10"/>
  <c r="AR18" i="9" s="1"/>
  <c r="U18" i="10"/>
  <c r="AS18" i="9" s="1"/>
  <c r="V18" i="10"/>
  <c r="AT18" i="9" s="1"/>
  <c r="W18" i="10"/>
  <c r="AU18" i="9" s="1"/>
  <c r="T19" i="10"/>
  <c r="AR19" i="9" s="1"/>
  <c r="U19" i="10"/>
  <c r="AS19" i="9" s="1"/>
  <c r="V19" i="10"/>
  <c r="AT19" i="9" s="1"/>
  <c r="W19" i="10"/>
  <c r="AU19" i="9" s="1"/>
  <c r="T20" i="10"/>
  <c r="AR20" i="9" s="1"/>
  <c r="U20" i="10"/>
  <c r="AS20" i="9" s="1"/>
  <c r="V20" i="10"/>
  <c r="AT20" i="9" s="1"/>
  <c r="W20" i="10"/>
  <c r="AU20" i="9" s="1"/>
  <c r="T21" i="10"/>
  <c r="AR21" i="9" s="1"/>
  <c r="U21" i="10"/>
  <c r="AS21" i="9" s="1"/>
  <c r="V21" i="10"/>
  <c r="AT21" i="9" s="1"/>
  <c r="W21" i="10"/>
  <c r="AU21" i="9" s="1"/>
  <c r="T22" i="10"/>
  <c r="AR22" i="9" s="1"/>
  <c r="U22" i="10"/>
  <c r="AS22" i="9" s="1"/>
  <c r="V22" i="10"/>
  <c r="AT22" i="9" s="1"/>
  <c r="W22" i="10"/>
  <c r="AU22" i="9" s="1"/>
  <c r="T23" i="10"/>
  <c r="AR23" i="9" s="1"/>
  <c r="U23" i="10"/>
  <c r="AS23" i="9" s="1"/>
  <c r="V23" i="10"/>
  <c r="AT23" i="9" s="1"/>
  <c r="W23" i="10"/>
  <c r="AU23" i="9" s="1"/>
  <c r="T24" i="10"/>
  <c r="AR24" i="9" s="1"/>
  <c r="U24" i="10"/>
  <c r="AS24" i="9" s="1"/>
  <c r="V24" i="10"/>
  <c r="AT24" i="9" s="1"/>
  <c r="W24" i="10"/>
  <c r="AU24" i="9" s="1"/>
  <c r="T25" i="10"/>
  <c r="AR25" i="9" s="1"/>
  <c r="U25" i="10"/>
  <c r="AS25" i="9" s="1"/>
  <c r="V25" i="10"/>
  <c r="AT25" i="9" s="1"/>
  <c r="W25" i="10"/>
  <c r="AU25" i="9" s="1"/>
  <c r="T26" i="10"/>
  <c r="AR26" i="9" s="1"/>
  <c r="U26" i="10"/>
  <c r="AS26" i="9" s="1"/>
  <c r="V26" i="10"/>
  <c r="AT26" i="9" s="1"/>
  <c r="W26" i="10"/>
  <c r="AU26" i="9" s="1"/>
  <c r="T27" i="10"/>
  <c r="AR27" i="9" s="1"/>
  <c r="U27" i="10"/>
  <c r="AS27" i="9" s="1"/>
  <c r="V27" i="10"/>
  <c r="AT27" i="9" s="1"/>
  <c r="W27" i="10"/>
  <c r="AU27" i="9" s="1"/>
  <c r="T28" i="10"/>
  <c r="AR28" i="9" s="1"/>
  <c r="U28" i="10"/>
  <c r="AS28" i="9" s="1"/>
  <c r="V28" i="10"/>
  <c r="AT28" i="9" s="1"/>
  <c r="W28" i="10"/>
  <c r="AU28" i="9" s="1"/>
  <c r="T29" i="10"/>
  <c r="AR29" i="9" s="1"/>
  <c r="U29" i="10"/>
  <c r="AS29" i="9" s="1"/>
  <c r="V29" i="10"/>
  <c r="AT29" i="9" s="1"/>
  <c r="W29" i="10"/>
  <c r="AU29" i="9" s="1"/>
  <c r="T30" i="10"/>
  <c r="AR30" i="9" s="1"/>
  <c r="U30" i="10"/>
  <c r="AS30" i="9" s="1"/>
  <c r="V30" i="10"/>
  <c r="AT30" i="9" s="1"/>
  <c r="W30" i="10"/>
  <c r="AU30" i="9" s="1"/>
  <c r="T31" i="10"/>
  <c r="AR31" i="9" s="1"/>
  <c r="U31" i="10"/>
  <c r="AS31" i="9" s="1"/>
  <c r="V31" i="10"/>
  <c r="AT31" i="9" s="1"/>
  <c r="W31" i="10"/>
  <c r="AU31" i="9" s="1"/>
  <c r="T32" i="10"/>
  <c r="AR32" i="9" s="1"/>
  <c r="U32" i="10"/>
  <c r="AS32" i="9" s="1"/>
  <c r="V32" i="10"/>
  <c r="AT32" i="9" s="1"/>
  <c r="W32" i="10"/>
  <c r="AU32" i="9" s="1"/>
  <c r="T33" i="10"/>
  <c r="AR33" i="9" s="1"/>
  <c r="U33" i="10"/>
  <c r="AS33" i="9" s="1"/>
  <c r="V33" i="10"/>
  <c r="AT33" i="9" s="1"/>
  <c r="W33" i="10"/>
  <c r="AU33" i="9" s="1"/>
  <c r="T34" i="10"/>
  <c r="AR34" i="9" s="1"/>
  <c r="U34" i="10"/>
  <c r="AS34" i="9" s="1"/>
  <c r="V34" i="10"/>
  <c r="AT34" i="9" s="1"/>
  <c r="W34" i="10"/>
  <c r="AU34" i="9" s="1"/>
  <c r="T35" i="10"/>
  <c r="AR35" i="9" s="1"/>
  <c r="U35" i="10"/>
  <c r="AS35" i="9" s="1"/>
  <c r="V35" i="10"/>
  <c r="AT35" i="9" s="1"/>
  <c r="W35" i="10"/>
  <c r="AU35" i="9" s="1"/>
  <c r="T36" i="10"/>
  <c r="AR36" i="9" s="1"/>
  <c r="U36" i="10"/>
  <c r="AS36" i="9" s="1"/>
  <c r="V36" i="10"/>
  <c r="AT36" i="9" s="1"/>
  <c r="W36" i="10"/>
  <c r="AU36" i="9" s="1"/>
  <c r="T37" i="10"/>
  <c r="AR37" i="9" s="1"/>
  <c r="U37" i="10"/>
  <c r="AS37" i="9" s="1"/>
  <c r="V37" i="10"/>
  <c r="AT37" i="9" s="1"/>
  <c r="W37" i="10"/>
  <c r="AU37" i="9" s="1"/>
  <c r="W8" i="10"/>
  <c r="AU8" i="9" s="1"/>
  <c r="V8" i="10"/>
  <c r="AT8" i="9" s="1"/>
  <c r="U8" i="10"/>
  <c r="AS8" i="9" s="1"/>
  <c r="T8" i="10"/>
  <c r="AR8" i="9" s="1"/>
  <c r="AQ10" i="6" s="1"/>
  <c r="B11" i="6" l="1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J3" i="5"/>
  <c r="J4" i="5" s="1"/>
  <c r="A10" i="6"/>
  <c r="C5" i="6"/>
  <c r="C4" i="6"/>
  <c r="C3" i="6"/>
  <c r="C2" i="6"/>
  <c r="AQ11" i="6"/>
  <c r="AR11" i="6"/>
  <c r="AS11" i="6"/>
  <c r="AT11" i="6"/>
  <c r="AQ12" i="6"/>
  <c r="AR12" i="6"/>
  <c r="AS12" i="6"/>
  <c r="AT12" i="6"/>
  <c r="AQ13" i="6"/>
  <c r="AR13" i="6"/>
  <c r="AS13" i="6"/>
  <c r="AT13" i="6"/>
  <c r="AQ14" i="6"/>
  <c r="AR14" i="6"/>
  <c r="AS14" i="6"/>
  <c r="AT14" i="6"/>
  <c r="AQ15" i="6"/>
  <c r="AR15" i="6"/>
  <c r="AS15" i="6"/>
  <c r="AT15" i="6"/>
  <c r="AQ16" i="6"/>
  <c r="AR16" i="6"/>
  <c r="AS16" i="6"/>
  <c r="AT16" i="6"/>
  <c r="AQ17" i="6"/>
  <c r="AR17" i="6"/>
  <c r="AS17" i="6"/>
  <c r="AT17" i="6"/>
  <c r="AQ18" i="6"/>
  <c r="AR18" i="6"/>
  <c r="AS18" i="6"/>
  <c r="AT18" i="6"/>
  <c r="AQ19" i="6"/>
  <c r="AR19" i="6"/>
  <c r="AS19" i="6"/>
  <c r="AT19" i="6"/>
  <c r="AQ20" i="6"/>
  <c r="AR20" i="6"/>
  <c r="AS20" i="6"/>
  <c r="AT20" i="6"/>
  <c r="AQ21" i="6"/>
  <c r="AR21" i="6"/>
  <c r="AS21" i="6"/>
  <c r="AT21" i="6"/>
  <c r="AQ22" i="6"/>
  <c r="AR22" i="6"/>
  <c r="AS22" i="6"/>
  <c r="AT22" i="6"/>
  <c r="AQ23" i="6"/>
  <c r="AR23" i="6"/>
  <c r="AS23" i="6"/>
  <c r="AT23" i="6"/>
  <c r="AQ24" i="6"/>
  <c r="AR24" i="6"/>
  <c r="AS24" i="6"/>
  <c r="AT24" i="6"/>
  <c r="AQ25" i="6"/>
  <c r="AR25" i="6"/>
  <c r="AS25" i="6"/>
  <c r="AT25" i="6"/>
  <c r="AQ26" i="6"/>
  <c r="AR26" i="6"/>
  <c r="AS26" i="6"/>
  <c r="AT26" i="6"/>
  <c r="AQ27" i="6"/>
  <c r="AR27" i="6"/>
  <c r="AS27" i="6"/>
  <c r="AT27" i="6"/>
  <c r="AQ28" i="6"/>
  <c r="AR28" i="6"/>
  <c r="AS28" i="6"/>
  <c r="AT28" i="6"/>
  <c r="AQ29" i="6"/>
  <c r="AR29" i="6"/>
  <c r="AS29" i="6"/>
  <c r="AT29" i="6"/>
  <c r="AQ30" i="6"/>
  <c r="AR30" i="6"/>
  <c r="AS30" i="6"/>
  <c r="AT30" i="6"/>
  <c r="AQ31" i="6"/>
  <c r="AR31" i="6"/>
  <c r="AS31" i="6"/>
  <c r="AT31" i="6"/>
  <c r="AQ32" i="6"/>
  <c r="AR32" i="6"/>
  <c r="AS32" i="6"/>
  <c r="AT32" i="6"/>
  <c r="AQ33" i="6"/>
  <c r="AR33" i="6"/>
  <c r="AS33" i="6"/>
  <c r="AT33" i="6"/>
  <c r="AQ34" i="6"/>
  <c r="AR34" i="6"/>
  <c r="AS34" i="6"/>
  <c r="AT34" i="6"/>
  <c r="AQ35" i="6"/>
  <c r="AR35" i="6"/>
  <c r="AS35" i="6"/>
  <c r="AT35" i="6"/>
  <c r="AQ36" i="6"/>
  <c r="AR36" i="6"/>
  <c r="AS36" i="6"/>
  <c r="AT36" i="6"/>
  <c r="AQ37" i="6"/>
  <c r="AR37" i="6"/>
  <c r="AS37" i="6"/>
  <c r="AT37" i="6"/>
  <c r="AQ38" i="6"/>
  <c r="AR38" i="6"/>
  <c r="AS38" i="6"/>
  <c r="AT38" i="6"/>
  <c r="AQ39" i="6"/>
  <c r="AR39" i="6"/>
  <c r="AS39" i="6"/>
  <c r="AT39" i="6"/>
  <c r="AR10" i="6"/>
  <c r="AS10" i="6"/>
  <c r="J10" i="1" s="1"/>
  <c r="AT10" i="6"/>
  <c r="B4" i="5"/>
  <c r="G11" i="6" l="1"/>
  <c r="L11" i="1" l="1"/>
  <c r="J11" i="1"/>
  <c r="C6" i="6"/>
  <c r="U6" i="6"/>
  <c r="AG6" i="6" s="1"/>
  <c r="D18" i="4"/>
  <c r="B12" i="4"/>
  <c r="E13" i="4"/>
  <c r="J11" i="4"/>
  <c r="BA4" i="6"/>
  <c r="C17" i="4"/>
  <c r="J17" i="4"/>
  <c r="G11" i="4"/>
  <c r="J14" i="4"/>
  <c r="B14" i="4"/>
  <c r="C14" i="4"/>
  <c r="D17" i="4"/>
  <c r="E12" i="4"/>
  <c r="E11" i="4"/>
  <c r="E17" i="4"/>
  <c r="J13" i="4"/>
  <c r="F11" i="4"/>
  <c r="D12" i="4"/>
  <c r="BA3" i="6"/>
  <c r="E15" i="4"/>
  <c r="E14" i="4"/>
  <c r="C18" i="4"/>
  <c r="I11" i="4"/>
  <c r="C11" i="4"/>
  <c r="C13" i="4"/>
  <c r="J15" i="4"/>
  <c r="E16" i="4"/>
  <c r="D15" i="4"/>
  <c r="B13" i="4"/>
  <c r="B11" i="4"/>
  <c r="B15" i="4"/>
  <c r="J12" i="4"/>
  <c r="B18" i="4"/>
  <c r="E18" i="4"/>
  <c r="D16" i="4"/>
  <c r="C15" i="4"/>
  <c r="BA2" i="6"/>
  <c r="BA6" i="6"/>
  <c r="J16" i="4"/>
  <c r="B17" i="4"/>
  <c r="C12" i="4"/>
  <c r="B16" i="4"/>
  <c r="D13" i="4"/>
  <c r="D11" i="4"/>
  <c r="D14" i="4"/>
  <c r="H11" i="4"/>
  <c r="BA1" i="6"/>
  <c r="K11" i="4" l="1"/>
  <c r="AP6" i="6"/>
  <c r="N2" i="1"/>
  <c r="AC6" i="6"/>
  <c r="P3" i="1"/>
  <c r="A1" i="1" s="1"/>
  <c r="O5" i="1"/>
  <c r="I5" i="1"/>
  <c r="L5" i="4"/>
  <c r="G5" i="4"/>
  <c r="L4" i="4"/>
  <c r="B5" i="4"/>
  <c r="B4" i="4"/>
  <c r="B2" i="4"/>
  <c r="G39" i="1"/>
  <c r="J39" i="1"/>
  <c r="I34" i="1"/>
  <c r="J34" i="1"/>
  <c r="G35" i="1"/>
  <c r="I35" i="1"/>
  <c r="J35" i="1"/>
  <c r="G36" i="1"/>
  <c r="G37" i="1"/>
  <c r="J37" i="1"/>
  <c r="L37" i="1"/>
  <c r="J38" i="1"/>
  <c r="L38" i="1"/>
  <c r="J12" i="1"/>
  <c r="L12" i="1"/>
  <c r="I13" i="1"/>
  <c r="G14" i="1"/>
  <c r="J14" i="1"/>
  <c r="B15" i="1"/>
  <c r="L15" i="1"/>
  <c r="I16" i="1"/>
  <c r="J16" i="1"/>
  <c r="I17" i="1"/>
  <c r="G18" i="1"/>
  <c r="L18" i="1"/>
  <c r="B19" i="1"/>
  <c r="J19" i="1"/>
  <c r="L19" i="1"/>
  <c r="G20" i="1"/>
  <c r="J20" i="1"/>
  <c r="I21" i="1"/>
  <c r="G22" i="1"/>
  <c r="J22" i="1"/>
  <c r="B23" i="1"/>
  <c r="L23" i="1"/>
  <c r="I24" i="1"/>
  <c r="J24" i="1"/>
  <c r="L24" i="1"/>
  <c r="I25" i="1"/>
  <c r="G26" i="1"/>
  <c r="L26" i="1"/>
  <c r="B27" i="1"/>
  <c r="J27" i="1"/>
  <c r="L27" i="1"/>
  <c r="G28" i="1"/>
  <c r="J28" i="1"/>
  <c r="I29" i="1"/>
  <c r="J29" i="1"/>
  <c r="L29" i="1"/>
  <c r="G30" i="1"/>
  <c r="I31" i="1"/>
  <c r="L31" i="1"/>
  <c r="J32" i="1"/>
  <c r="I33" i="1"/>
  <c r="L33" i="1"/>
  <c r="B11" i="1"/>
  <c r="I11" i="1"/>
  <c r="G11" i="1"/>
  <c r="N11" i="1" s="1"/>
  <c r="B26" i="1"/>
  <c r="B28" i="1"/>
  <c r="B29" i="1"/>
  <c r="B30" i="1"/>
  <c r="B34" i="1"/>
  <c r="B35" i="1"/>
  <c r="B36" i="1"/>
  <c r="B37" i="1"/>
  <c r="B38" i="1"/>
  <c r="B12" i="1"/>
  <c r="B13" i="1"/>
  <c r="B14" i="1"/>
  <c r="B16" i="1"/>
  <c r="B17" i="1"/>
  <c r="B18" i="1"/>
  <c r="B20" i="1"/>
  <c r="B21" i="1"/>
  <c r="B22" i="1"/>
  <c r="B24" i="1"/>
  <c r="B25" i="1"/>
  <c r="B10" i="1"/>
  <c r="G38" i="1"/>
  <c r="N38" i="1" s="1"/>
  <c r="G12" i="1"/>
  <c r="N12" i="1" s="1"/>
  <c r="G13" i="1"/>
  <c r="G15" i="1"/>
  <c r="G16" i="1"/>
  <c r="N16" i="1" s="1"/>
  <c r="G17" i="1"/>
  <c r="G19" i="1"/>
  <c r="N19" i="1" s="1"/>
  <c r="G21" i="1"/>
  <c r="G23" i="1"/>
  <c r="G24" i="1"/>
  <c r="N24" i="1" s="1"/>
  <c r="G25" i="1"/>
  <c r="G27" i="1"/>
  <c r="N27" i="1" s="1"/>
  <c r="G29" i="1"/>
  <c r="N29" i="1" s="1"/>
  <c r="G31" i="1"/>
  <c r="G32" i="1"/>
  <c r="N32" i="1" s="1"/>
  <c r="G33" i="1"/>
  <c r="G34" i="1"/>
  <c r="N34" i="1" s="1"/>
  <c r="I30" i="1"/>
  <c r="I32" i="1"/>
  <c r="I36" i="1"/>
  <c r="I37" i="1"/>
  <c r="I38" i="1"/>
  <c r="I39" i="1"/>
  <c r="I12" i="1"/>
  <c r="I14" i="1"/>
  <c r="I15" i="1"/>
  <c r="I18" i="1"/>
  <c r="I19" i="1"/>
  <c r="I20" i="1"/>
  <c r="I22" i="1"/>
  <c r="I23" i="1"/>
  <c r="I26" i="1"/>
  <c r="I27" i="1"/>
  <c r="I28" i="1"/>
  <c r="J30" i="1"/>
  <c r="J31" i="1"/>
  <c r="J33" i="1"/>
  <c r="J36" i="1"/>
  <c r="J13" i="1"/>
  <c r="J15" i="1"/>
  <c r="J17" i="1"/>
  <c r="J18" i="1"/>
  <c r="J21" i="1"/>
  <c r="J23" i="1"/>
  <c r="J25" i="1"/>
  <c r="J26" i="1"/>
  <c r="L17" i="1"/>
  <c r="L20" i="1"/>
  <c r="L21" i="1"/>
  <c r="L22" i="1"/>
  <c r="L25" i="1"/>
  <c r="L28" i="1"/>
  <c r="L30" i="1"/>
  <c r="L32" i="1"/>
  <c r="L34" i="1"/>
  <c r="L35" i="1"/>
  <c r="L36" i="1"/>
  <c r="L39" i="1"/>
  <c r="L13" i="1"/>
  <c r="L14" i="1"/>
  <c r="L16" i="1"/>
  <c r="L10" i="1"/>
  <c r="I10" i="1"/>
  <c r="G10" i="1"/>
  <c r="N10" i="1" s="1"/>
  <c r="A11" i="6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G4" i="5"/>
  <c r="F4" i="5"/>
  <c r="D4" i="5"/>
  <c r="C4" i="5"/>
  <c r="F16" i="4"/>
  <c r="I15" i="4"/>
  <c r="G18" i="4"/>
  <c r="G13" i="4"/>
  <c r="J18" i="4"/>
  <c r="BA5" i="6"/>
  <c r="F17" i="4"/>
  <c r="H13" i="4"/>
  <c r="G14" i="4"/>
  <c r="I12" i="4"/>
  <c r="C11" i="1"/>
  <c r="I13" i="4"/>
  <c r="I18" i="4"/>
  <c r="H16" i="4"/>
  <c r="F18" i="4"/>
  <c r="M38" i="1"/>
  <c r="H17" i="4"/>
  <c r="F10" i="1"/>
  <c r="H15" i="4"/>
  <c r="G12" i="4"/>
  <c r="C16" i="4"/>
  <c r="F14" i="4"/>
  <c r="G15" i="4"/>
  <c r="I14" i="4"/>
  <c r="H12" i="4"/>
  <c r="H18" i="4"/>
  <c r="F13" i="4"/>
  <c r="I17" i="4"/>
  <c r="H14" i="4"/>
  <c r="F15" i="4"/>
  <c r="F12" i="4"/>
  <c r="M21" i="1"/>
  <c r="M29" i="1"/>
  <c r="I16" i="4"/>
  <c r="G16" i="4"/>
  <c r="G17" i="4"/>
  <c r="BA7" i="6"/>
  <c r="N33" i="1" l="1"/>
  <c r="N31" i="1"/>
  <c r="N25" i="1"/>
  <c r="N23" i="1"/>
  <c r="N21" i="1"/>
  <c r="N17" i="1"/>
  <c r="N15" i="1"/>
  <c r="N13" i="1"/>
  <c r="N30" i="1"/>
  <c r="N28" i="1"/>
  <c r="N26" i="1"/>
  <c r="N22" i="1"/>
  <c r="N20" i="1"/>
  <c r="N18" i="1"/>
  <c r="N14" i="1"/>
  <c r="N37" i="1"/>
  <c r="N36" i="1"/>
  <c r="N35" i="1"/>
  <c r="N39" i="1"/>
  <c r="K16" i="4"/>
  <c r="K14" i="4"/>
  <c r="K18" i="4"/>
  <c r="K15" i="4"/>
  <c r="K13" i="4"/>
  <c r="K12" i="4"/>
  <c r="K17" i="4"/>
  <c r="O39" i="1"/>
  <c r="O38" i="1"/>
  <c r="O34" i="1"/>
  <c r="O27" i="1"/>
  <c r="O11" i="1"/>
  <c r="O19" i="1"/>
  <c r="O23" i="1"/>
  <c r="O30" i="1"/>
  <c r="O26" i="1"/>
  <c r="O22" i="1"/>
  <c r="O18" i="1"/>
  <c r="O31" i="1"/>
  <c r="O15" i="1"/>
  <c r="O35" i="1"/>
  <c r="B33" i="1"/>
  <c r="B31" i="1"/>
  <c r="B32" i="1"/>
  <c r="B39" i="1"/>
  <c r="O10" i="1"/>
  <c r="B3" i="4"/>
  <c r="O29" i="1"/>
  <c r="O13" i="1"/>
  <c r="O37" i="1"/>
  <c r="O17" i="1"/>
  <c r="O25" i="1"/>
  <c r="O33" i="1"/>
  <c r="O14" i="1"/>
  <c r="O32" i="1"/>
  <c r="O28" i="1"/>
  <c r="O24" i="1"/>
  <c r="O20" i="1"/>
  <c r="O16" i="1"/>
  <c r="O12" i="1"/>
  <c r="O36" i="1"/>
  <c r="O21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C10" i="1"/>
  <c r="M12" i="1"/>
  <c r="M30" i="1"/>
  <c r="M27" i="1"/>
  <c r="M24" i="1"/>
  <c r="M35" i="1"/>
  <c r="M22" i="1"/>
  <c r="M14" i="1"/>
  <c r="M13" i="1"/>
  <c r="M16" i="1"/>
  <c r="L11" i="4" l="1"/>
  <c r="L12" i="4"/>
  <c r="L13" i="4"/>
  <c r="L14" i="4"/>
  <c r="L15" i="4"/>
  <c r="L16" i="4"/>
  <c r="L17" i="4"/>
  <c r="L18" i="4"/>
  <c r="M37" i="1"/>
  <c r="D31" i="1"/>
  <c r="E34" i="1"/>
  <c r="D18" i="1"/>
  <c r="D27" i="1"/>
  <c r="E16" i="1"/>
  <c r="E32" i="1"/>
  <c r="C35" i="1"/>
  <c r="E18" i="1"/>
  <c r="M19" i="1"/>
  <c r="F20" i="1"/>
  <c r="E26" i="1"/>
  <c r="C24" i="1"/>
  <c r="M36" i="1"/>
  <c r="E20" i="1"/>
  <c r="F19" i="1"/>
  <c r="E31" i="1"/>
  <c r="D36" i="1"/>
  <c r="D29" i="1"/>
  <c r="E21" i="1"/>
  <c r="C30" i="1"/>
  <c r="F31" i="1"/>
  <c r="C26" i="1"/>
  <c r="D20" i="1"/>
  <c r="F18" i="1"/>
  <c r="E38" i="1"/>
  <c r="M18" i="1"/>
  <c r="C14" i="1"/>
  <c r="E15" i="1"/>
  <c r="D37" i="1"/>
  <c r="C12" i="1"/>
  <c r="C23" i="1"/>
  <c r="C21" i="1"/>
  <c r="C29" i="1"/>
  <c r="C19" i="1"/>
  <c r="D17" i="1"/>
  <c r="F32" i="1"/>
  <c r="M20" i="1"/>
  <c r="C27" i="1"/>
  <c r="M10" i="1"/>
  <c r="D12" i="1"/>
  <c r="F16" i="1"/>
  <c r="C34" i="1"/>
  <c r="M39" i="1"/>
  <c r="M25" i="1"/>
  <c r="E17" i="1"/>
  <c r="F15" i="1"/>
  <c r="C33" i="1"/>
  <c r="D10" i="1"/>
  <c r="D13" i="1"/>
  <c r="D23" i="1"/>
  <c r="D35" i="1"/>
  <c r="C37" i="1"/>
  <c r="M15" i="1"/>
  <c r="D14" i="1"/>
  <c r="F38" i="1"/>
  <c r="E35" i="1"/>
  <c r="E12" i="1"/>
  <c r="C25" i="1"/>
  <c r="M32" i="1"/>
  <c r="F17" i="1"/>
  <c r="M23" i="1"/>
  <c r="D19" i="1"/>
  <c r="D32" i="1"/>
  <c r="M28" i="1"/>
  <c r="F14" i="1"/>
  <c r="F21" i="1"/>
  <c r="E28" i="1"/>
  <c r="F27" i="1"/>
  <c r="E39" i="1"/>
  <c r="D22" i="1"/>
  <c r="C18" i="1"/>
  <c r="E29" i="1"/>
  <c r="C20" i="1"/>
  <c r="F39" i="1"/>
  <c r="D26" i="1"/>
  <c r="D25" i="1"/>
  <c r="F25" i="1"/>
  <c r="C28" i="1"/>
  <c r="E10" i="1"/>
  <c r="C22" i="1"/>
  <c r="E22" i="1"/>
  <c r="F24" i="1"/>
  <c r="E33" i="1"/>
  <c r="C36" i="1"/>
  <c r="M17" i="1"/>
  <c r="E23" i="1"/>
  <c r="F23" i="1"/>
  <c r="F33" i="1"/>
  <c r="D11" i="1"/>
  <c r="D24" i="1"/>
  <c r="E25" i="1"/>
  <c r="F37" i="1"/>
  <c r="E11" i="1"/>
  <c r="C16" i="1"/>
  <c r="D21" i="1"/>
  <c r="F28" i="1"/>
  <c r="F12" i="1"/>
  <c r="F11" i="1"/>
  <c r="F36" i="1"/>
  <c r="D28" i="1"/>
  <c r="D33" i="1"/>
  <c r="M26" i="1"/>
  <c r="E27" i="1"/>
  <c r="E37" i="1"/>
  <c r="E14" i="1"/>
  <c r="F35" i="1"/>
  <c r="E30" i="1"/>
  <c r="C17" i="1"/>
  <c r="D34" i="1"/>
  <c r="C32" i="1"/>
  <c r="M33" i="1"/>
  <c r="D30" i="1"/>
  <c r="F29" i="1"/>
  <c r="C38" i="1"/>
  <c r="C31" i="1"/>
  <c r="E36" i="1"/>
  <c r="F26" i="1"/>
  <c r="C13" i="1"/>
  <c r="D15" i="1"/>
  <c r="F34" i="1"/>
  <c r="M34" i="1"/>
  <c r="F22" i="1"/>
  <c r="D39" i="1"/>
  <c r="E19" i="1"/>
  <c r="F30" i="1"/>
  <c r="D16" i="1"/>
  <c r="C15" i="1"/>
  <c r="E13" i="1"/>
  <c r="C39" i="1"/>
  <c r="F13" i="1"/>
  <c r="D38" i="1"/>
  <c r="E24" i="1"/>
  <c r="M11" i="1"/>
  <c r="M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Nessa planilha você deve apenas clicar.
Para gerar a Ficha individual: Clique na linha correspondente ao aluno que deseja, e clique no botão Imprimir se desejar;
Para gerar o Mapa De Rendimento: Clique na coluna correspondete a disciplina desejada, clique no botão Imprimir se desejar.
Certifique-se de realizar o preenchimento correto da planilha CADERNETA/NOTAS e PRESENCA. Utilize os botões para chegar nelas ou nas guias de planilha se estinver visivel.
Senha: 1234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Nessa planilha, voce colocar apenas as notas, observando os criterios de substituição das notas de recuperação nas notas menores.
Na duvida consulte o Coordenador Pedag.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Nessa planilha, preencher com número inteiro.
Caso o simestre não tenha basta não colocar valores nos meses do primeiro simestre.
Primeiro Simestre: MAR, ABR, MAI, JUN
Segundo Simestre: AGO, SET, OUT, NOV</t>
        </r>
      </text>
    </comment>
  </commentList>
</comments>
</file>

<file path=xl/sharedStrings.xml><?xml version="1.0" encoding="utf-8"?>
<sst xmlns="http://schemas.openxmlformats.org/spreadsheetml/2006/main" count="329" uniqueCount="103">
  <si>
    <t xml:space="preserve">ESCOLA: </t>
  </si>
  <si>
    <t>PROFESSOR (A):</t>
  </si>
  <si>
    <t xml:space="preserve">ANO ESCOLAR:                                                                                           </t>
  </si>
  <si>
    <t>TURMA:</t>
  </si>
  <si>
    <t>TURNO:</t>
  </si>
  <si>
    <t>N°</t>
  </si>
  <si>
    <t xml:space="preserve"> NOME</t>
  </si>
  <si>
    <t>AVALIAÇÕES</t>
  </si>
  <si>
    <t>FREQUÊNCIA DOS ALUNOS</t>
  </si>
  <si>
    <t>RESULTADO DE CONCEITO</t>
  </si>
  <si>
    <t>TOTAL DE PRESENÇAS</t>
  </si>
  <si>
    <t>OBSERVAÇÃO</t>
  </si>
  <si>
    <t>1° SEMESTRE</t>
  </si>
  <si>
    <t>(REMOTO)</t>
  </si>
  <si>
    <t>2° SEMESTRE</t>
  </si>
  <si>
    <t>(HÍBRIDO)</t>
  </si>
  <si>
    <t>1º</t>
  </si>
  <si>
    <t>2º</t>
  </si>
  <si>
    <t>3º</t>
  </si>
  <si>
    <t>4º</t>
  </si>
  <si>
    <t>Presenças</t>
  </si>
  <si>
    <t>Faltas</t>
  </si>
  <si>
    <t>ESCOLA:</t>
  </si>
  <si>
    <t>ANO LETIVO:</t>
  </si>
  <si>
    <t>FREQ. ANUAL (%)</t>
  </si>
  <si>
    <t>DISCIPLINA:</t>
  </si>
  <si>
    <t>PORTUGUES</t>
  </si>
  <si>
    <t xml:space="preserve">ANO ESCOLAR:                                                                              </t>
  </si>
  <si>
    <t>ENSINO FUNDAMENTAL DE NOVE ANOS - FICHA INDIVIDUAL</t>
  </si>
  <si>
    <t>ALUNO (A):</t>
  </si>
  <si>
    <t>COMPONENTES CURRICULARES</t>
  </si>
  <si>
    <t>LÍNGUA PORTUGUESA</t>
  </si>
  <si>
    <t>MATEMÁTICA</t>
  </si>
  <si>
    <t xml:space="preserve">HISTÓRIA </t>
  </si>
  <si>
    <t>GEOGRAFIA</t>
  </si>
  <si>
    <t>CIENCIAS</t>
  </si>
  <si>
    <t>ARTE</t>
  </si>
  <si>
    <t>EDUCAÇÃO FÍSICA</t>
  </si>
  <si>
    <t>ENSINO RELIGIOSO</t>
  </si>
  <si>
    <t>CONCEITO CORRESPONDENTE:</t>
  </si>
  <si>
    <t>NOTAS:</t>
  </si>
  <si>
    <t>1ºREC</t>
  </si>
  <si>
    <t>2ºREC</t>
  </si>
  <si>
    <t>Primeiro Simestre</t>
  </si>
  <si>
    <t>Segundo Simestre</t>
  </si>
  <si>
    <t>Turma</t>
  </si>
  <si>
    <t>Turno</t>
  </si>
  <si>
    <t>Professor</t>
  </si>
  <si>
    <t>Nome do Aluno</t>
  </si>
  <si>
    <t>MATEMATICA</t>
  </si>
  <si>
    <t>HISTORIA</t>
  </si>
  <si>
    <t>RELIGIAO</t>
  </si>
  <si>
    <t>ARTES</t>
  </si>
  <si>
    <t>ANO LETIVO</t>
  </si>
  <si>
    <t>UNIDADE ESCOLAR:</t>
  </si>
  <si>
    <t>ED.FISCIA</t>
  </si>
  <si>
    <t>Nº</t>
  </si>
  <si>
    <t>ALUNO SELECIONADO:</t>
  </si>
  <si>
    <t>R</t>
  </si>
  <si>
    <t>NOTAL</t>
  </si>
  <si>
    <t>CONCEITO</t>
  </si>
  <si>
    <t>PROFESSOR(A):</t>
  </si>
  <si>
    <t>ALUNO(A):</t>
  </si>
  <si>
    <t>ANO ESCOLAR</t>
  </si>
  <si>
    <t>DISCIPLINA SELECIONADA:</t>
  </si>
  <si>
    <t>DISCIPLINA</t>
  </si>
  <si>
    <t>NF</t>
  </si>
  <si>
    <t>CF</t>
  </si>
  <si>
    <t>.</t>
  </si>
  <si>
    <t>OBS:</t>
  </si>
  <si>
    <t>Coloque as notas numericas nas celulas amarelas, os conceitos seram calculados</t>
  </si>
  <si>
    <t>FINAL</t>
  </si>
  <si>
    <t>MAR</t>
  </si>
  <si>
    <t>ABR</t>
  </si>
  <si>
    <t>MAI</t>
  </si>
  <si>
    <t>JUN</t>
  </si>
  <si>
    <t>AGO</t>
  </si>
  <si>
    <t>SET</t>
  </si>
  <si>
    <t>OUT</t>
  </si>
  <si>
    <t>NOV</t>
  </si>
  <si>
    <t>P</t>
  </si>
  <si>
    <t>F</t>
  </si>
  <si>
    <t>Tabela de conversao de notas para conceito</t>
  </si>
  <si>
    <t>Nota</t>
  </si>
  <si>
    <t>Conceito</t>
  </si>
  <si>
    <t>Ate</t>
  </si>
  <si>
    <t>EC</t>
  </si>
  <si>
    <t>B</t>
  </si>
  <si>
    <t>E</t>
  </si>
  <si>
    <t>Regular</t>
  </si>
  <si>
    <t>Bom</t>
  </si>
  <si>
    <t>Excelente</t>
  </si>
  <si>
    <t>De</t>
  </si>
  <si>
    <t>Exige Cuidado</t>
  </si>
  <si>
    <t>E.M.E.I.E.F. Fictício</t>
  </si>
  <si>
    <t>1 ANO - A ao 5 Ano Fundamental</t>
  </si>
  <si>
    <t>Fulano Sobrenome</t>
  </si>
  <si>
    <t>Fictício Sobrenome</t>
  </si>
  <si>
    <r>
      <t xml:space="preserve">Senha: </t>
    </r>
    <r>
      <rPr>
        <sz val="26"/>
        <color rgb="FFFF0000"/>
        <rFont val="Calibri"/>
        <family val="2"/>
        <scheme val="minor"/>
      </rPr>
      <t>1234</t>
    </r>
  </si>
  <si>
    <r>
      <t xml:space="preserve">OBS: Ao lado os criterios utilizados para a conversao, caso haja erro, necessario realizar correção nas formulas. Senha para desbloquear  a planilha: </t>
    </r>
    <r>
      <rPr>
        <b/>
        <sz val="8"/>
        <color rgb="FFFF0000"/>
        <rFont val="Calibri"/>
        <family val="2"/>
        <scheme val="minor"/>
      </rPr>
      <t>1234</t>
    </r>
  </si>
  <si>
    <t>Será aprovado com resalva</t>
  </si>
  <si>
    <t>Intermediario</t>
  </si>
  <si>
    <t>Desenvolvido por: Manoel L.C.Melo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</si>
</sst>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0"/>
    <numFmt numFmtId="165" formatCode="0.0"/>
    <numFmt numFmtId="166" formatCode="_-* #,##0_-;\-* #,##0_-;_-* &quot;-&quot;??_-;_-@_-"/>
  </numFmts>
  <fonts count="26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7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0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charset val="134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20" fillId="0" borderId="0" applyFont="0" applyFill="0" applyBorder="0" applyAlignment="0" applyProtection="0"/>
    <xf numFmtId="0" fontId="21" fillId="0" borderId="0">
      <alignment vertical="center"/>
    </xf>
    <xf numFmtId="0" fontId="21" fillId="0" borderId="0">
      <alignment vertical="center"/>
    </xf>
  </cellStyleXfs>
  <cellXfs count="373">
    <xf numFmtId="0" fontId="0" fillId="0" borderId="0" xfId="0"/>
    <xf numFmtId="0" fontId="2" fillId="0" borderId="1" xfId="0" applyFont="1" applyBorder="1" applyAlignment="1" applyProtection="1">
      <alignment horizontal="left" vertical="center" wrapText="1"/>
      <protection locked="0"/>
    </xf>
    <xf numFmtId="0" fontId="2" fillId="0" borderId="4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right"/>
    </xf>
    <xf numFmtId="0" fontId="1" fillId="0" borderId="4" xfId="0" applyFont="1" applyBorder="1" applyAlignment="1">
      <alignment horizontal="left" vertical="center" wrapText="1"/>
    </xf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 vertical="center" wrapText="1"/>
    </xf>
    <xf numFmtId="0" fontId="14" fillId="0" borderId="0" xfId="0" applyFont="1" applyAlignment="1">
      <alignment horizontal="right" vertical="center"/>
    </xf>
    <xf numFmtId="0" fontId="10" fillId="0" borderId="0" xfId="0" applyFont="1"/>
    <xf numFmtId="0" fontId="11" fillId="0" borderId="27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2" fillId="0" borderId="27" xfId="0" applyFont="1" applyBorder="1" applyAlignment="1">
      <alignment horizontal="center"/>
    </xf>
    <xf numFmtId="0" fontId="0" fillId="0" borderId="48" xfId="0" applyBorder="1"/>
    <xf numFmtId="164" fontId="2" fillId="0" borderId="1" xfId="0" applyNumberFormat="1" applyFont="1" applyBorder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164" fontId="2" fillId="0" borderId="2" xfId="0" applyNumberFormat="1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8" fillId="0" borderId="25" xfId="0" applyFont="1" applyBorder="1" applyAlignment="1">
      <alignment vertical="center" wrapText="1"/>
    </xf>
    <xf numFmtId="0" fontId="8" fillId="0" borderId="24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8" fillId="0" borderId="8" xfId="0" applyFont="1" applyBorder="1" applyAlignment="1">
      <alignment vertical="center" wrapText="1"/>
    </xf>
    <xf numFmtId="0" fontId="8" fillId="0" borderId="8" xfId="0" applyFont="1" applyBorder="1" applyAlignment="1">
      <alignment horizontal="center" vertical="center" wrapText="1"/>
    </xf>
    <xf numFmtId="164" fontId="2" fillId="0" borderId="51" xfId="0" applyNumberFormat="1" applyFont="1" applyBorder="1" applyAlignment="1">
      <alignment vertical="center" wrapText="1"/>
    </xf>
    <xf numFmtId="0" fontId="2" fillId="0" borderId="52" xfId="0" applyFont="1" applyBorder="1" applyAlignment="1" applyProtection="1">
      <alignment horizontal="left" vertical="center" wrapText="1"/>
      <protection locked="0"/>
    </xf>
    <xf numFmtId="164" fontId="2" fillId="0" borderId="49" xfId="0" applyNumberFormat="1" applyFont="1" applyBorder="1" applyAlignment="1">
      <alignment vertical="center" wrapText="1"/>
    </xf>
    <xf numFmtId="0" fontId="2" fillId="0" borderId="50" xfId="0" applyFont="1" applyBorder="1" applyAlignment="1" applyProtection="1">
      <alignment horizontal="left" vertical="center" wrapText="1"/>
      <protection locked="0"/>
    </xf>
    <xf numFmtId="164" fontId="2" fillId="0" borderId="5" xfId="0" applyNumberFormat="1" applyFont="1" applyBorder="1" applyAlignment="1">
      <alignment vertical="center" wrapText="1"/>
    </xf>
    <xf numFmtId="0" fontId="2" fillId="0" borderId="7" xfId="0" applyFont="1" applyBorder="1" applyAlignment="1" applyProtection="1">
      <alignment horizontal="left" vertical="center" wrapText="1"/>
      <protection locked="0"/>
    </xf>
    <xf numFmtId="165" fontId="0" fillId="0" borderId="53" xfId="0" applyNumberFormat="1" applyBorder="1"/>
    <xf numFmtId="165" fontId="0" fillId="0" borderId="36" xfId="0" applyNumberFormat="1" applyBorder="1"/>
    <xf numFmtId="0" fontId="0" fillId="0" borderId="0" xfId="0" applyAlignment="1">
      <alignment horizontal="center"/>
    </xf>
    <xf numFmtId="0" fontId="9" fillId="6" borderId="33" xfId="0" applyFont="1" applyFill="1" applyBorder="1" applyAlignment="1">
      <alignment horizontal="center"/>
    </xf>
    <xf numFmtId="0" fontId="9" fillId="6" borderId="34" xfId="0" applyFont="1" applyFill="1" applyBorder="1" applyAlignment="1">
      <alignment horizontal="center"/>
    </xf>
    <xf numFmtId="0" fontId="9" fillId="6" borderId="35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164" fontId="0" fillId="0" borderId="41" xfId="0" applyNumberFormat="1" applyBorder="1"/>
    <xf numFmtId="164" fontId="0" fillId="0" borderId="42" xfId="0" applyNumberFormat="1" applyBorder="1"/>
    <xf numFmtId="164" fontId="0" fillId="0" borderId="43" xfId="0" applyNumberFormat="1" applyBorder="1"/>
    <xf numFmtId="0" fontId="2" fillId="3" borderId="1" xfId="0" applyFont="1" applyFill="1" applyBorder="1" applyAlignment="1">
      <alignment horizontal="center" vertical="center" wrapText="1"/>
    </xf>
    <xf numFmtId="0" fontId="15" fillId="18" borderId="1" xfId="0" applyFont="1" applyFill="1" applyBorder="1" applyAlignment="1">
      <alignment textRotation="255" wrapText="1"/>
    </xf>
    <xf numFmtId="0" fontId="16" fillId="18" borderId="4" xfId="0" applyFont="1" applyFill="1" applyBorder="1" applyAlignment="1">
      <alignment textRotation="255"/>
    </xf>
    <xf numFmtId="0" fontId="18" fillId="0" borderId="0" xfId="0" applyFont="1" applyAlignment="1">
      <alignment horizontal="right"/>
    </xf>
    <xf numFmtId="2" fontId="10" fillId="0" borderId="0" xfId="0" applyNumberFormat="1" applyFont="1"/>
    <xf numFmtId="2" fontId="0" fillId="0" borderId="48" xfId="0" applyNumberFormat="1" applyBorder="1"/>
    <xf numFmtId="2" fontId="10" fillId="4" borderId="27" xfId="0" applyNumberFormat="1" applyFont="1" applyFill="1" applyBorder="1" applyProtection="1">
      <protection locked="0"/>
    </xf>
    <xf numFmtId="165" fontId="0" fillId="0" borderId="59" xfId="0" applyNumberFormat="1" applyBorder="1"/>
    <xf numFmtId="1" fontId="0" fillId="13" borderId="56" xfId="0" applyNumberFormat="1" applyFill="1" applyBorder="1" applyProtection="1">
      <protection locked="0"/>
    </xf>
    <xf numFmtId="1" fontId="0" fillId="13" borderId="53" xfId="0" applyNumberFormat="1" applyFill="1" applyBorder="1" applyProtection="1">
      <protection locked="0"/>
    </xf>
    <xf numFmtId="1" fontId="0" fillId="16" borderId="56" xfId="0" applyNumberFormat="1" applyFill="1" applyBorder="1" applyProtection="1">
      <protection locked="0"/>
    </xf>
    <xf numFmtId="1" fontId="0" fillId="16" borderId="53" xfId="0" applyNumberFormat="1" applyFill="1" applyBorder="1" applyProtection="1">
      <protection locked="0"/>
    </xf>
    <xf numFmtId="1" fontId="0" fillId="8" borderId="56" xfId="0" applyNumberFormat="1" applyFill="1" applyBorder="1" applyProtection="1">
      <protection locked="0"/>
    </xf>
    <xf numFmtId="1" fontId="0" fillId="8" borderId="53" xfId="0" applyNumberFormat="1" applyFill="1" applyBorder="1" applyProtection="1">
      <protection locked="0"/>
    </xf>
    <xf numFmtId="1" fontId="0" fillId="9" borderId="56" xfId="0" applyNumberFormat="1" applyFill="1" applyBorder="1" applyProtection="1">
      <protection locked="0"/>
    </xf>
    <xf numFmtId="1" fontId="0" fillId="9" borderId="53" xfId="0" applyNumberFormat="1" applyFill="1" applyBorder="1" applyProtection="1">
      <protection locked="0"/>
    </xf>
    <xf numFmtId="1" fontId="0" fillId="17" borderId="56" xfId="0" applyNumberFormat="1" applyFill="1" applyBorder="1" applyProtection="1">
      <protection locked="0"/>
    </xf>
    <xf numFmtId="1" fontId="0" fillId="17" borderId="53" xfId="0" applyNumberFormat="1" applyFill="1" applyBorder="1" applyProtection="1">
      <protection locked="0"/>
    </xf>
    <xf numFmtId="1" fontId="0" fillId="14" borderId="56" xfId="0" applyNumberFormat="1" applyFill="1" applyBorder="1" applyProtection="1">
      <protection locked="0"/>
    </xf>
    <xf numFmtId="1" fontId="0" fillId="14" borderId="53" xfId="0" applyNumberFormat="1" applyFill="1" applyBorder="1" applyProtection="1">
      <protection locked="0"/>
    </xf>
    <xf numFmtId="1" fontId="0" fillId="8" borderId="29" xfId="0" applyNumberFormat="1" applyFill="1" applyBorder="1" applyProtection="1">
      <protection locked="0"/>
    </xf>
    <xf numFmtId="1" fontId="0" fillId="8" borderId="60" xfId="0" applyNumberFormat="1" applyFill="1" applyBorder="1" applyProtection="1">
      <protection locked="0"/>
    </xf>
    <xf numFmtId="1" fontId="0" fillId="9" borderId="29" xfId="0" applyNumberFormat="1" applyFill="1" applyBorder="1" applyProtection="1">
      <protection locked="0"/>
    </xf>
    <xf numFmtId="1" fontId="0" fillId="9" borderId="60" xfId="0" applyNumberFormat="1" applyFill="1" applyBorder="1" applyProtection="1">
      <protection locked="0"/>
    </xf>
    <xf numFmtId="1" fontId="0" fillId="17" borderId="29" xfId="0" applyNumberFormat="1" applyFill="1" applyBorder="1" applyProtection="1">
      <protection locked="0"/>
    </xf>
    <xf numFmtId="1" fontId="0" fillId="17" borderId="60" xfId="0" applyNumberFormat="1" applyFill="1" applyBorder="1" applyProtection="1">
      <protection locked="0"/>
    </xf>
    <xf numFmtId="1" fontId="0" fillId="14" borderId="29" xfId="0" applyNumberFormat="1" applyFill="1" applyBorder="1" applyProtection="1">
      <protection locked="0"/>
    </xf>
    <xf numFmtId="1" fontId="0" fillId="14" borderId="60" xfId="0" applyNumberFormat="1" applyFill="1" applyBorder="1" applyProtection="1">
      <protection locked="0"/>
    </xf>
    <xf numFmtId="1" fontId="0" fillId="13" borderId="58" xfId="0" applyNumberFormat="1" applyFill="1" applyBorder="1" applyProtection="1">
      <protection locked="0"/>
    </xf>
    <xf numFmtId="1" fontId="0" fillId="13" borderId="59" xfId="0" applyNumberFormat="1" applyFill="1" applyBorder="1" applyProtection="1">
      <protection locked="0"/>
    </xf>
    <xf numFmtId="1" fontId="0" fillId="16" borderId="58" xfId="0" applyNumberFormat="1" applyFill="1" applyBorder="1" applyProtection="1">
      <protection locked="0"/>
    </xf>
    <xf numFmtId="1" fontId="0" fillId="16" borderId="59" xfId="0" applyNumberFormat="1" applyFill="1" applyBorder="1" applyProtection="1">
      <protection locked="0"/>
    </xf>
    <xf numFmtId="1" fontId="0" fillId="8" borderId="30" xfId="0" applyNumberFormat="1" applyFill="1" applyBorder="1" applyProtection="1">
      <protection locked="0"/>
    </xf>
    <xf numFmtId="1" fontId="0" fillId="8" borderId="61" xfId="0" applyNumberFormat="1" applyFill="1" applyBorder="1" applyProtection="1">
      <protection locked="0"/>
    </xf>
    <xf numFmtId="1" fontId="0" fillId="9" borderId="30" xfId="0" applyNumberFormat="1" applyFill="1" applyBorder="1" applyProtection="1">
      <protection locked="0"/>
    </xf>
    <xf numFmtId="1" fontId="0" fillId="9" borderId="61" xfId="0" applyNumberFormat="1" applyFill="1" applyBorder="1" applyProtection="1">
      <protection locked="0"/>
    </xf>
    <xf numFmtId="1" fontId="0" fillId="17" borderId="30" xfId="0" applyNumberFormat="1" applyFill="1" applyBorder="1" applyProtection="1">
      <protection locked="0"/>
    </xf>
    <xf numFmtId="1" fontId="0" fillId="17" borderId="61" xfId="0" applyNumberFormat="1" applyFill="1" applyBorder="1" applyProtection="1">
      <protection locked="0"/>
    </xf>
    <xf numFmtId="1" fontId="0" fillId="14" borderId="30" xfId="0" applyNumberFormat="1" applyFill="1" applyBorder="1" applyProtection="1">
      <protection locked="0"/>
    </xf>
    <xf numFmtId="1" fontId="0" fillId="14" borderId="61" xfId="0" applyNumberFormat="1" applyFill="1" applyBorder="1" applyProtection="1">
      <protection locked="0"/>
    </xf>
    <xf numFmtId="1" fontId="0" fillId="0" borderId="41" xfId="0" applyNumberFormat="1" applyBorder="1" applyAlignment="1">
      <alignment horizontal="center"/>
    </xf>
    <xf numFmtId="0" fontId="9" fillId="0" borderId="40" xfId="0" applyFont="1" applyBorder="1" applyAlignment="1">
      <alignment horizontal="right"/>
    </xf>
    <xf numFmtId="0" fontId="9" fillId="0" borderId="2" xfId="0" applyFont="1" applyBorder="1"/>
    <xf numFmtId="0" fontId="9" fillId="0" borderId="1" xfId="0" applyFont="1" applyBorder="1" applyAlignment="1">
      <alignment horizontal="center"/>
    </xf>
    <xf numFmtId="0" fontId="19" fillId="6" borderId="35" xfId="0" applyFont="1" applyFill="1" applyBorder="1" applyAlignment="1">
      <alignment horizontal="center"/>
    </xf>
    <xf numFmtId="0" fontId="9" fillId="7" borderId="33" xfId="0" applyFont="1" applyFill="1" applyBorder="1" applyAlignment="1">
      <alignment horizontal="center"/>
    </xf>
    <xf numFmtId="0" fontId="19" fillId="7" borderId="35" xfId="0" applyFont="1" applyFill="1" applyBorder="1" applyAlignment="1">
      <alignment horizontal="center"/>
    </xf>
    <xf numFmtId="0" fontId="9" fillId="19" borderId="33" xfId="0" applyFont="1" applyFill="1" applyBorder="1" applyAlignment="1">
      <alignment horizontal="center"/>
    </xf>
    <xf numFmtId="0" fontId="19" fillId="19" borderId="35" xfId="0" applyFont="1" applyFill="1" applyBorder="1" applyAlignment="1">
      <alignment horizontal="center"/>
    </xf>
    <xf numFmtId="0" fontId="9" fillId="11" borderId="33" xfId="0" applyFont="1" applyFill="1" applyBorder="1" applyAlignment="1">
      <alignment horizontal="center"/>
    </xf>
    <xf numFmtId="0" fontId="19" fillId="11" borderId="35" xfId="0" applyFont="1" applyFill="1" applyBorder="1" applyAlignment="1">
      <alignment horizontal="center"/>
    </xf>
    <xf numFmtId="0" fontId="9" fillId="10" borderId="33" xfId="0" applyFont="1" applyFill="1" applyBorder="1" applyAlignment="1">
      <alignment horizontal="center"/>
    </xf>
    <xf numFmtId="0" fontId="19" fillId="10" borderId="35" xfId="0" applyFont="1" applyFill="1" applyBorder="1" applyAlignment="1">
      <alignment horizontal="center"/>
    </xf>
    <xf numFmtId="0" fontId="9" fillId="12" borderId="33" xfId="0" applyFont="1" applyFill="1" applyBorder="1" applyAlignment="1">
      <alignment horizontal="center"/>
    </xf>
    <xf numFmtId="0" fontId="19" fillId="12" borderId="35" xfId="0" applyFont="1" applyFill="1" applyBorder="1" applyAlignment="1">
      <alignment horizontal="center"/>
    </xf>
    <xf numFmtId="164" fontId="0" fillId="0" borderId="54" xfId="0" applyNumberFormat="1" applyBorder="1"/>
    <xf numFmtId="0" fontId="0" fillId="0" borderId="44" xfId="0" applyBorder="1"/>
    <xf numFmtId="0" fontId="9" fillId="7" borderId="55" xfId="0" applyFont="1" applyFill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57" xfId="0" applyFont="1" applyFill="1" applyBorder="1" applyAlignment="1">
      <alignment horizontal="center"/>
    </xf>
    <xf numFmtId="0" fontId="9" fillId="8" borderId="33" xfId="0" applyFont="1" applyFill="1" applyBorder="1" applyAlignment="1">
      <alignment horizontal="center"/>
    </xf>
    <xf numFmtId="0" fontId="9" fillId="8" borderId="34" xfId="0" applyFont="1" applyFill="1" applyBorder="1" applyAlignment="1">
      <alignment horizontal="center"/>
    </xf>
    <xf numFmtId="0" fontId="9" fillId="8" borderId="35" xfId="0" applyFont="1" applyFill="1" applyBorder="1" applyAlignment="1">
      <alignment horizontal="center"/>
    </xf>
    <xf numFmtId="0" fontId="9" fillId="9" borderId="55" xfId="0" applyFont="1" applyFill="1" applyBorder="1" applyAlignment="1">
      <alignment horizontal="center"/>
    </xf>
    <xf numFmtId="0" fontId="9" fillId="9" borderId="34" xfId="0" applyFont="1" applyFill="1" applyBorder="1" applyAlignment="1">
      <alignment horizontal="center"/>
    </xf>
    <xf numFmtId="0" fontId="9" fillId="9" borderId="57" xfId="0" applyFont="1" applyFill="1" applyBorder="1" applyAlignment="1">
      <alignment horizontal="center"/>
    </xf>
    <xf numFmtId="0" fontId="9" fillId="10" borderId="34" xfId="0" applyFont="1" applyFill="1" applyBorder="1" applyAlignment="1">
      <alignment horizontal="center"/>
    </xf>
    <xf numFmtId="0" fontId="9" fillId="10" borderId="35" xfId="0" applyFont="1" applyFill="1" applyBorder="1" applyAlignment="1">
      <alignment horizontal="center"/>
    </xf>
    <xf numFmtId="0" fontId="9" fillId="6" borderId="55" xfId="0" applyFont="1" applyFill="1" applyBorder="1" applyAlignment="1">
      <alignment horizontal="center"/>
    </xf>
    <xf numFmtId="0" fontId="9" fillId="6" borderId="57" xfId="0" applyFont="1" applyFill="1" applyBorder="1" applyAlignment="1">
      <alignment horizontal="center"/>
    </xf>
    <xf numFmtId="0" fontId="9" fillId="11" borderId="34" xfId="0" applyFont="1" applyFill="1" applyBorder="1" applyAlignment="1">
      <alignment horizontal="center"/>
    </xf>
    <xf numFmtId="0" fontId="9" fillId="11" borderId="35" xfId="0" applyFont="1" applyFill="1" applyBorder="1" applyAlignment="1">
      <alignment horizontal="center"/>
    </xf>
    <xf numFmtId="0" fontId="9" fillId="12" borderId="55" xfId="0" applyFont="1" applyFill="1" applyBorder="1" applyAlignment="1">
      <alignment horizontal="center"/>
    </xf>
    <xf numFmtId="0" fontId="9" fillId="12" borderId="34" xfId="0" applyFont="1" applyFill="1" applyBorder="1" applyAlignment="1">
      <alignment horizontal="center"/>
    </xf>
    <xf numFmtId="0" fontId="9" fillId="12" borderId="35" xfId="0" applyFont="1" applyFill="1" applyBorder="1" applyAlignment="1">
      <alignment horizontal="center"/>
    </xf>
    <xf numFmtId="0" fontId="9" fillId="16" borderId="1" xfId="0" applyFont="1" applyFill="1" applyBorder="1" applyAlignment="1">
      <alignment horizontal="center"/>
    </xf>
    <xf numFmtId="0" fontId="0" fillId="16" borderId="44" xfId="0" applyFill="1" applyBorder="1" applyProtection="1">
      <protection locked="0"/>
    </xf>
    <xf numFmtId="0" fontId="0" fillId="16" borderId="45" xfId="0" applyFill="1" applyBorder="1" applyProtection="1">
      <protection locked="0"/>
    </xf>
    <xf numFmtId="0" fontId="0" fillId="16" borderId="46" xfId="0" applyFill="1" applyBorder="1" applyProtection="1">
      <protection locked="0"/>
    </xf>
    <xf numFmtId="165" fontId="0" fillId="0" borderId="56" xfId="0" applyNumberFormat="1" applyBorder="1" applyProtection="1">
      <protection locked="0"/>
    </xf>
    <xf numFmtId="165" fontId="0" fillId="0" borderId="32" xfId="0" applyNumberFormat="1" applyBorder="1" applyProtection="1">
      <protection locked="0"/>
    </xf>
    <xf numFmtId="165" fontId="0" fillId="0" borderId="39" xfId="0" applyNumberFormat="1" applyBorder="1" applyProtection="1">
      <protection locked="0"/>
    </xf>
    <xf numFmtId="165" fontId="0" fillId="0" borderId="29" xfId="0" applyNumberFormat="1" applyBorder="1" applyProtection="1">
      <protection locked="0"/>
    </xf>
    <xf numFmtId="165" fontId="0" fillId="0" borderId="27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37" xfId="0" applyNumberFormat="1" applyBorder="1" applyProtection="1">
      <protection locked="0"/>
    </xf>
    <xf numFmtId="165" fontId="0" fillId="0" borderId="38" xfId="0" applyNumberFormat="1" applyBorder="1" applyProtection="1">
      <protection locked="0"/>
    </xf>
    <xf numFmtId="165" fontId="0" fillId="0" borderId="58" xfId="0" applyNumberFormat="1" applyBorder="1" applyProtection="1">
      <protection locked="0"/>
    </xf>
    <xf numFmtId="165" fontId="0" fillId="0" borderId="62" xfId="0" applyNumberFormat="1" applyBorder="1" applyProtection="1">
      <protection locked="0"/>
    </xf>
    <xf numFmtId="165" fontId="0" fillId="0" borderId="63" xfId="0" applyNumberFormat="1" applyBorder="1" applyProtection="1">
      <protection locked="0"/>
    </xf>
    <xf numFmtId="165" fontId="0" fillId="0" borderId="64" xfId="0" applyNumberFormat="1" applyBorder="1"/>
    <xf numFmtId="2" fontId="0" fillId="13" borderId="44" xfId="0" applyNumberFormat="1" applyFill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2" fontId="0" fillId="16" borderId="44" xfId="0" applyNumberFormat="1" applyFill="1" applyBorder="1" applyAlignment="1">
      <alignment horizontal="center"/>
    </xf>
    <xf numFmtId="2" fontId="0" fillId="8" borderId="44" xfId="0" applyNumberFormat="1" applyFill="1" applyBorder="1" applyAlignment="1">
      <alignment horizontal="center"/>
    </xf>
    <xf numFmtId="2" fontId="0" fillId="9" borderId="44" xfId="0" applyNumberFormat="1" applyFill="1" applyBorder="1" applyAlignment="1">
      <alignment horizontal="center"/>
    </xf>
    <xf numFmtId="2" fontId="0" fillId="17" borderId="44" xfId="0" applyNumberFormat="1" applyFill="1" applyBorder="1" applyAlignment="1">
      <alignment horizontal="center"/>
    </xf>
    <xf numFmtId="2" fontId="0" fillId="14" borderId="44" xfId="0" applyNumberFormat="1" applyFill="1" applyBorder="1" applyAlignment="1">
      <alignment horizontal="center"/>
    </xf>
    <xf numFmtId="166" fontId="2" fillId="0" borderId="1" xfId="1" applyNumberFormat="1" applyFont="1" applyBorder="1" applyAlignment="1" applyProtection="1">
      <alignment horizontal="center" vertical="center" wrapText="1"/>
    </xf>
    <xf numFmtId="1" fontId="2" fillId="0" borderId="26" xfId="0" applyNumberFormat="1" applyFont="1" applyBorder="1" applyAlignment="1">
      <alignment horizontal="center" vertical="center" wrapText="1"/>
    </xf>
    <xf numFmtId="0" fontId="9" fillId="21" borderId="49" xfId="0" applyFont="1" applyFill="1" applyBorder="1" applyAlignment="1">
      <alignment horizontal="right"/>
    </xf>
    <xf numFmtId="0" fontId="9" fillId="21" borderId="0" xfId="0" applyFont="1" applyFill="1" applyAlignment="1">
      <alignment horizontal="center"/>
    </xf>
    <xf numFmtId="0" fontId="9" fillId="21" borderId="50" xfId="0" applyFont="1" applyFill="1" applyBorder="1" applyAlignment="1">
      <alignment horizontal="center"/>
    </xf>
    <xf numFmtId="0" fontId="9" fillId="21" borderId="49" xfId="0" applyFont="1" applyFill="1" applyBorder="1"/>
    <xf numFmtId="0" fontId="9" fillId="21" borderId="0" xfId="0" applyFont="1" applyFill="1"/>
    <xf numFmtId="0" fontId="9" fillId="21" borderId="2" xfId="0" applyFont="1" applyFill="1" applyBorder="1" applyAlignment="1">
      <alignment horizontal="right"/>
    </xf>
    <xf numFmtId="0" fontId="9" fillId="21" borderId="3" xfId="0" applyFont="1" applyFill="1" applyBorder="1" applyAlignment="1">
      <alignment horizontal="center"/>
    </xf>
    <xf numFmtId="0" fontId="9" fillId="21" borderId="4" xfId="0" applyFont="1" applyFill="1" applyBorder="1" applyAlignment="1">
      <alignment horizontal="center"/>
    </xf>
    <xf numFmtId="0" fontId="9" fillId="21" borderId="2" xfId="0" applyFont="1" applyFill="1" applyBorder="1"/>
    <xf numFmtId="0" fontId="9" fillId="21" borderId="3" xfId="0" applyFont="1" applyFill="1" applyBorder="1"/>
    <xf numFmtId="166" fontId="0" fillId="0" borderId="47" xfId="1" applyNumberFormat="1" applyFont="1" applyBorder="1" applyAlignment="1" applyProtection="1">
      <alignment horizontal="center"/>
    </xf>
    <xf numFmtId="166" fontId="0" fillId="0" borderId="41" xfId="1" applyNumberFormat="1" applyFont="1" applyBorder="1" applyAlignment="1" applyProtection="1">
      <alignment horizontal="center"/>
    </xf>
    <xf numFmtId="166" fontId="0" fillId="0" borderId="41" xfId="1" applyNumberFormat="1" applyFont="1" applyBorder="1" applyAlignment="1" applyProtection="1">
      <alignment horizontal="right"/>
    </xf>
    <xf numFmtId="165" fontId="0" fillId="0" borderId="65" xfId="0" applyNumberFormat="1" applyBorder="1" applyProtection="1">
      <protection locked="0"/>
    </xf>
    <xf numFmtId="165" fontId="0" fillId="0" borderId="66" xfId="0" applyNumberFormat="1" applyBorder="1" applyProtection="1">
      <protection locked="0"/>
    </xf>
    <xf numFmtId="165" fontId="0" fillId="0" borderId="67" xfId="0" applyNumberFormat="1" applyBorder="1"/>
    <xf numFmtId="165" fontId="0" fillId="0" borderId="68" xfId="0" applyNumberFormat="1" applyBorder="1" applyProtection="1">
      <protection locked="0"/>
    </xf>
    <xf numFmtId="165" fontId="0" fillId="0" borderId="69" xfId="0" applyNumberFormat="1" applyBorder="1"/>
    <xf numFmtId="0" fontId="0" fillId="4" borderId="1" xfId="0" applyFill="1" applyBorder="1"/>
    <xf numFmtId="0" fontId="25" fillId="3" borderId="0" xfId="0" applyFont="1" applyFill="1" applyAlignment="1">
      <alignment horizontal="right"/>
    </xf>
    <xf numFmtId="0" fontId="0" fillId="3" borderId="0" xfId="0" applyFill="1"/>
    <xf numFmtId="1" fontId="0" fillId="0" borderId="44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13" borderId="40" xfId="0" applyNumberFormat="1" applyFill="1" applyBorder="1" applyAlignment="1">
      <alignment horizontal="center"/>
    </xf>
    <xf numFmtId="2" fontId="0" fillId="13" borderId="70" xfId="0" applyNumberFormat="1" applyFill="1" applyBorder="1" applyAlignment="1">
      <alignment horizontal="center"/>
    </xf>
    <xf numFmtId="2" fontId="0" fillId="13" borderId="1" xfId="0" applyNumberFormat="1" applyFill="1" applyBorder="1" applyAlignment="1">
      <alignment horizontal="center"/>
    </xf>
    <xf numFmtId="0" fontId="0" fillId="0" borderId="40" xfId="0" applyBorder="1"/>
    <xf numFmtId="0" fontId="0" fillId="0" borderId="70" xfId="0" applyBorder="1"/>
    <xf numFmtId="0" fontId="0" fillId="0" borderId="1" xfId="0" applyBorder="1"/>
    <xf numFmtId="0" fontId="0" fillId="4" borderId="1" xfId="0" applyFill="1" applyBorder="1" applyProtection="1">
      <protection hidden="1"/>
    </xf>
    <xf numFmtId="0" fontId="25" fillId="3" borderId="0" xfId="0" applyFont="1" applyFill="1" applyAlignment="1" applyProtection="1">
      <alignment horizontal="right"/>
      <protection hidden="1"/>
    </xf>
    <xf numFmtId="0" fontId="0" fillId="3" borderId="0" xfId="0" applyFill="1" applyProtection="1">
      <protection hidden="1"/>
    </xf>
    <xf numFmtId="0" fontId="9" fillId="4" borderId="1" xfId="0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9" fillId="0" borderId="0" xfId="0" applyFont="1" applyAlignment="1" applyProtection="1">
      <alignment horizontal="center"/>
      <protection hidden="1"/>
    </xf>
    <xf numFmtId="0" fontId="25" fillId="3" borderId="0" xfId="0" applyFont="1" applyFill="1" applyAlignment="1" applyProtection="1">
      <alignment horizontal="center"/>
      <protection hidden="1"/>
    </xf>
    <xf numFmtId="0" fontId="25" fillId="3" borderId="0" xfId="0" applyFont="1" applyFill="1" applyProtection="1">
      <protection hidden="1"/>
    </xf>
    <xf numFmtId="0" fontId="25" fillId="3" borderId="3" xfId="0" applyFont="1" applyFill="1" applyBorder="1" applyProtection="1">
      <protection hidden="1"/>
    </xf>
    <xf numFmtId="0" fontId="9" fillId="0" borderId="1" xfId="0" applyFont="1" applyBorder="1" applyAlignment="1" applyProtection="1">
      <alignment horizontal="right"/>
      <protection hidden="1"/>
    </xf>
    <xf numFmtId="0" fontId="9" fillId="0" borderId="40" xfId="0" applyFont="1" applyBorder="1" applyProtection="1">
      <protection hidden="1"/>
    </xf>
    <xf numFmtId="0" fontId="9" fillId="0" borderId="40" xfId="0" applyFont="1" applyBorder="1" applyAlignment="1" applyProtection="1">
      <alignment horizontal="center"/>
      <protection hidden="1"/>
    </xf>
    <xf numFmtId="0" fontId="9" fillId="6" borderId="33" xfId="0" applyFont="1" applyFill="1" applyBorder="1" applyAlignment="1" applyProtection="1">
      <alignment horizontal="center"/>
      <protection hidden="1"/>
    </xf>
    <xf numFmtId="0" fontId="9" fillId="6" borderId="57" xfId="0" applyFont="1" applyFill="1" applyBorder="1" applyAlignment="1" applyProtection="1">
      <alignment horizontal="center"/>
      <protection hidden="1"/>
    </xf>
    <xf numFmtId="0" fontId="9" fillId="6" borderId="1" xfId="0" applyFont="1" applyFill="1" applyBorder="1" applyAlignment="1" applyProtection="1">
      <alignment horizontal="center"/>
      <protection hidden="1"/>
    </xf>
    <xf numFmtId="0" fontId="9" fillId="6" borderId="4" xfId="0" applyFont="1" applyFill="1" applyBorder="1" applyAlignment="1" applyProtection="1">
      <alignment horizontal="center"/>
      <protection hidden="1"/>
    </xf>
    <xf numFmtId="0" fontId="9" fillId="7" borderId="16" xfId="0" applyFont="1" applyFill="1" applyBorder="1" applyAlignment="1" applyProtection="1">
      <alignment horizontal="center"/>
      <protection hidden="1"/>
    </xf>
    <xf numFmtId="0" fontId="9" fillId="7" borderId="17" xfId="0" applyFont="1" applyFill="1" applyBorder="1" applyAlignment="1" applyProtection="1">
      <alignment horizontal="center"/>
      <protection hidden="1"/>
    </xf>
    <xf numFmtId="0" fontId="9" fillId="7" borderId="18" xfId="0" applyFont="1" applyFill="1" applyBorder="1" applyAlignment="1" applyProtection="1">
      <alignment horizontal="center"/>
      <protection hidden="1"/>
    </xf>
    <xf numFmtId="0" fontId="9" fillId="8" borderId="16" xfId="0" applyFont="1" applyFill="1" applyBorder="1" applyAlignment="1" applyProtection="1">
      <alignment horizontal="center"/>
      <protection hidden="1"/>
    </xf>
    <xf numFmtId="0" fontId="9" fillId="8" borderId="17" xfId="0" applyFont="1" applyFill="1" applyBorder="1" applyAlignment="1" applyProtection="1">
      <alignment horizontal="center"/>
      <protection hidden="1"/>
    </xf>
    <xf numFmtId="0" fontId="9" fillId="8" borderId="18" xfId="0" applyFont="1" applyFill="1" applyBorder="1" applyAlignment="1" applyProtection="1">
      <alignment horizontal="center"/>
      <protection hidden="1"/>
    </xf>
    <xf numFmtId="0" fontId="9" fillId="9" borderId="16" xfId="0" applyFont="1" applyFill="1" applyBorder="1" applyAlignment="1" applyProtection="1">
      <alignment horizontal="center"/>
      <protection hidden="1"/>
    </xf>
    <xf numFmtId="0" fontId="9" fillId="9" borderId="17" xfId="0" applyFont="1" applyFill="1" applyBorder="1" applyAlignment="1" applyProtection="1">
      <alignment horizontal="center"/>
      <protection hidden="1"/>
    </xf>
    <xf numFmtId="0" fontId="9" fillId="9" borderId="18" xfId="0" applyFont="1" applyFill="1" applyBorder="1" applyAlignment="1" applyProtection="1">
      <alignment horizontal="center"/>
      <protection hidden="1"/>
    </xf>
    <xf numFmtId="0" fontId="9" fillId="10" borderId="16" xfId="0" applyFont="1" applyFill="1" applyBorder="1" applyAlignment="1" applyProtection="1">
      <alignment horizontal="center"/>
      <protection hidden="1"/>
    </xf>
    <xf numFmtId="0" fontId="9" fillId="10" borderId="17" xfId="0" applyFont="1" applyFill="1" applyBorder="1" applyAlignment="1" applyProtection="1">
      <alignment horizontal="center"/>
      <protection hidden="1"/>
    </xf>
    <xf numFmtId="0" fontId="9" fillId="10" borderId="18" xfId="0" applyFont="1" applyFill="1" applyBorder="1" applyAlignment="1" applyProtection="1">
      <alignment horizontal="center"/>
      <protection hidden="1"/>
    </xf>
    <xf numFmtId="0" fontId="9" fillId="6" borderId="16" xfId="0" applyFont="1" applyFill="1" applyBorder="1" applyAlignment="1" applyProtection="1">
      <alignment horizontal="center"/>
      <protection hidden="1"/>
    </xf>
    <xf numFmtId="0" fontId="9" fillId="6" borderId="17" xfId="0" applyFont="1" applyFill="1" applyBorder="1" applyAlignment="1" applyProtection="1">
      <alignment horizontal="center"/>
      <protection hidden="1"/>
    </xf>
    <xf numFmtId="0" fontId="9" fillId="6" borderId="18" xfId="0" applyFont="1" applyFill="1" applyBorder="1" applyAlignment="1" applyProtection="1">
      <alignment horizontal="center"/>
      <protection hidden="1"/>
    </xf>
    <xf numFmtId="0" fontId="9" fillId="11" borderId="16" xfId="0" applyFont="1" applyFill="1" applyBorder="1" applyAlignment="1" applyProtection="1">
      <alignment horizontal="center"/>
      <protection hidden="1"/>
    </xf>
    <xf numFmtId="0" fontId="9" fillId="11" borderId="17" xfId="0" applyFont="1" applyFill="1" applyBorder="1" applyAlignment="1" applyProtection="1">
      <alignment horizontal="center"/>
      <protection hidden="1"/>
    </xf>
    <xf numFmtId="0" fontId="9" fillId="11" borderId="40" xfId="0" applyFont="1" applyFill="1" applyBorder="1" applyAlignment="1" applyProtection="1">
      <alignment horizontal="center"/>
      <protection hidden="1"/>
    </xf>
    <xf numFmtId="0" fontId="9" fillId="12" borderId="16" xfId="0" applyFont="1" applyFill="1" applyBorder="1" applyAlignment="1" applyProtection="1">
      <alignment horizontal="center"/>
      <protection hidden="1"/>
    </xf>
    <xf numFmtId="0" fontId="9" fillId="12" borderId="17" xfId="0" applyFont="1" applyFill="1" applyBorder="1" applyAlignment="1" applyProtection="1">
      <alignment horizontal="center"/>
      <protection hidden="1"/>
    </xf>
    <xf numFmtId="0" fontId="9" fillId="12" borderId="1" xfId="0" applyFont="1" applyFill="1" applyBorder="1" applyAlignment="1" applyProtection="1">
      <alignment horizontal="center"/>
      <protection hidden="1"/>
    </xf>
    <xf numFmtId="0" fontId="9" fillId="0" borderId="0" xfId="0" applyFont="1" applyAlignment="1">
      <alignment horizontal="right"/>
    </xf>
    <xf numFmtId="0" fontId="9" fillId="9" borderId="2" xfId="0" applyFont="1" applyFill="1" applyBorder="1" applyAlignment="1" applyProtection="1">
      <alignment horizontal="center"/>
      <protection hidden="1"/>
    </xf>
    <xf numFmtId="0" fontId="9" fillId="9" borderId="3" xfId="0" applyFont="1" applyFill="1" applyBorder="1" applyAlignment="1" applyProtection="1">
      <alignment horizontal="center"/>
      <protection hidden="1"/>
    </xf>
    <xf numFmtId="0" fontId="9" fillId="9" borderId="4" xfId="0" applyFont="1" applyFill="1" applyBorder="1" applyAlignment="1" applyProtection="1">
      <alignment horizontal="center"/>
      <protection hidden="1"/>
    </xf>
    <xf numFmtId="0" fontId="9" fillId="8" borderId="2" xfId="0" applyFont="1" applyFill="1" applyBorder="1" applyAlignment="1" applyProtection="1">
      <alignment horizontal="center"/>
      <protection hidden="1"/>
    </xf>
    <xf numFmtId="0" fontId="9" fillId="8" borderId="3" xfId="0" applyFont="1" applyFill="1" applyBorder="1" applyAlignment="1" applyProtection="1">
      <alignment horizontal="center"/>
      <protection hidden="1"/>
    </xf>
    <xf numFmtId="0" fontId="9" fillId="8" borderId="4" xfId="0" applyFont="1" applyFill="1" applyBorder="1" applyAlignment="1" applyProtection="1">
      <alignment horizontal="center"/>
      <protection hidden="1"/>
    </xf>
    <xf numFmtId="0" fontId="0" fillId="5" borderId="2" xfId="0" applyFill="1" applyBorder="1" applyAlignment="1" applyProtection="1">
      <alignment horizontal="center"/>
      <protection hidden="1"/>
    </xf>
    <xf numFmtId="0" fontId="0" fillId="5" borderId="3" xfId="0" applyFill="1" applyBorder="1" applyAlignment="1" applyProtection="1">
      <alignment horizontal="center"/>
      <protection hidden="1"/>
    </xf>
    <xf numFmtId="0" fontId="0" fillId="5" borderId="4" xfId="0" applyFill="1" applyBorder="1" applyAlignment="1" applyProtection="1">
      <alignment horizontal="center"/>
      <protection hidden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9" fillId="12" borderId="2" xfId="0" applyFont="1" applyFill="1" applyBorder="1" applyAlignment="1" applyProtection="1">
      <alignment horizontal="center"/>
      <protection hidden="1"/>
    </xf>
    <xf numFmtId="0" fontId="9" fillId="12" borderId="3" xfId="0" applyFont="1" applyFill="1" applyBorder="1" applyAlignment="1" applyProtection="1">
      <alignment horizontal="center"/>
      <protection hidden="1"/>
    </xf>
    <xf numFmtId="0" fontId="9" fillId="12" borderId="18" xfId="0" applyFont="1" applyFill="1" applyBorder="1" applyAlignment="1" applyProtection="1">
      <alignment horizontal="center"/>
      <protection hidden="1"/>
    </xf>
    <xf numFmtId="0" fontId="9" fillId="7" borderId="2" xfId="0" applyFont="1" applyFill="1" applyBorder="1" applyAlignment="1" applyProtection="1">
      <alignment horizontal="center"/>
      <protection hidden="1"/>
    </xf>
    <xf numFmtId="0" fontId="9" fillId="7" borderId="3" xfId="0" applyFont="1" applyFill="1" applyBorder="1" applyAlignment="1" applyProtection="1">
      <alignment horizontal="center"/>
      <protection hidden="1"/>
    </xf>
    <xf numFmtId="0" fontId="9" fillId="7" borderId="4" xfId="0" applyFont="1" applyFill="1" applyBorder="1" applyAlignment="1" applyProtection="1">
      <alignment horizontal="center"/>
      <protection hidden="1"/>
    </xf>
    <xf numFmtId="0" fontId="9" fillId="6" borderId="2" xfId="0" applyFont="1" applyFill="1" applyBorder="1" applyAlignment="1" applyProtection="1">
      <alignment horizontal="center"/>
      <protection hidden="1"/>
    </xf>
    <xf numFmtId="0" fontId="9" fillId="6" borderId="3" xfId="0" applyFont="1" applyFill="1" applyBorder="1" applyAlignment="1" applyProtection="1">
      <alignment horizontal="center"/>
      <protection hidden="1"/>
    </xf>
    <xf numFmtId="0" fontId="9" fillId="6" borderId="4" xfId="0" applyFont="1" applyFill="1" applyBorder="1" applyAlignment="1" applyProtection="1">
      <alignment horizontal="center"/>
      <protection hidden="1"/>
    </xf>
    <xf numFmtId="0" fontId="9" fillId="11" borderId="2" xfId="0" applyFont="1" applyFill="1" applyBorder="1" applyAlignment="1" applyProtection="1">
      <alignment horizontal="center"/>
      <protection hidden="1"/>
    </xf>
    <xf numFmtId="0" fontId="9" fillId="11" borderId="3" xfId="0" applyFont="1" applyFill="1" applyBorder="1" applyAlignment="1" applyProtection="1">
      <alignment horizontal="center"/>
      <protection hidden="1"/>
    </xf>
    <xf numFmtId="0" fontId="9" fillId="11" borderId="4" xfId="0" applyFont="1" applyFill="1" applyBorder="1" applyAlignment="1" applyProtection="1">
      <alignment horizontal="center"/>
      <protection hidden="1"/>
    </xf>
    <xf numFmtId="0" fontId="9" fillId="10" borderId="2" xfId="0" applyFont="1" applyFill="1" applyBorder="1" applyAlignment="1" applyProtection="1">
      <alignment horizontal="center"/>
      <protection hidden="1"/>
    </xf>
    <xf numFmtId="0" fontId="9" fillId="10" borderId="3" xfId="0" applyFont="1" applyFill="1" applyBorder="1" applyAlignment="1" applyProtection="1">
      <alignment horizontal="center"/>
      <protection hidden="1"/>
    </xf>
    <xf numFmtId="0" fontId="9" fillId="10" borderId="4" xfId="0" applyFont="1" applyFill="1" applyBorder="1" applyAlignment="1" applyProtection="1">
      <alignment horizontal="center"/>
      <protection hidden="1"/>
    </xf>
    <xf numFmtId="0" fontId="25" fillId="3" borderId="0" xfId="0" applyFont="1" applyFill="1" applyAlignment="1" applyProtection="1">
      <alignment horizontal="left"/>
      <protection hidden="1"/>
    </xf>
    <xf numFmtId="0" fontId="1" fillId="2" borderId="20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22" xfId="0" applyFont="1" applyFill="1" applyBorder="1" applyAlignment="1">
      <alignment horizontal="center" vertical="center" wrapText="1"/>
    </xf>
    <xf numFmtId="0" fontId="0" fillId="0" borderId="2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/>
      <protection hidden="1"/>
    </xf>
    <xf numFmtId="0" fontId="9" fillId="4" borderId="2" xfId="0" applyFont="1" applyFill="1" applyBorder="1" applyAlignment="1" applyProtection="1">
      <alignment horizontal="center"/>
      <protection hidden="1"/>
    </xf>
    <xf numFmtId="0" fontId="9" fillId="4" borderId="3" xfId="0" applyFont="1" applyFill="1" applyBorder="1" applyAlignment="1" applyProtection="1">
      <alignment horizontal="center"/>
      <protection hidden="1"/>
    </xf>
    <xf numFmtId="0" fontId="9" fillId="4" borderId="4" xfId="0" applyFont="1" applyFill="1" applyBorder="1" applyAlignment="1" applyProtection="1">
      <alignment horizontal="center"/>
      <protection hidden="1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2" xfId="0" applyFont="1" applyFill="1" applyBorder="1" applyAlignment="1">
      <alignment horizontal="center"/>
    </xf>
    <xf numFmtId="0" fontId="9" fillId="7" borderId="3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9" fillId="8" borderId="2" xfId="0" applyFont="1" applyFill="1" applyBorder="1" applyAlignment="1">
      <alignment horizontal="center"/>
    </xf>
    <xf numFmtId="0" fontId="9" fillId="8" borderId="3" xfId="0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9" fillId="9" borderId="2" xfId="0" applyFont="1" applyFill="1" applyBorder="1" applyAlignment="1">
      <alignment horizontal="center"/>
    </xf>
    <xf numFmtId="0" fontId="9" fillId="9" borderId="3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10" borderId="2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0" fontId="9" fillId="10" borderId="4" xfId="0" applyFont="1" applyFill="1" applyBorder="1" applyAlignment="1">
      <alignment horizontal="center"/>
    </xf>
    <xf numFmtId="0" fontId="0" fillId="16" borderId="72" xfId="0" applyFill="1" applyBorder="1" applyAlignment="1" applyProtection="1">
      <alignment horizontal="left"/>
      <protection locked="0"/>
    </xf>
    <xf numFmtId="0" fontId="0" fillId="16" borderId="27" xfId="0" applyFill="1" applyBorder="1" applyAlignment="1" applyProtection="1">
      <alignment horizontal="left"/>
      <protection locked="0"/>
    </xf>
    <xf numFmtId="0" fontId="0" fillId="16" borderId="27" xfId="0" applyFill="1" applyBorder="1" applyProtection="1">
      <protection locked="0"/>
    </xf>
    <xf numFmtId="0" fontId="9" fillId="11" borderId="2" xfId="0" applyFont="1" applyFill="1" applyBorder="1" applyAlignment="1">
      <alignment horizontal="center"/>
    </xf>
    <xf numFmtId="0" fontId="9" fillId="11" borderId="3" xfId="0" applyFont="1" applyFill="1" applyBorder="1" applyAlignment="1">
      <alignment horizontal="center"/>
    </xf>
    <xf numFmtId="0" fontId="9" fillId="11" borderId="4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0" fontId="9" fillId="12" borderId="3" xfId="0" applyFont="1" applyFill="1" applyBorder="1" applyAlignment="1">
      <alignment horizontal="center"/>
    </xf>
    <xf numFmtId="0" fontId="9" fillId="12" borderId="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9" fillId="11" borderId="16" xfId="0" applyFont="1" applyFill="1" applyBorder="1" applyAlignment="1">
      <alignment horizontal="center"/>
    </xf>
    <xf numFmtId="0" fontId="9" fillId="11" borderId="18" xfId="0" applyFont="1" applyFill="1" applyBorder="1" applyAlignment="1">
      <alignment horizontal="center"/>
    </xf>
    <xf numFmtId="0" fontId="9" fillId="12" borderId="16" xfId="0" applyFont="1" applyFill="1" applyBorder="1" applyAlignment="1">
      <alignment horizontal="center"/>
    </xf>
    <xf numFmtId="0" fontId="9" fillId="12" borderId="18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0" fontId="9" fillId="6" borderId="18" xfId="0" applyFont="1" applyFill="1" applyBorder="1" applyAlignment="1">
      <alignment horizontal="center"/>
    </xf>
    <xf numFmtId="0" fontId="9" fillId="7" borderId="16" xfId="0" applyFont="1" applyFill="1" applyBorder="1" applyAlignment="1">
      <alignment horizontal="center"/>
    </xf>
    <xf numFmtId="0" fontId="9" fillId="7" borderId="18" xfId="0" applyFont="1" applyFill="1" applyBorder="1" applyAlignment="1">
      <alignment horizontal="center"/>
    </xf>
    <xf numFmtId="0" fontId="9" fillId="19" borderId="16" xfId="0" applyFont="1" applyFill="1" applyBorder="1" applyAlignment="1">
      <alignment horizontal="center"/>
    </xf>
    <xf numFmtId="0" fontId="9" fillId="19" borderId="18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8" xfId="0" applyFont="1" applyFill="1" applyBorder="1" applyAlignment="1">
      <alignment horizontal="center"/>
    </xf>
    <xf numFmtId="0" fontId="25" fillId="3" borderId="0" xfId="0" applyFont="1" applyFill="1" applyAlignment="1">
      <alignment horizontal="left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textRotation="90" wrapText="1"/>
    </xf>
    <xf numFmtId="0" fontId="5" fillId="2" borderId="11" xfId="0" applyFont="1" applyFill="1" applyBorder="1" applyAlignment="1">
      <alignment horizontal="center" vertical="center" textRotation="90" wrapText="1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1" fontId="2" fillId="0" borderId="17" xfId="0" applyNumberFormat="1" applyFont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left" vertical="center" wrapText="1"/>
    </xf>
    <xf numFmtId="0" fontId="1" fillId="0" borderId="17" xfId="0" applyFont="1" applyBorder="1" applyAlignment="1">
      <alignment horizontal="left" vertical="center" wrapText="1"/>
    </xf>
    <xf numFmtId="0" fontId="1" fillId="0" borderId="18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left" vertical="center" wrapText="1"/>
    </xf>
    <xf numFmtId="0" fontId="3" fillId="2" borderId="19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0" fontId="5" fillId="2" borderId="17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2" fillId="0" borderId="28" xfId="0" applyFont="1" applyBorder="1" applyAlignment="1">
      <alignment horizontal="center"/>
    </xf>
    <xf numFmtId="0" fontId="11" fillId="15" borderId="2" xfId="0" applyFont="1" applyFill="1" applyBorder="1" applyAlignment="1">
      <alignment horizontal="center"/>
    </xf>
    <xf numFmtId="0" fontId="11" fillId="15" borderId="4" xfId="0" applyFont="1" applyFill="1" applyBorder="1" applyAlignment="1">
      <alignment horizontal="center"/>
    </xf>
    <xf numFmtId="2" fontId="10" fillId="15" borderId="2" xfId="0" applyNumberFormat="1" applyFont="1" applyFill="1" applyBorder="1" applyAlignment="1">
      <alignment horizontal="center"/>
    </xf>
    <xf numFmtId="2" fontId="10" fillId="15" borderId="4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2" fillId="15" borderId="2" xfId="0" applyFont="1" applyFill="1" applyBorder="1" applyAlignment="1">
      <alignment horizontal="center"/>
    </xf>
    <xf numFmtId="0" fontId="12" fillId="15" borderId="4" xfId="0" applyFont="1" applyFill="1" applyBorder="1" applyAlignment="1">
      <alignment horizontal="center"/>
    </xf>
    <xf numFmtId="0" fontId="9" fillId="20" borderId="2" xfId="0" applyFont="1" applyFill="1" applyBorder="1" applyAlignment="1">
      <alignment horizontal="center"/>
    </xf>
    <xf numFmtId="0" fontId="9" fillId="20" borderId="3" xfId="0" applyFont="1" applyFill="1" applyBorder="1" applyAlignment="1">
      <alignment horizontal="center"/>
    </xf>
    <xf numFmtId="0" fontId="9" fillId="20" borderId="4" xfId="0" applyFont="1" applyFill="1" applyBorder="1" applyAlignment="1">
      <alignment horizontal="center"/>
    </xf>
    <xf numFmtId="0" fontId="22" fillId="21" borderId="16" xfId="0" applyFont="1" applyFill="1" applyBorder="1" applyAlignment="1">
      <alignment horizontal="left" vertical="top" wrapText="1"/>
    </xf>
    <xf numFmtId="0" fontId="22" fillId="21" borderId="18" xfId="0" applyFont="1" applyFill="1" applyBorder="1" applyAlignment="1">
      <alignment horizontal="left" vertical="top" wrapText="1"/>
    </xf>
    <xf numFmtId="0" fontId="22" fillId="21" borderId="49" xfId="0" applyFont="1" applyFill="1" applyBorder="1" applyAlignment="1">
      <alignment horizontal="left" vertical="top" wrapText="1"/>
    </xf>
    <xf numFmtId="0" fontId="22" fillId="21" borderId="50" xfId="0" applyFont="1" applyFill="1" applyBorder="1" applyAlignment="1">
      <alignment horizontal="left" vertical="top" wrapText="1"/>
    </xf>
    <xf numFmtId="0" fontId="22" fillId="21" borderId="5" xfId="0" applyFont="1" applyFill="1" applyBorder="1" applyAlignment="1">
      <alignment horizontal="left" vertical="top" wrapText="1"/>
    </xf>
    <xf numFmtId="0" fontId="22" fillId="21" borderId="7" xfId="0" applyFont="1" applyFill="1" applyBorder="1" applyAlignment="1">
      <alignment horizontal="left" vertical="top" wrapText="1"/>
    </xf>
    <xf numFmtId="0" fontId="9" fillId="21" borderId="16" xfId="0" applyFont="1" applyFill="1" applyBorder="1" applyAlignment="1">
      <alignment horizontal="center"/>
    </xf>
    <xf numFmtId="0" fontId="9" fillId="21" borderId="17" xfId="0" applyFont="1" applyFill="1" applyBorder="1" applyAlignment="1">
      <alignment horizontal="center"/>
    </xf>
    <xf numFmtId="0" fontId="9" fillId="21" borderId="18" xfId="0" applyFont="1" applyFill="1" applyBorder="1" applyAlignment="1">
      <alignment horizontal="center"/>
    </xf>
  </cellXfs>
  <cellStyles count="4">
    <cellStyle name="Normal" xfId="0" builtinId="0"/>
    <cellStyle name="Normal 2" xfId="3" xr:uid="{00000000-0005-0000-0000-000001000000}"/>
    <cellStyle name="Normal 3" xfId="2" xr:uid="{00000000-0005-0000-0000-000002000000}"/>
    <cellStyle name="Vírgula" xfId="1" builtinId="3"/>
  </cellStyles>
  <dxfs count="14"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manoelluiz007/EducacaoBasicaExce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2</xdr:row>
      <xdr:rowOff>171450</xdr:rowOff>
    </xdr:from>
    <xdr:to>
      <xdr:col>2</xdr:col>
      <xdr:colOff>114300</xdr:colOff>
      <xdr:row>4</xdr:row>
      <xdr:rowOff>133350</xdr:rowOff>
    </xdr:to>
    <xdr:sp macro="[0]!Converso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0" y="561975"/>
          <a:ext cx="2209800" cy="352425"/>
        </a:xfrm>
        <a:prstGeom prst="flowChartAlternateProcess">
          <a:avLst/>
        </a:prstGeom>
        <a:effectLst/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Conversor</a:t>
          </a:r>
          <a:r>
            <a:rPr lang="pt-BR" sz="1200" b="1" baseline="0"/>
            <a:t> Nota &gt; Conceito</a:t>
          </a:r>
          <a:endParaRPr lang="pt-BR" sz="1200" b="1"/>
        </a:p>
      </xdr:txBody>
    </xdr:sp>
    <xdr:clientData fPrintsWithSheet="0"/>
  </xdr:twoCellAnchor>
  <xdr:twoCellAnchor editAs="absolute">
    <xdr:from>
      <xdr:col>2</xdr:col>
      <xdr:colOff>171450</xdr:colOff>
      <xdr:row>2</xdr:row>
      <xdr:rowOff>171450</xdr:rowOff>
    </xdr:from>
    <xdr:to>
      <xdr:col>12</xdr:col>
      <xdr:colOff>0</xdr:colOff>
      <xdr:row>4</xdr:row>
      <xdr:rowOff>133350</xdr:rowOff>
    </xdr:to>
    <xdr:sp macro="[0]!Tabela" textlink="">
      <xdr:nvSpPr>
        <xdr:cNvPr id="7" name="Fluxograma: Processo alternativ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552700" y="561975"/>
          <a:ext cx="2209800" cy="352425"/>
        </a:xfrm>
        <a:prstGeom prst="flowChartAlternateProcess">
          <a:avLst/>
        </a:prstGeom>
        <a:effectLst/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Tabel</a:t>
          </a:r>
          <a:r>
            <a:rPr lang="pt-BR" sz="1200" b="1" baseline="0"/>
            <a:t>a de Conversão</a:t>
          </a:r>
          <a:endParaRPr lang="pt-BR" sz="1200" b="1"/>
        </a:p>
      </xdr:txBody>
    </xdr:sp>
    <xdr:clientData fPrintsWithSheet="0"/>
  </xdr:twoCellAnchor>
  <xdr:twoCellAnchor editAs="absolute">
    <xdr:from>
      <xdr:col>1</xdr:col>
      <xdr:colOff>47625</xdr:colOff>
      <xdr:row>0</xdr:row>
      <xdr:rowOff>38100</xdr:rowOff>
    </xdr:from>
    <xdr:to>
      <xdr:col>1</xdr:col>
      <xdr:colOff>1104900</xdr:colOff>
      <xdr:row>2</xdr:row>
      <xdr:rowOff>0</xdr:rowOff>
    </xdr:to>
    <xdr:sp macro="[0]!CliqueNoMenu" textlink="">
      <xdr:nvSpPr>
        <xdr:cNvPr id="8" name="Fluxograma: Processo alternativ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76225" y="38100"/>
          <a:ext cx="1057275" cy="352425"/>
        </a:xfrm>
        <a:prstGeom prst="flowChartAlternateProcess">
          <a:avLst/>
        </a:prstGeom>
        <a:effectLst/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1</xdr:col>
      <xdr:colOff>1181100</xdr:colOff>
      <xdr:row>0</xdr:row>
      <xdr:rowOff>38100</xdr:rowOff>
    </xdr:from>
    <xdr:to>
      <xdr:col>2</xdr:col>
      <xdr:colOff>85725</xdr:colOff>
      <xdr:row>2</xdr:row>
      <xdr:rowOff>0</xdr:rowOff>
    </xdr:to>
    <xdr:sp macro="[0]!CliqueNaPresenca" textlink="">
      <xdr:nvSpPr>
        <xdr:cNvPr id="9" name="Fluxograma: Processo alternativ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409700" y="38100"/>
          <a:ext cx="1057275" cy="352425"/>
        </a:xfrm>
        <a:prstGeom prst="flowChartAlternateProcess">
          <a:avLst/>
        </a:prstGeom>
        <a:effectLst/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PRESENÇA</a:t>
          </a:r>
        </a:p>
      </xdr:txBody>
    </xdr:sp>
    <xdr:clientData fPrintsWithSheet="0"/>
  </xdr:twoCellAnchor>
  <xdr:twoCellAnchor editAs="absolute">
    <xdr:from>
      <xdr:col>2</xdr:col>
      <xdr:colOff>161925</xdr:colOff>
      <xdr:row>0</xdr:row>
      <xdr:rowOff>38100</xdr:rowOff>
    </xdr:from>
    <xdr:to>
      <xdr:col>11</xdr:col>
      <xdr:colOff>228600</xdr:colOff>
      <xdr:row>2</xdr:row>
      <xdr:rowOff>0</xdr:rowOff>
    </xdr:to>
    <xdr:sp macro="[0]!CliqueNaNota" textlink="">
      <xdr:nvSpPr>
        <xdr:cNvPr id="10" name="Fluxograma: Processo alternativ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543175" y="38100"/>
          <a:ext cx="2209800" cy="352425"/>
        </a:xfrm>
        <a:prstGeom prst="flowChartAlternateProcess">
          <a:avLst/>
        </a:prstGeom>
        <a:effectLst/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CADERNETA/NOTAS</a:t>
          </a:r>
        </a:p>
      </xdr:txBody>
    </xdr:sp>
    <xdr:clientData fPrintsWithSheet="0"/>
  </xdr:twoCellAnchor>
  <xdr:twoCellAnchor editAs="absolute">
    <xdr:from>
      <xdr:col>12</xdr:col>
      <xdr:colOff>57150</xdr:colOff>
      <xdr:row>0</xdr:row>
      <xdr:rowOff>38100</xdr:rowOff>
    </xdr:from>
    <xdr:to>
      <xdr:col>22</xdr:col>
      <xdr:colOff>28575</xdr:colOff>
      <xdr:row>2</xdr:row>
      <xdr:rowOff>0</xdr:rowOff>
    </xdr:to>
    <xdr:sp macro="[0]!CliqueNaFicha" textlink="">
      <xdr:nvSpPr>
        <xdr:cNvPr id="11" name="Fluxograma: Processo alternativ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819650" y="38100"/>
          <a:ext cx="2352675" cy="352425"/>
        </a:xfrm>
        <a:prstGeom prst="flowChartAlternateProcess">
          <a:avLst/>
        </a:prstGeom>
        <a:effectLst/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FICHA</a:t>
          </a:r>
          <a:r>
            <a:rPr lang="pt-BR" sz="1200" b="1" baseline="0"/>
            <a:t> INDIVIDUAL</a:t>
          </a:r>
          <a:endParaRPr lang="pt-BR" sz="1200" b="1"/>
        </a:p>
      </xdr:txBody>
    </xdr:sp>
    <xdr:clientData fPrintsWithSheet="0"/>
  </xdr:twoCellAnchor>
  <xdr:twoCellAnchor editAs="absolute">
    <xdr:from>
      <xdr:col>22</xdr:col>
      <xdr:colOff>95250</xdr:colOff>
      <xdr:row>0</xdr:row>
      <xdr:rowOff>38100</xdr:rowOff>
    </xdr:from>
    <xdr:to>
      <xdr:col>32</xdr:col>
      <xdr:colOff>104775</xdr:colOff>
      <xdr:row>2</xdr:row>
      <xdr:rowOff>0</xdr:rowOff>
    </xdr:to>
    <xdr:sp macro="[0]!CliqueNoMapa" textlink="">
      <xdr:nvSpPr>
        <xdr:cNvPr id="12" name="Fluxograma: Processo alternativ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239000" y="38100"/>
          <a:ext cx="2352675" cy="352425"/>
        </a:xfrm>
        <a:prstGeom prst="flowChartAlternateProcess">
          <a:avLst/>
        </a:prstGeom>
        <a:effectLst/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MAPA DE RENDIMENTO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23813</xdr:colOff>
      <xdr:row>1</xdr:row>
      <xdr:rowOff>23814</xdr:rowOff>
    </xdr:from>
    <xdr:to>
      <xdr:col>1</xdr:col>
      <xdr:colOff>1081088</xdr:colOff>
      <xdr:row>2</xdr:row>
      <xdr:rowOff>173832</xdr:rowOff>
    </xdr:to>
    <xdr:sp macro="[0]!CliqueNoMenu" textlink="">
      <xdr:nvSpPr>
        <xdr:cNvPr id="7" name="Fluxograma: Processo alternativ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50032" y="226220"/>
          <a:ext cx="1057275" cy="352425"/>
        </a:xfrm>
        <a:prstGeom prst="flowChartAlternateProcess">
          <a:avLst/>
        </a:prstGeom>
        <a:effectLst/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10586</xdr:colOff>
      <xdr:row>1</xdr:row>
      <xdr:rowOff>21169</xdr:rowOff>
    </xdr:from>
    <xdr:to>
      <xdr:col>1</xdr:col>
      <xdr:colOff>1067861</xdr:colOff>
      <xdr:row>2</xdr:row>
      <xdr:rowOff>172510</xdr:rowOff>
    </xdr:to>
    <xdr:sp macro="[0]!CliqueNoMenu" textlink="">
      <xdr:nvSpPr>
        <xdr:cNvPr id="6" name="Fluxograma: Processo alternativ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43419" y="222252"/>
          <a:ext cx="1057275" cy="352425"/>
        </a:xfrm>
        <a:prstGeom prst="flowChartAlternateProcess">
          <a:avLst/>
        </a:prstGeom>
        <a:effectLst/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726623</xdr:colOff>
      <xdr:row>0</xdr:row>
      <xdr:rowOff>340180</xdr:rowOff>
    </xdr:from>
    <xdr:to>
      <xdr:col>10</xdr:col>
      <xdr:colOff>40823</xdr:colOff>
      <xdr:row>2</xdr:row>
      <xdr:rowOff>54322</xdr:rowOff>
    </xdr:to>
    <xdr:sp macro="" textlink="MENU!BA1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025980" y="340180"/>
          <a:ext cx="5913664" cy="3128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A4535C1-B5D7-4C91-B4E2-1D6569344A13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E.M.E.I.E.F. Fictício</a:t>
          </a:fld>
          <a:endParaRPr lang="en-US" sz="1400" b="1"/>
        </a:p>
      </xdr:txBody>
    </xdr:sp>
    <xdr:clientData/>
  </xdr:twoCellAnchor>
  <xdr:twoCellAnchor editAs="absolute">
    <xdr:from>
      <xdr:col>1</xdr:col>
      <xdr:colOff>1140281</xdr:colOff>
      <xdr:row>2</xdr:row>
      <xdr:rowOff>19050</xdr:rowOff>
    </xdr:from>
    <xdr:to>
      <xdr:col>12</xdr:col>
      <xdr:colOff>258537</xdr:colOff>
      <xdr:row>3</xdr:row>
      <xdr:rowOff>171336</xdr:rowOff>
    </xdr:to>
    <xdr:sp macro="" textlink="MENU!BA4">
      <xdr:nvSpPr>
        <xdr:cNvPr id="3" name="CaixaDe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439638" y="617764"/>
          <a:ext cx="66157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1EFE4CA-75AA-4785-9138-40694578A0D0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Fulano Sobrenome</a:t>
          </a:fld>
          <a:endParaRPr lang="en-US" sz="1600" b="1"/>
        </a:p>
      </xdr:txBody>
    </xdr:sp>
    <xdr:clientData/>
  </xdr:twoCellAnchor>
  <xdr:twoCellAnchor editAs="absolute">
    <xdr:from>
      <xdr:col>1</xdr:col>
      <xdr:colOff>959302</xdr:colOff>
      <xdr:row>3</xdr:row>
      <xdr:rowOff>118382</xdr:rowOff>
    </xdr:from>
    <xdr:to>
      <xdr:col>6</xdr:col>
      <xdr:colOff>170087</xdr:colOff>
      <xdr:row>5</xdr:row>
      <xdr:rowOff>63876</xdr:rowOff>
    </xdr:to>
    <xdr:sp macro="" textlink="MENU!BA6">
      <xdr:nvSpPr>
        <xdr:cNvPr id="4" name="CaixaDe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258659" y="907596"/>
          <a:ext cx="4014107" cy="3537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3D60CF5-118F-4F22-990C-34FD590C6192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2022</a:t>
          </a:fld>
          <a:endParaRPr lang="pt-BR" sz="1400" b="1" u="sng"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1066800</xdr:colOff>
      <xdr:row>0</xdr:row>
      <xdr:rowOff>360000</xdr:rowOff>
    </xdr:to>
    <xdr:sp macro="[0]!CliqueNoMenu" textlink="">
      <xdr:nvSpPr>
        <xdr:cNvPr id="5" name="Retângulo 4" descr="Exibe a planilha Menu" title="Menu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0" y="0"/>
          <a:ext cx="1343025" cy="360000"/>
        </a:xfrm>
        <a:prstGeom prst="rect">
          <a:avLst/>
        </a:prstGeom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 Black" pitchFamily="34" charset="0"/>
            </a:rPr>
            <a:t>MENU</a:t>
          </a:r>
          <a:endParaRPr lang="pt-BR" sz="1100" b="1">
            <a:latin typeface="Arial Black" pitchFamily="34" charset="0"/>
          </a:endParaRPr>
        </a:p>
      </xdr:txBody>
    </xdr:sp>
    <xdr:clientData fPrintsWithSheet="0"/>
  </xdr:twoCellAnchor>
  <xdr:twoCellAnchor editAs="absolute">
    <xdr:from>
      <xdr:col>15</xdr:col>
      <xdr:colOff>1247775</xdr:colOff>
      <xdr:row>0</xdr:row>
      <xdr:rowOff>9524</xdr:rowOff>
    </xdr:from>
    <xdr:to>
      <xdr:col>21</xdr:col>
      <xdr:colOff>0</xdr:colOff>
      <xdr:row>0</xdr:row>
      <xdr:rowOff>369524</xdr:rowOff>
    </xdr:to>
    <xdr:sp macro="[0]!imprimir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0248900" y="9524"/>
          <a:ext cx="1990725" cy="3600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 Black" pitchFamily="34" charset="0"/>
            </a:rPr>
            <a:t>IMPRIMIR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744364</xdr:colOff>
      <xdr:row>22</xdr:row>
      <xdr:rowOff>157179</xdr:rowOff>
    </xdr:from>
    <xdr:to>
      <xdr:col>3</xdr:col>
      <xdr:colOff>9123</xdr:colOff>
      <xdr:row>27</xdr:row>
      <xdr:rowOff>47624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44364" y="4395804"/>
          <a:ext cx="2569934" cy="8429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200" b="1">
              <a:solidFill>
                <a:schemeClr val="tx1"/>
              </a:solidFill>
              <a:effectLst/>
              <a:latin typeface="Times New Roman" pitchFamily="18" charset="0"/>
              <a:ea typeface="+mn-ea"/>
              <a:cs typeface="Times New Roman" pitchFamily="18" charset="0"/>
            </a:rPr>
            <a:t>_______________________________</a:t>
          </a:r>
        </a:p>
        <a:p>
          <a:pPr algn="ctr"/>
          <a:r>
            <a:rPr lang="pt-BR" sz="1200" b="1">
              <a:solidFill>
                <a:schemeClr val="tx1"/>
              </a:solidFill>
              <a:effectLst/>
              <a:latin typeface="Times New Roman" pitchFamily="18" charset="0"/>
              <a:ea typeface="+mn-ea"/>
              <a:cs typeface="Times New Roman" pitchFamily="18" charset="0"/>
            </a:rPr>
            <a:t>Secretário (a) Escolar</a:t>
          </a:r>
          <a:endParaRPr lang="pt-BR" sz="1200" b="1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absolute">
    <xdr:from>
      <xdr:col>3</xdr:col>
      <xdr:colOff>495178</xdr:colOff>
      <xdr:row>22</xdr:row>
      <xdr:rowOff>157180</xdr:rowOff>
    </xdr:from>
    <xdr:to>
      <xdr:col>8</xdr:col>
      <xdr:colOff>58284</xdr:colOff>
      <xdr:row>27</xdr:row>
      <xdr:rowOff>38100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800353" y="4395805"/>
          <a:ext cx="2592056" cy="8334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200" b="1">
              <a:solidFill>
                <a:schemeClr val="tx1"/>
              </a:solidFill>
              <a:effectLst/>
              <a:latin typeface="Times New Roman" pitchFamily="18" charset="0"/>
              <a:ea typeface="+mn-ea"/>
              <a:cs typeface="Times New Roman" pitchFamily="18" charset="0"/>
            </a:rPr>
            <a:t>_______________________________</a:t>
          </a:r>
        </a:p>
        <a:p>
          <a:pPr algn="ctr"/>
          <a:r>
            <a:rPr lang="pt-BR" sz="1200" b="1">
              <a:solidFill>
                <a:schemeClr val="tx1"/>
              </a:solidFill>
              <a:effectLst/>
              <a:latin typeface="Times New Roman" pitchFamily="18" charset="0"/>
              <a:ea typeface="+mn-ea"/>
              <a:cs typeface="Times New Roman" pitchFamily="18" charset="0"/>
            </a:rPr>
            <a:t>Gestor (a) Escolar</a:t>
          </a:r>
          <a:endParaRPr lang="pt-BR" sz="1200">
            <a:solidFill>
              <a:schemeClr val="tx1"/>
            </a:solidFill>
            <a:effectLst/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  <xdr:twoCellAnchor editAs="absolute">
    <xdr:from>
      <xdr:col>9</xdr:col>
      <xdr:colOff>136252</xdr:colOff>
      <xdr:row>22</xdr:row>
      <xdr:rowOff>166705</xdr:rowOff>
    </xdr:from>
    <xdr:to>
      <xdr:col>11</xdr:col>
      <xdr:colOff>750585</xdr:colOff>
      <xdr:row>27</xdr:row>
      <xdr:rowOff>28575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118077" y="4405330"/>
          <a:ext cx="2262158" cy="8143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200" b="1">
              <a:solidFill>
                <a:schemeClr val="tx1"/>
              </a:solidFill>
              <a:effectLst/>
              <a:latin typeface="Times New Roman" pitchFamily="18" charset="0"/>
              <a:ea typeface="+mn-ea"/>
              <a:cs typeface="Times New Roman" pitchFamily="18" charset="0"/>
            </a:rPr>
            <a:t>__________________________</a:t>
          </a:r>
        </a:p>
        <a:p>
          <a:pPr algn="ctr"/>
          <a:r>
            <a:rPr lang="pt-BR" sz="1200" b="1">
              <a:solidFill>
                <a:schemeClr val="tx1"/>
              </a:solidFill>
              <a:effectLst/>
              <a:latin typeface="Times New Roman" pitchFamily="18" charset="0"/>
              <a:ea typeface="+mn-ea"/>
              <a:cs typeface="Times New Roman" pitchFamily="18" charset="0"/>
            </a:rPr>
            <a:t>Resultado</a:t>
          </a:r>
          <a:endParaRPr lang="pt-BR" sz="1200">
            <a:solidFill>
              <a:schemeClr val="tx1"/>
            </a:solidFill>
            <a:effectLst/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  <xdr:twoCellAnchor editAs="absolute">
    <xdr:from>
      <xdr:col>0</xdr:col>
      <xdr:colOff>0</xdr:colOff>
      <xdr:row>19</xdr:row>
      <xdr:rowOff>0</xdr:rowOff>
    </xdr:from>
    <xdr:to>
      <xdr:col>0</xdr:col>
      <xdr:colOff>1343025</xdr:colOff>
      <xdr:row>20</xdr:row>
      <xdr:rowOff>169500</xdr:rowOff>
    </xdr:to>
    <xdr:sp macro="[0]!CliqueNoMenu" textlink="">
      <xdr:nvSpPr>
        <xdr:cNvPr id="7" name="Retângulo 6" descr="Exibe a planilha Menu" title="Menu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0" y="3667125"/>
          <a:ext cx="1343025" cy="360000"/>
        </a:xfrm>
        <a:prstGeom prst="rect">
          <a:avLst/>
        </a:prstGeom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Arial Black" pitchFamily="34" charset="0"/>
            </a:rPr>
            <a:t>MENU</a:t>
          </a:r>
          <a:endParaRPr lang="pt-BR" sz="1100" b="1">
            <a:latin typeface="Arial Black" pitchFamily="34" charset="0"/>
          </a:endParaRPr>
        </a:p>
      </xdr:txBody>
    </xdr:sp>
    <xdr:clientData fPrintsWithSheet="0"/>
  </xdr:twoCellAnchor>
  <xdr:twoCellAnchor editAs="absolute">
    <xdr:from>
      <xdr:col>0</xdr:col>
      <xdr:colOff>1419225</xdr:colOff>
      <xdr:row>18</xdr:row>
      <xdr:rowOff>190499</xdr:rowOff>
    </xdr:from>
    <xdr:to>
      <xdr:col>3</xdr:col>
      <xdr:colOff>104775</xdr:colOff>
      <xdr:row>20</xdr:row>
      <xdr:rowOff>169499</xdr:rowOff>
    </xdr:to>
    <xdr:sp macro="[0]!imprimir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419225" y="3667124"/>
          <a:ext cx="1990725" cy="3600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 Black" pitchFamily="34" charset="0"/>
            </a:rPr>
            <a:t>IMPRIMIR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1057275</xdr:colOff>
      <xdr:row>0</xdr:row>
      <xdr:rowOff>352425</xdr:rowOff>
    </xdr:to>
    <xdr:sp macro="[0]!CliqueNoMenu" textlink="">
      <xdr:nvSpPr>
        <xdr:cNvPr id="3" name="Fluxograma: Processo alternativ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0"/>
          <a:ext cx="1057275" cy="352425"/>
        </a:xfrm>
        <a:prstGeom prst="flowChartAlternateProcess">
          <a:avLst/>
        </a:prstGeom>
        <a:effectLst/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78828</xdr:colOff>
      <xdr:row>5</xdr:row>
      <xdr:rowOff>13140</xdr:rowOff>
    </xdr:from>
    <xdr:to>
      <xdr:col>7</xdr:col>
      <xdr:colOff>525190</xdr:colOff>
      <xdr:row>6</xdr:row>
      <xdr:rowOff>165211</xdr:rowOff>
    </xdr:to>
    <xdr:sp macro="[0]!CliqueNoMenu" textlink="">
      <xdr:nvSpPr>
        <xdr:cNvPr id="3" name="Fluxograma: Processo alternativ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818087" y="1014907"/>
          <a:ext cx="1057275" cy="352425"/>
        </a:xfrm>
        <a:prstGeom prst="flowChartAlternateProcess">
          <a:avLst/>
        </a:prstGeom>
        <a:effectLst/>
        <a:scene3d>
          <a:camera prst="orthographicFront"/>
          <a:lightRig rig="threePt" dir="t"/>
        </a:scene3d>
        <a:sp3d prstMaterial="plastic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0</xdr:col>
      <xdr:colOff>3285</xdr:colOff>
      <xdr:row>6</xdr:row>
      <xdr:rowOff>199284</xdr:rowOff>
    </xdr:from>
    <xdr:to>
      <xdr:col>8</xdr:col>
      <xdr:colOff>3285</xdr:colOff>
      <xdr:row>7</xdr:row>
      <xdr:rowOff>179750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6887DD-6453-49EF-B547-5D024FD86D97}"/>
            </a:ext>
          </a:extLst>
        </xdr:cNvPr>
        <xdr:cNvSpPr txBox="1"/>
      </xdr:nvSpPr>
      <xdr:spPr>
        <a:xfrm>
          <a:off x="3285" y="1401405"/>
          <a:ext cx="3961086" cy="180819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600" b="1" u="sng">
              <a:solidFill>
                <a:schemeClr val="bg1"/>
              </a:solidFill>
              <a:effectLst/>
              <a:latin typeface="Times New Roman" pitchFamily="18" charset="0"/>
              <a:ea typeface="+mn-ea"/>
              <a:cs typeface="Times New Roman" pitchFamily="18" charset="0"/>
            </a:rPr>
            <a:t>https://github.com/manoelluiz007/EducacaoBasicaExcel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</a:spPr>
      <a:bodyPr vertOverflow="clip" horzOverflow="clip" wrap="none" rtlCol="0" anchor="ctr">
        <a:spAutoFit/>
      </a:bodyPr>
      <a:lstStyle>
        <a:defPPr algn="ctr">
          <a:defRPr sz="1200" b="1">
            <a:solidFill>
              <a:schemeClr val="tx1"/>
            </a:solidFill>
            <a:effectLst/>
            <a:latin typeface="Times New Roman" pitchFamily="18" charset="0"/>
            <a:ea typeface="+mn-ea"/>
            <a:cs typeface="Times New Roman" pitchFamily="18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A39"/>
  <sheetViews>
    <sheetView showGridLines="0" showRowColHeaders="0" tabSelected="1" view="pageBreakPreview" zoomScaleNormal="100" zoomScaleSheetLayoutView="10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C10" sqref="C10"/>
    </sheetView>
  </sheetViews>
  <sheetFormatPr defaultColWidth="9.140625" defaultRowHeight="15"/>
  <cols>
    <col min="1" max="1" width="3.42578125" bestFit="1" customWidth="1"/>
    <col min="2" max="2" width="32.28515625" bestFit="1" customWidth="1"/>
    <col min="3" max="28" width="3.5703125" style="35" customWidth="1"/>
    <col min="29" max="29" width="3" style="35" bestFit="1" customWidth="1"/>
    <col min="30" max="42" width="3.5703125" style="35" customWidth="1"/>
    <col min="43" max="43" width="11.28515625" customWidth="1"/>
    <col min="45" max="45" width="10.140625" customWidth="1"/>
    <col min="46" max="46" width="7" customWidth="1"/>
    <col min="52" max="52" width="14.7109375" bestFit="1" customWidth="1"/>
  </cols>
  <sheetData>
    <row r="1" spans="1:53" ht="15.75" thickBot="1">
      <c r="A1" s="180"/>
      <c r="B1" s="181" t="s">
        <v>54</v>
      </c>
      <c r="C1" s="247" t="str">
        <f>NOTAS!C1</f>
        <v>E.M.E.I.E.F. Fictício</v>
      </c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  <c r="P1" s="247"/>
      <c r="Q1" s="247"/>
      <c r="R1" s="247"/>
      <c r="S1" s="247"/>
      <c r="T1" s="247"/>
      <c r="U1" s="247"/>
      <c r="V1" s="247"/>
      <c r="W1" s="247"/>
      <c r="X1" s="247"/>
      <c r="Y1" s="247"/>
      <c r="Z1" s="247"/>
      <c r="AA1" s="247"/>
      <c r="AB1" s="247"/>
      <c r="AC1" s="247"/>
      <c r="AD1" s="247"/>
      <c r="AE1" s="247"/>
      <c r="AF1" s="247"/>
      <c r="AG1" s="247"/>
      <c r="AH1" s="247"/>
      <c r="AI1" s="247"/>
      <c r="AJ1" s="247"/>
      <c r="AK1" s="247"/>
      <c r="AL1" s="247"/>
      <c r="AM1" s="247"/>
      <c r="AN1" s="247"/>
      <c r="AO1" s="247"/>
      <c r="AP1" s="247"/>
      <c r="AQ1" s="165"/>
      <c r="AZ1" t="s">
        <v>22</v>
      </c>
      <c r="BA1" t="str">
        <f ca="1">INDIRECT(CONCATENATE("MENU!",TEXT(CONCATENATE("C",TEXT(1,"#")),)))</f>
        <v>E.M.E.I.E.F. Fictício</v>
      </c>
    </row>
    <row r="2" spans="1:53">
      <c r="A2" s="182"/>
      <c r="B2" s="181" t="s">
        <v>45</v>
      </c>
      <c r="C2" s="247" t="str">
        <f>NOTAS!C2</f>
        <v>1 ANO - A ao 5 Ano Fundamental</v>
      </c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165"/>
      <c r="AZ2" t="s">
        <v>3</v>
      </c>
      <c r="BA2" t="str">
        <f ca="1">INDIRECT(CONCATENATE("MENU!",TEXT(CONCATENATE("C",TEXT(2,"#")),)))</f>
        <v>1 ANO - A ao 5 Ano Fundamental</v>
      </c>
    </row>
    <row r="3" spans="1:53">
      <c r="A3" s="182"/>
      <c r="B3" s="181" t="s">
        <v>46</v>
      </c>
      <c r="C3" s="247" t="str">
        <f>NOTAS!C3</f>
        <v>Intermediario</v>
      </c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  <c r="AF3" s="247"/>
      <c r="AG3" s="247"/>
      <c r="AH3" s="247"/>
      <c r="AI3" s="247"/>
      <c r="AJ3" s="247"/>
      <c r="AK3" s="247"/>
      <c r="AL3" s="247"/>
      <c r="AM3" s="247"/>
      <c r="AN3" s="247"/>
      <c r="AO3" s="247"/>
      <c r="AP3" s="247"/>
      <c r="AQ3" s="165"/>
      <c r="AZ3" t="s">
        <v>4</v>
      </c>
      <c r="BA3" t="str">
        <f ca="1">INDIRECT(CONCATENATE("MENU!",TEXT(CONCATENATE("C",TEXT(3,"#")),)))</f>
        <v>Intermediario</v>
      </c>
    </row>
    <row r="4" spans="1:53" ht="15.75" thickBot="1">
      <c r="A4" s="182"/>
      <c r="B4" s="181" t="s">
        <v>47</v>
      </c>
      <c r="C4" s="247" t="str">
        <f>NOTAS!C4</f>
        <v>Fulano Sobrenome</v>
      </c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7"/>
      <c r="Q4" s="247"/>
      <c r="R4" s="247"/>
      <c r="S4" s="247"/>
      <c r="T4" s="247"/>
      <c r="U4" s="247"/>
      <c r="V4" s="247"/>
      <c r="W4" s="247"/>
      <c r="X4" s="247"/>
      <c r="Y4" s="247"/>
      <c r="Z4" s="247"/>
      <c r="AA4" s="247"/>
      <c r="AB4" s="247"/>
      <c r="AC4" s="247"/>
      <c r="AD4" s="247"/>
      <c r="AE4" s="247"/>
      <c r="AF4" s="247"/>
      <c r="AG4" s="247"/>
      <c r="AH4" s="247"/>
      <c r="AI4" s="247"/>
      <c r="AJ4" s="247"/>
      <c r="AK4" s="247"/>
      <c r="AL4" s="247"/>
      <c r="AM4" s="247"/>
      <c r="AN4" s="247"/>
      <c r="AO4" s="247"/>
      <c r="AP4" s="247"/>
      <c r="AQ4" s="165"/>
      <c r="AZ4" t="s">
        <v>61</v>
      </c>
      <c r="BA4" t="str">
        <f ca="1">INDIRECT(CONCATENATE("MENU!",TEXT(CONCATENATE("C",TEXT(4,"#")),)))</f>
        <v>Fulano Sobrenome</v>
      </c>
    </row>
    <row r="5" spans="1:53" ht="15.75" thickBot="1">
      <c r="A5" s="182"/>
      <c r="B5" s="181" t="s">
        <v>53</v>
      </c>
      <c r="C5" s="247">
        <f>NOTAS!C5</f>
        <v>2022</v>
      </c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  <c r="T5" s="247"/>
      <c r="U5" s="247"/>
      <c r="V5" s="247"/>
      <c r="W5" s="247"/>
      <c r="X5" s="247"/>
      <c r="Y5" s="247"/>
      <c r="Z5" s="247"/>
      <c r="AA5" s="247"/>
      <c r="AB5" s="247"/>
      <c r="AC5" s="247"/>
      <c r="AD5" s="247"/>
      <c r="AE5" s="247"/>
      <c r="AF5" s="247"/>
      <c r="AG5" s="247"/>
      <c r="AH5" s="247"/>
      <c r="AI5" s="247"/>
      <c r="AJ5" s="247"/>
      <c r="AK5" s="247"/>
      <c r="AL5" s="247"/>
      <c r="AM5" s="247"/>
      <c r="AN5" s="247"/>
      <c r="AO5" s="247"/>
      <c r="AP5" s="247"/>
      <c r="AQ5" s="248" t="s">
        <v>8</v>
      </c>
      <c r="AR5" s="249"/>
      <c r="AS5" s="249"/>
      <c r="AT5" s="250"/>
      <c r="AZ5" t="s">
        <v>62</v>
      </c>
      <c r="BA5" t="str">
        <f ca="1">INDIRECT(CONCATENATE("MENU!",TEXT(CONCATENATE("B",TEXT($C$6,"#")),)))</f>
        <v>Fictício Sobrenome</v>
      </c>
    </row>
    <row r="6" spans="1:53" ht="15.75" thickBot="1">
      <c r="A6" s="182"/>
      <c r="B6" s="183" t="s">
        <v>57</v>
      </c>
      <c r="C6" s="225">
        <f ca="1">CELL("LIN")</f>
        <v>10</v>
      </c>
      <c r="D6" s="226"/>
      <c r="E6" s="226"/>
      <c r="F6" s="226"/>
      <c r="G6" s="226"/>
      <c r="H6" s="226"/>
      <c r="I6" s="226"/>
      <c r="J6" s="227"/>
      <c r="K6" s="184"/>
      <c r="L6" s="184"/>
      <c r="M6" s="259" t="s">
        <v>64</v>
      </c>
      <c r="N6" s="260"/>
      <c r="O6" s="260"/>
      <c r="P6" s="260"/>
      <c r="Q6" s="260"/>
      <c r="R6" s="260"/>
      <c r="S6" s="260"/>
      <c r="T6" s="261"/>
      <c r="U6" s="256">
        <f ca="1">CELL("COL")</f>
        <v>3</v>
      </c>
      <c r="V6" s="257"/>
      <c r="W6" s="257"/>
      <c r="X6" s="257"/>
      <c r="Y6" s="257"/>
      <c r="Z6" s="257"/>
      <c r="AA6" s="257"/>
      <c r="AB6" s="258"/>
      <c r="AC6" s="256" t="str">
        <f ca="1">ADDRESS(C6,U6)</f>
        <v>$C$10</v>
      </c>
      <c r="AD6" s="257"/>
      <c r="AE6" s="258"/>
      <c r="AF6" s="185"/>
      <c r="AG6" s="241" t="str">
        <f ca="1">IF($U$6&gt;2,IF($U$6&lt;=7,"LÍNGUA PORTUGUESA",IF($U$6&lt;=12,"MATEMÁTICA",IF($U$6&lt;=17,"HISTORIA",IF($U$6&lt;=22,"GEOGRAFIA",IF($U$6&lt;=27,"CIÊNCIAS",IF($U$6&lt;=32,"ARTES",IF($U$6&lt;=37,"EDUCAÇÃO FISÍCA",IF($U$6&lt;=42,"ENSINO RELIGIOSO","Erro")))))))),"Erro")</f>
        <v>LÍNGUA PORTUGUESA</v>
      </c>
      <c r="AH6" s="242"/>
      <c r="AI6" s="242"/>
      <c r="AJ6" s="242"/>
      <c r="AK6" s="242"/>
      <c r="AL6" s="242"/>
      <c r="AM6" s="242"/>
      <c r="AN6" s="243"/>
      <c r="AO6" s="186"/>
      <c r="AP6" s="187">
        <f ca="1">IF(AG6="LÍNGUA PORTUGUESA",3,IF(AG6="MATEMÁTICA",8,IF(AG6="HISTORIA",13,IF(AG6="GEOGRAFIA",18,IF(AG6="CIÊNCIAS",23,IF(AG6="ARTES",28,IF(AG6="EDUCAÇÃO FISÍCA",33,IF(AG6="ENSINO RELIGIOSO",38,"Erro"))))))))</f>
        <v>3</v>
      </c>
      <c r="AQ6" s="251"/>
      <c r="AR6" s="252"/>
      <c r="AS6" s="252"/>
      <c r="AT6" s="253"/>
      <c r="AZ6" t="s">
        <v>63</v>
      </c>
      <c r="BA6">
        <f ca="1">INDIRECT(CONCATENATE("MENU!",TEXT(CONCATENATE("C",TEXT(5,"#")),)))</f>
        <v>2022</v>
      </c>
    </row>
    <row r="7" spans="1:53" ht="15.75" thickBot="1">
      <c r="A7" s="188"/>
      <c r="B7" s="181"/>
      <c r="C7" s="189">
        <v>3</v>
      </c>
      <c r="D7" s="189"/>
      <c r="E7" s="189"/>
      <c r="F7" s="189"/>
      <c r="G7" s="189"/>
      <c r="H7" s="189">
        <v>8</v>
      </c>
      <c r="I7" s="189"/>
      <c r="J7" s="189"/>
      <c r="K7" s="187"/>
      <c r="L7" s="187"/>
      <c r="M7" s="187">
        <v>13</v>
      </c>
      <c r="N7" s="187"/>
      <c r="O7" s="187"/>
      <c r="P7" s="187"/>
      <c r="Q7" s="187"/>
      <c r="R7" s="187">
        <v>18</v>
      </c>
      <c r="S7" s="187"/>
      <c r="T7" s="187"/>
      <c r="U7" s="187"/>
      <c r="V7" s="187"/>
      <c r="W7" s="187">
        <v>23</v>
      </c>
      <c r="X7" s="187"/>
      <c r="Y7" s="187"/>
      <c r="Z7" s="187"/>
      <c r="AA7" s="187"/>
      <c r="AB7" s="187">
        <v>28</v>
      </c>
      <c r="AC7" s="187"/>
      <c r="AD7" s="187"/>
      <c r="AE7" s="187"/>
      <c r="AF7" s="187"/>
      <c r="AG7" s="187">
        <v>33</v>
      </c>
      <c r="AH7" s="187"/>
      <c r="AI7" s="187"/>
      <c r="AJ7" s="187"/>
      <c r="AK7" s="187"/>
      <c r="AL7" s="187">
        <v>38</v>
      </c>
      <c r="AM7" s="187"/>
      <c r="AN7" s="187"/>
      <c r="AO7" s="187"/>
      <c r="AP7" s="187">
        <v>42</v>
      </c>
      <c r="AQ7" s="254" t="s">
        <v>12</v>
      </c>
      <c r="AR7" s="255"/>
      <c r="AS7" s="254" t="s">
        <v>14</v>
      </c>
      <c r="AT7" s="255"/>
      <c r="AZ7" t="s">
        <v>65</v>
      </c>
      <c r="BA7">
        <f ca="1">INDIRECT(CONCATENATE("MENU!",TEXT(CONCATENATE("AA",TEXT(6,"#")),)))</f>
        <v>0</v>
      </c>
    </row>
    <row r="8" spans="1:53" ht="15.75" thickBot="1">
      <c r="A8" s="182"/>
      <c r="B8" s="190" t="s">
        <v>25</v>
      </c>
      <c r="C8" s="238" t="s">
        <v>26</v>
      </c>
      <c r="D8" s="239"/>
      <c r="E8" s="239"/>
      <c r="F8" s="239"/>
      <c r="G8" s="240"/>
      <c r="H8" s="235" t="s">
        <v>49</v>
      </c>
      <c r="I8" s="236"/>
      <c r="J8" s="236"/>
      <c r="K8" s="236"/>
      <c r="L8" s="237"/>
      <c r="M8" s="222" t="s">
        <v>50</v>
      </c>
      <c r="N8" s="223"/>
      <c r="O8" s="223"/>
      <c r="P8" s="223"/>
      <c r="Q8" s="224"/>
      <c r="R8" s="219" t="s">
        <v>34</v>
      </c>
      <c r="S8" s="220"/>
      <c r="T8" s="220"/>
      <c r="U8" s="220"/>
      <c r="V8" s="221"/>
      <c r="W8" s="244" t="s">
        <v>35</v>
      </c>
      <c r="X8" s="245"/>
      <c r="Y8" s="245"/>
      <c r="Z8" s="245"/>
      <c r="AA8" s="246"/>
      <c r="AB8" s="238" t="s">
        <v>52</v>
      </c>
      <c r="AC8" s="239"/>
      <c r="AD8" s="239"/>
      <c r="AE8" s="239"/>
      <c r="AF8" s="240"/>
      <c r="AG8" s="241" t="s">
        <v>55</v>
      </c>
      <c r="AH8" s="242"/>
      <c r="AI8" s="242"/>
      <c r="AJ8" s="242"/>
      <c r="AK8" s="243"/>
      <c r="AL8" s="232" t="s">
        <v>51</v>
      </c>
      <c r="AM8" s="233"/>
      <c r="AN8" s="233"/>
      <c r="AO8" s="233"/>
      <c r="AP8" s="234"/>
      <c r="AQ8" s="228" t="s">
        <v>13</v>
      </c>
      <c r="AR8" s="229"/>
      <c r="AS8" s="230" t="s">
        <v>15</v>
      </c>
      <c r="AT8" s="231"/>
    </row>
    <row r="9" spans="1:53" ht="15.75" thickBot="1">
      <c r="A9" s="191" t="s">
        <v>56</v>
      </c>
      <c r="B9" s="192" t="s">
        <v>48</v>
      </c>
      <c r="C9" s="193" t="s">
        <v>16</v>
      </c>
      <c r="D9" s="194" t="s">
        <v>17</v>
      </c>
      <c r="E9" s="195" t="s">
        <v>18</v>
      </c>
      <c r="F9" s="196" t="s">
        <v>19</v>
      </c>
      <c r="G9" s="195" t="s">
        <v>67</v>
      </c>
      <c r="H9" s="197" t="s">
        <v>16</v>
      </c>
      <c r="I9" s="198" t="s">
        <v>17</v>
      </c>
      <c r="J9" s="198" t="s">
        <v>18</v>
      </c>
      <c r="K9" s="199" t="s">
        <v>19</v>
      </c>
      <c r="L9" s="198" t="s">
        <v>67</v>
      </c>
      <c r="M9" s="200" t="s">
        <v>16</v>
      </c>
      <c r="N9" s="201" t="s">
        <v>17</v>
      </c>
      <c r="O9" s="201" t="s">
        <v>18</v>
      </c>
      <c r="P9" s="202" t="s">
        <v>19</v>
      </c>
      <c r="Q9" s="201" t="s">
        <v>67</v>
      </c>
      <c r="R9" s="203" t="s">
        <v>16</v>
      </c>
      <c r="S9" s="204" t="s">
        <v>17</v>
      </c>
      <c r="T9" s="204" t="s">
        <v>18</v>
      </c>
      <c r="U9" s="205" t="s">
        <v>19</v>
      </c>
      <c r="V9" s="204" t="s">
        <v>67</v>
      </c>
      <c r="W9" s="206" t="s">
        <v>16</v>
      </c>
      <c r="X9" s="207" t="s">
        <v>17</v>
      </c>
      <c r="Y9" s="207" t="s">
        <v>18</v>
      </c>
      <c r="Z9" s="208" t="s">
        <v>19</v>
      </c>
      <c r="AA9" s="207" t="s">
        <v>67</v>
      </c>
      <c r="AB9" s="209" t="s">
        <v>16</v>
      </c>
      <c r="AC9" s="210" t="s">
        <v>17</v>
      </c>
      <c r="AD9" s="210" t="s">
        <v>18</v>
      </c>
      <c r="AE9" s="211" t="s">
        <v>19</v>
      </c>
      <c r="AF9" s="210" t="s">
        <v>67</v>
      </c>
      <c r="AG9" s="212" t="s">
        <v>16</v>
      </c>
      <c r="AH9" s="213" t="s">
        <v>17</v>
      </c>
      <c r="AI9" s="213" t="s">
        <v>18</v>
      </c>
      <c r="AJ9" s="213" t="s">
        <v>19</v>
      </c>
      <c r="AK9" s="214" t="s">
        <v>67</v>
      </c>
      <c r="AL9" s="215" t="s">
        <v>16</v>
      </c>
      <c r="AM9" s="216" t="s">
        <v>17</v>
      </c>
      <c r="AN9" s="216" t="s">
        <v>18</v>
      </c>
      <c r="AO9" s="216" t="s">
        <v>19</v>
      </c>
      <c r="AP9" s="217" t="s">
        <v>67</v>
      </c>
      <c r="AQ9" s="39" t="s">
        <v>20</v>
      </c>
      <c r="AR9" s="19" t="s">
        <v>21</v>
      </c>
      <c r="AS9" s="19" t="s">
        <v>20</v>
      </c>
      <c r="AT9" s="40" t="s">
        <v>21</v>
      </c>
    </row>
    <row r="10" spans="1:53" ht="15.75" thickBot="1">
      <c r="A10" s="41">
        <f>NOTAS!A8</f>
        <v>1</v>
      </c>
      <c r="B10" s="100" t="str">
        <f>IF(NOTAS!B8&lt;&gt;"",NOTAS!B8,"")</f>
        <v>Fictício Sobrenome</v>
      </c>
      <c r="C10" s="169" t="str">
        <f>IF(NOTAS!C8="","",IF(NOTAS!C8&lt;=4.5,"EC",IF(NOTAS!C8&lt;=6.5,"R",IF(NOTAS!C8&lt;=8.5,"B",IF(NOTAS!C8&lt;=10,"E","Error")))))</f>
        <v>R</v>
      </c>
      <c r="D10" s="170" t="str">
        <f>IF(NOTAS!D8="","",IF(NOTAS!D8&lt;=4.5,"EC",IF(NOTAS!D8&lt;=6.5,"R",IF(NOTAS!D8&lt;=8.5,"B",IF(NOTAS!D8&lt;=10,"E","Error")))))</f>
        <v>R</v>
      </c>
      <c r="E10" s="169" t="str">
        <f>IF(NOTAS!E8="","",IF(NOTAS!E8&lt;=4.5,"EC",IF(NOTAS!E8&lt;=6.5,"R",IF(NOTAS!E8&lt;=8.5,"B",IF(NOTAS!E8&lt;=10,"E","Error")))))</f>
        <v>E</v>
      </c>
      <c r="F10" s="171" t="str">
        <f>IF(NOTAS!F8="","",IF(NOTAS!F8&lt;=4.5,"EC",IF(NOTAS!F8&lt;=6.5,"R",IF(NOTAS!F8&lt;=8.5,"B",IF(NOTAS!F8&lt;=10,"E","Error")))))</f>
        <v>E</v>
      </c>
      <c r="G10" s="136" t="str">
        <f>IF(NOTAS!G8="","",IF(NOTAS!G8&lt;=4.5,"EC",IF(NOTAS!G8&lt;=6.5,"R",IF(NOTAS!G8&lt;=8.5,"B",IF(NOTAS!G8&lt;=10,"E","Error")))))</f>
        <v>B</v>
      </c>
      <c r="H10" s="137" t="str">
        <f>IF(NOTAS!H8="","",IF(NOTAS!H8&lt;=4.5,"EC",IF(NOTAS!H8&lt;=6.5,"R",IF(NOTAS!H8&lt;=8.5,"B",IF(NOTAS!H8&lt;=10,"E","")))))</f>
        <v>EC</v>
      </c>
      <c r="I10" s="137" t="str">
        <f>IF(NOTAS!I8="","",IF(NOTAS!I8&lt;=4.5,"EC",IF(NOTAS!I8&lt;=6.5,"R",IF(NOTAS!I8&lt;=8.5,"B",IF(NOTAS!I8&lt;=10,"E","Error")))))</f>
        <v>B</v>
      </c>
      <c r="J10" s="137" t="str">
        <f>IF(NOTAS!J8="","",IF(NOTAS!J8&lt;=4.5,"EC",IF(NOTAS!J8&lt;=6.5,"R",IF(NOTAS!J8&lt;=8.5,"B",IF(NOTAS!J8&lt;=10,"E","Error")))))</f>
        <v>B</v>
      </c>
      <c r="K10" s="137" t="str">
        <f>IF(NOTAS!K8="","",IF(NOTAS!K8&lt;=4.5,"EC",IF(NOTAS!K8&lt;=6.5,"R",IF(NOTAS!K8&lt;=8.5,"B",IF(NOTAS!K8&lt;=10,"E","Error")))))</f>
        <v>E</v>
      </c>
      <c r="L10" s="138" t="str">
        <f>IF(NOTAS!L8="","",IF(NOTAS!L8&lt;=4.5,"EC",IF(NOTAS!L8&lt;=6.5,"R",IF(NOTAS!L8&lt;=8.5,"B",IF(NOTAS!L8&lt;=10,"E","Error")))))</f>
        <v>B</v>
      </c>
      <c r="M10" s="137" t="str">
        <f>IF(NOTAS!M8="","",IF(NOTAS!M8&lt;=4.5,"EC",IF(NOTAS!M8&lt;=6.5,"R",IF(NOTAS!M8&lt;=8.5,"B",IF(NOTAS!M8&lt;=10,"E","Error")))))</f>
        <v>E</v>
      </c>
      <c r="N10" s="137" t="str">
        <f>IF(NOTAS!N8="","",IF(NOTAS!N8&lt;=4.5,"EC",IF(NOTAS!N8&lt;=6.5,"R",IF(NOTAS!N8&lt;=8.5,"B",IF(NOTAS!N8&lt;=10,"E","Error")))))</f>
        <v>EC</v>
      </c>
      <c r="O10" s="137" t="str">
        <f>IF(NOTAS!O8="","",IF(NOTAS!O8&lt;=4.5,"EC",IF(NOTAS!O8&lt;=6.5,"R",IF(NOTAS!O8&lt;=8.5,"B",IF(NOTAS!O8&lt;=10,"E","Error")))))</f>
        <v>EC</v>
      </c>
      <c r="P10" s="137" t="str">
        <f>IF(NOTAS!P8="","",IF(NOTAS!P8&lt;=4.5,"EC",IF(NOTAS!P8&lt;=6.5,"R",IF(NOTAS!P8&lt;=8.5,"B",IF(NOTAS!P8&lt;=10,"E","Error")))))</f>
        <v>EC</v>
      </c>
      <c r="Q10" s="139" t="str">
        <f>IF(NOTAS!Q8="","",IF(NOTAS!Q8&lt;=4.5,"EC",IF(NOTAS!Q8&lt;=6.5,"R",IF(NOTAS!Q8&lt;=8.5,"B",IF(NOTAS!Q8&lt;=10,"E","Error")))))</f>
        <v>R</v>
      </c>
      <c r="R10" s="137" t="str">
        <f>IF(NOTAS!R8="","",IF(NOTAS!R8&lt;=4.5,"EC",IF(NOTAS!R8&lt;=6.5,"R",IF(NOTAS!R8&lt;=8.5,"B",IF(NOTAS!R8&lt;=10,"E","Error")))))</f>
        <v>EC</v>
      </c>
      <c r="S10" s="137" t="str">
        <f>IF(NOTAS!S8="","",IF(NOTAS!S8&lt;=4.5,"EC",IF(NOTAS!S8&lt;=6.5,"R",IF(NOTAS!S8&lt;=8.5,"B",IF(NOTAS!S8&lt;=10,"E","Error")))))</f>
        <v>EC</v>
      </c>
      <c r="T10" s="137" t="str">
        <f>IF(NOTAS!T8="","",IF(NOTAS!T8&lt;=4.5,"EC",IF(NOTAS!T8&lt;=6.5,"R",IF(NOTAS!T8&lt;=8.5,"B",IF(NOTAS!T8&lt;=10,"E","Error")))))</f>
        <v>EC</v>
      </c>
      <c r="U10" s="137" t="str">
        <f>IF(NOTAS!U8="","",IF(NOTAS!U8&lt;=4.5,"EC",IF(NOTAS!U8&lt;=6.5,"R",IF(NOTAS!U8&lt;=8.5,"B",IF(NOTAS!U8&lt;=10,"E","Error")))))</f>
        <v>EC</v>
      </c>
      <c r="V10" s="140" t="str">
        <f>IF(NOTAS!V8="","",IF(NOTAS!V8&lt;=4.5,"EC",IF(NOTAS!V8&lt;=6.5,"R",IF(NOTAS!V8&lt;=8.5,"B",IF(NOTAS!V8&lt;=10,"E","Error")))))</f>
        <v>EC</v>
      </c>
      <c r="W10" s="137" t="str">
        <f>IF(NOTAS!W8="","",IF(NOTAS!W8&lt;=4.5,"EC",IF(NOTAS!W8&lt;=6.5,"R",IF(NOTAS!W8&lt;=8.5,"B",IF(NOTAS!W8&lt;=10,"E","Error")))))</f>
        <v>E</v>
      </c>
      <c r="X10" s="137" t="str">
        <f>IF(NOTAS!X8="","",IF(NOTAS!X8&lt;=4.5,"EC",IF(NOTAS!X8&lt;=6.5,"R",IF(NOTAS!X8&lt;=8.5,"B",IF(NOTAS!X8&lt;=10,"E","Error")))))</f>
        <v>E</v>
      </c>
      <c r="Y10" s="137" t="str">
        <f>IF(NOTAS!Y8="","",IF(NOTAS!Y8&lt;=4.5,"EC",IF(NOTAS!Y8&lt;=6.5,"R",IF(NOTAS!Y8&lt;=8.5,"B",IF(NOTAS!Y8&lt;=10,"E","Error")))))</f>
        <v>B</v>
      </c>
      <c r="Z10" s="137" t="str">
        <f>IF(NOTAS!Z8="","",IF(NOTAS!Z8&lt;=4.5,"EC",IF(NOTAS!Z8&lt;=6.5,"R",IF(NOTAS!Z8&lt;=8.5,"B",IF(NOTAS!Z8&lt;=10,"E","Error")))))</f>
        <v>R</v>
      </c>
      <c r="AA10" s="141" t="str">
        <f>IF(NOTAS!AA8="","",IF(NOTAS!AA8&lt;=4.5,"EC",IF(NOTAS!AA8&lt;=6.5,"R",IF(NOTAS!AA8&lt;=8.5,"B",IF(NOTAS!AA8&lt;=10,"E","Error")))))</f>
        <v>B</v>
      </c>
      <c r="AB10" s="137" t="str">
        <f>IF(NOTAS!AB8="","",IF(NOTAS!AB8&lt;=4.5,"EC",IF(NOTAS!AB8&lt;=6.5,"R",IF(NOTAS!AB8&lt;=8.5,"B",IF(NOTAS!AB8&lt;=10,"E","Error")))))</f>
        <v>B</v>
      </c>
      <c r="AC10" s="137" t="str">
        <f>IF(NOTAS!AC8="","",IF(NOTAS!AC8&lt;=4.5,"EC",IF(NOTAS!AC8&lt;=6.5,"R",IF(NOTAS!AC8&lt;=8.5,"B",IF(NOTAS!AC8&lt;=10,"E","Error")))))</f>
        <v>B</v>
      </c>
      <c r="AD10" s="137" t="str">
        <f>IF(NOTAS!AD8="","",IF(NOTAS!AD8&lt;=4.5,"EC",IF(NOTAS!AD8&lt;=6.5,"R",IF(NOTAS!AD8&lt;=8.5,"B",IF(NOTAS!AD8&lt;=10,"E","Error")))))</f>
        <v>E</v>
      </c>
      <c r="AE10" s="137" t="str">
        <f>IF(NOTAS!AE8="","",IF(NOTAS!AE8&lt;=4.5,"EC",IF(NOTAS!AE8&lt;=6.5,"R",IF(NOTAS!AE8&lt;=8.5,"B",IF(NOTAS!AE8&lt;=10,"E","Error")))))</f>
        <v>E</v>
      </c>
      <c r="AF10" s="142" t="str">
        <f>IF(NOTAS!AF8="","",IF(NOTAS!AF8&lt;=4.5,"EC",IF(NOTAS!AF8&lt;=6.5,"R",IF(NOTAS!AF8&lt;=8.5,"B",IF(NOTAS!AF8&lt;=10,"E","Error")))))</f>
        <v>B</v>
      </c>
      <c r="AG10" s="137" t="str">
        <f>IF(NOTAS!AG8="","",IF(NOTAS!AG8&lt;=4.5,"EC",IF(NOTAS!AG8&lt;=6.5,"R",IF(NOTAS!AG8&lt;=8.5,"B",IF(NOTAS!AG8&lt;=10,"E","Error")))))</f>
        <v>EC</v>
      </c>
      <c r="AH10" s="137" t="str">
        <f>IF(NOTAS!AH8="","",IF(NOTAS!AH8&lt;=4.5,"EC",IF(NOTAS!AH8&lt;=6.5,"R",IF(NOTAS!AH8&lt;=8.5,"B",IF(NOTAS!AH8&lt;=10,"E","Error")))))</f>
        <v>EC</v>
      </c>
      <c r="AI10" s="137" t="str">
        <f>IF(NOTAS!AI8="","",IF(NOTAS!AI8&lt;=4.5,"EC",IF(NOTAS!AI8&lt;=6.5,"R",IF(NOTAS!AI8&lt;=8.5,"B",IF(NOTAS!AI8&lt;=10,"E","Error")))))</f>
        <v>EC</v>
      </c>
      <c r="AJ10" s="137" t="str">
        <f>IF(NOTAS!AJ8="","",IF(NOTAS!AJ8&lt;=4.5,"EC",IF(NOTAS!AJ8&lt;=6.5,"R",IF(NOTAS!AJ8&lt;=8.5,"B",IF(NOTAS!AJ8&lt;=10,"E","Error")))))</f>
        <v>EC</v>
      </c>
      <c r="AK10" s="136" t="str">
        <f>IF(NOTAS!AK8="","",IF(NOTAS!AK8&lt;=4.5,"EC",IF(NOTAS!AK8&lt;=6.5,"R",IF(NOTAS!AK8&lt;=8.5,"B",IF(NOTAS!AK8&lt;=10,"E","Error")))))</f>
        <v>EC</v>
      </c>
      <c r="AL10" s="137" t="str">
        <f>IF(NOTAS!AL8="","",IF(NOTAS!AL8&lt;=4.5,"EC",IF(NOTAS!AL8&lt;=6.5,"R",IF(NOTAS!AL8&lt;=8.5,"B",IF(NOTAS!AL8&lt;=10,"E","Error")))))</f>
        <v>E</v>
      </c>
      <c r="AM10" s="137" t="str">
        <f>IF(NOTAS!AM8="","",IF(NOTAS!AM8&lt;=4.5,"EC",IF(NOTAS!AM8&lt;=6.5,"R",IF(NOTAS!AM8&lt;=8.5,"B",IF(NOTAS!AM8&lt;=10,"E","Error")))))</f>
        <v>E</v>
      </c>
      <c r="AN10" s="137" t="str">
        <f>IF(NOTAS!AN8="","",IF(NOTAS!AN8&lt;=4.5,"EC",IF(NOTAS!AN8&lt;=6.5,"R",IF(NOTAS!AN8&lt;=8.5,"B",IF(NOTAS!AN8&lt;=10,"E","Error")))))</f>
        <v>E</v>
      </c>
      <c r="AO10" s="137" t="str">
        <f>IF(NOTAS!AO8="","",IF(NOTAS!AO8&lt;=4.5,"EC",IF(NOTAS!AO8&lt;=6.5,"R",IF(NOTAS!AO8&lt;=8.5,"B",IF(NOTAS!AO8&lt;=10,"E","Error")))))</f>
        <v>E</v>
      </c>
      <c r="AP10" s="136" t="str">
        <f>IF(NOTAS!AP8="","",IF(NOTAS!AP8&lt;=4.5,"EC",IF(NOTAS!AP8&lt;=6.5,"R",IF(NOTAS!AP8&lt;=8.5,"B",IF(NOTAS!AP8&lt;=10,"E","Error")))))</f>
        <v>E</v>
      </c>
      <c r="AQ10" s="155">
        <f>NOTAS!AR8</f>
        <v>44</v>
      </c>
      <c r="AR10" s="156">
        <f>NOTAS!AS8</f>
        <v>18</v>
      </c>
      <c r="AS10" s="157">
        <f>NOTAS!AT8</f>
        <v>49</v>
      </c>
      <c r="AT10" s="157">
        <f>NOTAS!AU8</f>
        <v>14</v>
      </c>
    </row>
    <row r="11" spans="1:53" ht="15.75" thickBot="1">
      <c r="A11" s="42">
        <f>A10+1</f>
        <v>2</v>
      </c>
      <c r="B11" s="100" t="str">
        <f>IF(NOTAS!B9&lt;&gt;"",NOTAS!B9,"")</f>
        <v/>
      </c>
      <c r="C11" s="172" t="str">
        <f>IF(NOTAS!C9="","",IF(NOTAS!C9&lt;=4.5,"EC",IF(NOTAS!C9&lt;=6.5,"R",IF(NOTAS!C9&lt;=8.5,"B",IF(NOTAS!C9&lt;=10,"E","Error")))))</f>
        <v/>
      </c>
      <c r="D11" s="173" t="str">
        <f>IF(NOTAS!D9="","",IF(NOTAS!D9&lt;=4.5,"EC",IF(NOTAS!D9&lt;=6.5,"R",IF(NOTAS!D9&lt;=8.5,"B",IF(NOTAS!D9&lt;=10,"E","Error")))))</f>
        <v/>
      </c>
      <c r="E11" s="172" t="str">
        <f>IF(NOTAS!E9="","",IF(NOTAS!E9&lt;=4.5,"EC",IF(NOTAS!E9&lt;=6.5,"R",IF(NOTAS!E9&lt;=8.5,"B",IF(NOTAS!E9&lt;=10,"E","Error")))))</f>
        <v/>
      </c>
      <c r="F11" s="173" t="str">
        <f>IF(NOTAS!F9="","",IF(NOTAS!F9&lt;=4.5,"EC",IF(NOTAS!F9&lt;=6.5,"R",IF(NOTAS!F9&lt;=8.5,"B",IF(NOTAS!F9&lt;=10,"E","Error")))))</f>
        <v/>
      </c>
      <c r="G11" s="136" t="str">
        <f>IF(NOTAS!G9="","",IF(NOTAS!G9&lt;=4.5,"EC",IF(NOTAS!G9&lt;=6.5,"R",IF(NOTAS!G9&lt;=8.5,"B",IF(NOTAS!G9&lt;=10,"E","Error")))))</f>
        <v/>
      </c>
      <c r="H11" s="137" t="str">
        <f>IF(NOTAS!H9="","",IF(NOTAS!H9&lt;=4.5,"EC",IF(NOTAS!H9&lt;=6.5,"R",IF(NOTAS!H9&lt;=8.5,"B",IF(NOTAS!H9&lt;=10,"E","")))))</f>
        <v/>
      </c>
      <c r="I11" s="137" t="str">
        <f>IF(NOTAS!I9="","",IF(NOTAS!I9&lt;=4.5,"EC",IF(NOTAS!I9&lt;=6.5,"R",IF(NOTAS!I9&lt;=8.5,"B",IF(NOTAS!I9&lt;=10,"E","Error")))))</f>
        <v/>
      </c>
      <c r="J11" s="137" t="str">
        <f>IF(NOTAS!J9="","",IF(NOTAS!J9&lt;=4.5,"EC",IF(NOTAS!J9&lt;=6.5,"R",IF(NOTAS!J9&lt;=8.5,"B",IF(NOTAS!J9&lt;=10,"E","Error")))))</f>
        <v/>
      </c>
      <c r="K11" s="137" t="str">
        <f>IF(NOTAS!K9="","",IF(NOTAS!K9&lt;=4.5,"EC",IF(NOTAS!K9&lt;=6.5,"R",IF(NOTAS!K9&lt;=8.5,"B",IF(NOTAS!K9&lt;=10,"E","Error")))))</f>
        <v/>
      </c>
      <c r="L11" s="138" t="str">
        <f>IF(NOTAS!L9="","",IF(NOTAS!L9&lt;=4.5,"EC",IF(NOTAS!L9&lt;=6.5,"R",IF(NOTAS!L9&lt;=8.5,"B",IF(NOTAS!L9&lt;=10,"E","Error")))))</f>
        <v/>
      </c>
      <c r="M11" s="137" t="str">
        <f>IF(NOTAS!M9="","",IF(NOTAS!M9&lt;=4.5,"EC",IF(NOTAS!M9&lt;=6.5,"R",IF(NOTAS!M9&lt;=8.5,"B",IF(NOTAS!M9&lt;=10,"E","Error")))))</f>
        <v/>
      </c>
      <c r="N11" s="137" t="str">
        <f>IF(NOTAS!N9="","",IF(NOTAS!N9&lt;=4.5,"EC",IF(NOTAS!N9&lt;=6.5,"R",IF(NOTAS!N9&lt;=8.5,"B",IF(NOTAS!N9&lt;=10,"E","Error")))))</f>
        <v/>
      </c>
      <c r="O11" s="137" t="str">
        <f>IF(NOTAS!O9="","",IF(NOTAS!O9&lt;=4.5,"EC",IF(NOTAS!O9&lt;=6.5,"R",IF(NOTAS!O9&lt;=8.5,"B",IF(NOTAS!O9&lt;=10,"E","Error")))))</f>
        <v/>
      </c>
      <c r="P11" s="137" t="str">
        <f>IF(NOTAS!P9="","",IF(NOTAS!P9&lt;=4.5,"EC",IF(NOTAS!P9&lt;=6.5,"R",IF(NOTAS!P9&lt;=8.5,"B",IF(NOTAS!P9&lt;=10,"E","Error")))))</f>
        <v/>
      </c>
      <c r="Q11" s="139" t="str">
        <f>IF(NOTAS!Q9="","",IF(NOTAS!Q9&lt;=4.5,"EC",IF(NOTAS!Q9&lt;=6.5,"R",IF(NOTAS!Q9&lt;=8.5,"B",IF(NOTAS!Q9&lt;=10,"E","Error")))))</f>
        <v/>
      </c>
      <c r="R11" s="137" t="str">
        <f>IF(NOTAS!R9="","",IF(NOTAS!R9&lt;=4.5,"EC",IF(NOTAS!R9&lt;=6.5,"R",IF(NOTAS!R9&lt;=8.5,"B",IF(NOTAS!R9&lt;=10,"E","Error")))))</f>
        <v/>
      </c>
      <c r="S11" s="137" t="str">
        <f>IF(NOTAS!S9="","",IF(NOTAS!S9&lt;=4.5,"EC",IF(NOTAS!S9&lt;=6.5,"R",IF(NOTAS!S9&lt;=8.5,"B",IF(NOTAS!S9&lt;=10,"E","Error")))))</f>
        <v/>
      </c>
      <c r="T11" s="137" t="str">
        <f>IF(NOTAS!T9="","",IF(NOTAS!T9&lt;=4.5,"EC",IF(NOTAS!T9&lt;=6.5,"R",IF(NOTAS!T9&lt;=8.5,"B",IF(NOTAS!T9&lt;=10,"E","Error")))))</f>
        <v/>
      </c>
      <c r="U11" s="137" t="str">
        <f>IF(NOTAS!U9="","",IF(NOTAS!U9&lt;=4.5,"EC",IF(NOTAS!U9&lt;=6.5,"R",IF(NOTAS!U9&lt;=8.5,"B",IF(NOTAS!U9&lt;=10,"E","Error")))))</f>
        <v/>
      </c>
      <c r="V11" s="140" t="str">
        <f>IF(NOTAS!V9="","",IF(NOTAS!V9&lt;=4.5,"EC",IF(NOTAS!V9&lt;=6.5,"R",IF(NOTAS!V9&lt;=8.5,"B",IF(NOTAS!V9&lt;=10,"E","Error")))))</f>
        <v/>
      </c>
      <c r="W11" s="137" t="str">
        <f>IF(NOTAS!W9="","",IF(NOTAS!W9&lt;=4.5,"EC",IF(NOTAS!W9&lt;=6.5,"R",IF(NOTAS!W9&lt;=8.5,"B",IF(NOTAS!W9&lt;=10,"E","Error")))))</f>
        <v/>
      </c>
      <c r="X11" s="137" t="str">
        <f>IF(NOTAS!X9="","",IF(NOTAS!X9&lt;=4.5,"EC",IF(NOTAS!X9&lt;=6.5,"R",IF(NOTAS!X9&lt;=8.5,"B",IF(NOTAS!X9&lt;=10,"E","Error")))))</f>
        <v/>
      </c>
      <c r="Y11" s="137" t="str">
        <f>IF(NOTAS!Y9="","",IF(NOTAS!Y9&lt;=4.5,"EC",IF(NOTAS!Y9&lt;=6.5,"R",IF(NOTAS!Y9&lt;=8.5,"B",IF(NOTAS!Y9&lt;=10,"E","Error")))))</f>
        <v/>
      </c>
      <c r="Z11" s="137" t="str">
        <f>IF(NOTAS!Z9="","",IF(NOTAS!Z9&lt;=4.5,"EC",IF(NOTAS!Z9&lt;=6.5,"R",IF(NOTAS!Z9&lt;=8.5,"B",IF(NOTAS!Z9&lt;=10,"E","Error")))))</f>
        <v/>
      </c>
      <c r="AA11" s="141" t="str">
        <f>IF(NOTAS!AA9="","",IF(NOTAS!AA9&lt;=4.5,"EC",IF(NOTAS!AA9&lt;=6.5,"R",IF(NOTAS!AA9&lt;=8.5,"B",IF(NOTAS!AA9&lt;=10,"E","Error")))))</f>
        <v/>
      </c>
      <c r="AB11" s="137" t="str">
        <f>IF(NOTAS!AB9="","",IF(NOTAS!AB9&lt;=4.5,"EC",IF(NOTAS!AB9&lt;=6.5,"R",IF(NOTAS!AB9&lt;=8.5,"B",IF(NOTAS!AB9&lt;=10,"E","Error")))))</f>
        <v/>
      </c>
      <c r="AC11" s="137" t="str">
        <f>IF(NOTAS!AC9="","",IF(NOTAS!AC9&lt;=4.5,"EC",IF(NOTAS!AC9&lt;=6.5,"R",IF(NOTAS!AC9&lt;=8.5,"B",IF(NOTAS!AC9&lt;=10,"E","Error")))))</f>
        <v/>
      </c>
      <c r="AD11" s="137" t="str">
        <f>IF(NOTAS!AD9="","",IF(NOTAS!AD9&lt;=4.5,"EC",IF(NOTAS!AD9&lt;=6.5,"R",IF(NOTAS!AD9&lt;=8.5,"B",IF(NOTAS!AD9&lt;=10,"E","Error")))))</f>
        <v/>
      </c>
      <c r="AE11" s="137" t="str">
        <f>IF(NOTAS!AE9="","",IF(NOTAS!AE9&lt;=4.5,"EC",IF(NOTAS!AE9&lt;=6.5,"R",IF(NOTAS!AE9&lt;=8.5,"B",IF(NOTAS!AE9&lt;=10,"E","Error")))))</f>
        <v/>
      </c>
      <c r="AF11" s="142" t="str">
        <f>IF(NOTAS!AF9="","",IF(NOTAS!AF9&lt;=4.5,"EC",IF(NOTAS!AF9&lt;=6.5,"R",IF(NOTAS!AF9&lt;=8.5,"B",IF(NOTAS!AF9&lt;=10,"E","Error")))))</f>
        <v/>
      </c>
      <c r="AG11" s="137" t="str">
        <f>IF(NOTAS!AG9="","",IF(NOTAS!AG9&lt;=4.5,"EC",IF(NOTAS!AG9&lt;=6.5,"R",IF(NOTAS!AG9&lt;=8.5,"B",IF(NOTAS!AG9&lt;=10,"E","Error")))))</f>
        <v/>
      </c>
      <c r="AH11" s="137" t="str">
        <f>IF(NOTAS!AH9="","",IF(NOTAS!AH9&lt;=4.5,"EC",IF(NOTAS!AH9&lt;=6.5,"R",IF(NOTAS!AH9&lt;=8.5,"B",IF(NOTAS!AH9&lt;=10,"E","Error")))))</f>
        <v/>
      </c>
      <c r="AI11" s="137" t="str">
        <f>IF(NOTAS!AI9="","",IF(NOTAS!AI9&lt;=4.5,"EC",IF(NOTAS!AI9&lt;=6.5,"R",IF(NOTAS!AI9&lt;=8.5,"B",IF(NOTAS!AI9&lt;=10,"E","Error")))))</f>
        <v/>
      </c>
      <c r="AJ11" s="137" t="str">
        <f>IF(NOTAS!AJ9="","",IF(NOTAS!AJ9&lt;=4.5,"EC",IF(NOTAS!AJ9&lt;=6.5,"R",IF(NOTAS!AJ9&lt;=8.5,"B",IF(NOTAS!AJ9&lt;=10,"E","Error")))))</f>
        <v/>
      </c>
      <c r="AK11" s="136" t="str">
        <f>IF(NOTAS!AK9="","",IF(NOTAS!AK9&lt;=4.5,"EC",IF(NOTAS!AK9&lt;=6.5,"R",IF(NOTAS!AK9&lt;=8.5,"B",IF(NOTAS!AK9&lt;=10,"E","Error")))))</f>
        <v/>
      </c>
      <c r="AL11" s="137" t="str">
        <f>IF(NOTAS!AL9="","",IF(NOTAS!AL9&lt;=4.5,"EC",IF(NOTAS!AL9&lt;=6.5,"R",IF(NOTAS!AL9&lt;=8.5,"B",IF(NOTAS!AL9&lt;=10,"E","Error")))))</f>
        <v/>
      </c>
      <c r="AM11" s="137" t="str">
        <f>IF(NOTAS!AM9="","",IF(NOTAS!AM9&lt;=4.5,"EC",IF(NOTAS!AM9&lt;=6.5,"R",IF(NOTAS!AM9&lt;=8.5,"B",IF(NOTAS!AM9&lt;=10,"E","Error")))))</f>
        <v/>
      </c>
      <c r="AN11" s="137" t="str">
        <f>IF(NOTAS!AN9="","",IF(NOTAS!AN9&lt;=4.5,"EC",IF(NOTAS!AN9&lt;=6.5,"R",IF(NOTAS!AN9&lt;=8.5,"B",IF(NOTAS!AN9&lt;=10,"E","Error")))))</f>
        <v/>
      </c>
      <c r="AO11" s="137" t="str">
        <f>IF(NOTAS!AO9="","",IF(NOTAS!AO9&lt;=4.5,"EC",IF(NOTAS!AO9&lt;=6.5,"R",IF(NOTAS!AO9&lt;=8.5,"B",IF(NOTAS!AO9&lt;=10,"E","Error")))))</f>
        <v/>
      </c>
      <c r="AP11" s="136" t="str">
        <f>IF(NOTAS!AP9="","",IF(NOTAS!AP9&lt;=4.5,"EC",IF(NOTAS!AP9&lt;=6.5,"R",IF(NOTAS!AP9&lt;=8.5,"B",IF(NOTAS!AP9&lt;=10,"E","Error")))))</f>
        <v/>
      </c>
      <c r="AQ11" s="155" t="str">
        <f>NOTAS!AR9</f>
        <v>****</v>
      </c>
      <c r="AR11" s="156" t="str">
        <f>NOTAS!AS9</f>
        <v>****</v>
      </c>
      <c r="AS11" s="157" t="str">
        <f>NOTAS!AT9</f>
        <v>****</v>
      </c>
      <c r="AT11" s="157" t="str">
        <f>NOTAS!AU9</f>
        <v>****</v>
      </c>
    </row>
    <row r="12" spans="1:53" ht="15.75" thickBot="1">
      <c r="A12" s="42">
        <f t="shared" ref="A12:A39" si="0">A11+1</f>
        <v>3</v>
      </c>
      <c r="B12" s="100" t="str">
        <f>IF(NOTAS!B10&lt;&gt;"",NOTAS!B10,"")</f>
        <v/>
      </c>
      <c r="C12" s="169" t="str">
        <f>IF(NOTAS!C10="","",IF(NOTAS!C10&lt;=4.5,"EC",IF(NOTAS!C10&lt;=6.5,"R",IF(NOTAS!C10&lt;=8.5,"B",IF(NOTAS!C10&lt;=10,"E","Error")))))</f>
        <v/>
      </c>
      <c r="D12" s="170" t="str">
        <f>IF(NOTAS!D10="","",IF(NOTAS!D10&lt;=4.5,"EC",IF(NOTAS!D10&lt;=6.5,"R",IF(NOTAS!D10&lt;=8.5,"B",IF(NOTAS!D10&lt;=10,"E","Error")))))</f>
        <v/>
      </c>
      <c r="E12" s="169" t="str">
        <f>IF(NOTAS!E10="","",IF(NOTAS!E10&lt;=4.5,"EC",IF(NOTAS!E10&lt;=6.5,"R",IF(NOTAS!E10&lt;=8.5,"B",IF(NOTAS!E10&lt;=10,"E","Error")))))</f>
        <v/>
      </c>
      <c r="F12" s="171" t="str">
        <f>IF(NOTAS!F10="","",IF(NOTAS!F10&lt;=4.5,"EC",IF(NOTAS!F10&lt;=6.5,"R",IF(NOTAS!F10&lt;=8.5,"B",IF(NOTAS!F10&lt;=10,"E","Error")))))</f>
        <v/>
      </c>
      <c r="G12" s="136" t="str">
        <f>IF(NOTAS!G10="","",IF(NOTAS!G10&lt;=4.5,"EC",IF(NOTAS!G10&lt;=6.5,"R",IF(NOTAS!G10&lt;=8.5,"B",IF(NOTAS!G10&lt;=10,"E","Error")))))</f>
        <v/>
      </c>
      <c r="H12" s="137" t="str">
        <f>IF(NOTAS!H10="","",IF(NOTAS!H10&lt;=4.5,"EC",IF(NOTAS!H10&lt;=6.5,"R",IF(NOTAS!H10&lt;=8.5,"B",IF(NOTAS!H10&lt;=10,"E","")))))</f>
        <v/>
      </c>
      <c r="I12" s="137" t="str">
        <f>IF(NOTAS!I10="","",IF(NOTAS!I10&lt;=4.5,"EC",IF(NOTAS!I10&lt;=6.5,"R",IF(NOTAS!I10&lt;=8.5,"B",IF(NOTAS!I10&lt;=10,"E","Error")))))</f>
        <v/>
      </c>
      <c r="J12" s="137" t="str">
        <f>IF(NOTAS!J10="","",IF(NOTAS!J10&lt;=4.5,"EC",IF(NOTAS!J10&lt;=6.5,"R",IF(NOTAS!J10&lt;=8.5,"B",IF(NOTAS!J10&lt;=10,"E","Error")))))</f>
        <v/>
      </c>
      <c r="K12" s="137" t="str">
        <f>IF(NOTAS!K10="","",IF(NOTAS!K10&lt;=4.5,"EC",IF(NOTAS!K10&lt;=6.5,"R",IF(NOTAS!K10&lt;=8.5,"B",IF(NOTAS!K10&lt;=10,"E","Error")))))</f>
        <v/>
      </c>
      <c r="L12" s="138" t="str">
        <f>IF(NOTAS!L10="","",IF(NOTAS!L10&lt;=4.5,"EC",IF(NOTAS!L10&lt;=6.5,"R",IF(NOTAS!L10&lt;=8.5,"B",IF(NOTAS!L10&lt;=10,"E","Error")))))</f>
        <v/>
      </c>
      <c r="M12" s="137" t="str">
        <f>IF(NOTAS!M10="","",IF(NOTAS!M10&lt;=4.5,"EC",IF(NOTAS!M10&lt;=6.5,"R",IF(NOTAS!M10&lt;=8.5,"B",IF(NOTAS!M10&lt;=10,"E","Error")))))</f>
        <v/>
      </c>
      <c r="N12" s="137" t="str">
        <f>IF(NOTAS!N10="","",IF(NOTAS!N10&lt;=4.5,"EC",IF(NOTAS!N10&lt;=6.5,"R",IF(NOTAS!N10&lt;=8.5,"B",IF(NOTAS!N10&lt;=10,"E","Error")))))</f>
        <v/>
      </c>
      <c r="O12" s="137" t="str">
        <f>IF(NOTAS!O10="","",IF(NOTAS!O10&lt;=4.5,"EC",IF(NOTAS!O10&lt;=6.5,"R",IF(NOTAS!O10&lt;=8.5,"B",IF(NOTAS!O10&lt;=10,"E","Error")))))</f>
        <v/>
      </c>
      <c r="P12" s="137" t="str">
        <f>IF(NOTAS!P10="","",IF(NOTAS!P10&lt;=4.5,"EC",IF(NOTAS!P10&lt;=6.5,"R",IF(NOTAS!P10&lt;=8.5,"B",IF(NOTAS!P10&lt;=10,"E","Error")))))</f>
        <v/>
      </c>
      <c r="Q12" s="139" t="str">
        <f>IF(NOTAS!Q10="","",IF(NOTAS!Q10&lt;=4.5,"EC",IF(NOTAS!Q10&lt;=6.5,"R",IF(NOTAS!Q10&lt;=8.5,"B",IF(NOTAS!Q10&lt;=10,"E","Error")))))</f>
        <v/>
      </c>
      <c r="R12" s="137" t="str">
        <f>IF(NOTAS!R10="","",IF(NOTAS!R10&lt;=4.5,"EC",IF(NOTAS!R10&lt;=6.5,"R",IF(NOTAS!R10&lt;=8.5,"B",IF(NOTAS!R10&lt;=10,"E","Error")))))</f>
        <v/>
      </c>
      <c r="S12" s="137" t="str">
        <f>IF(NOTAS!S10="","",IF(NOTAS!S10&lt;=4.5,"EC",IF(NOTAS!S10&lt;=6.5,"R",IF(NOTAS!S10&lt;=8.5,"B",IF(NOTAS!S10&lt;=10,"E","Error")))))</f>
        <v/>
      </c>
      <c r="T12" s="137" t="str">
        <f>IF(NOTAS!T10="","",IF(NOTAS!T10&lt;=4.5,"EC",IF(NOTAS!T10&lt;=6.5,"R",IF(NOTAS!T10&lt;=8.5,"B",IF(NOTAS!T10&lt;=10,"E","Error")))))</f>
        <v/>
      </c>
      <c r="U12" s="137" t="str">
        <f>IF(NOTAS!U10="","",IF(NOTAS!U10&lt;=4.5,"EC",IF(NOTAS!U10&lt;=6.5,"R",IF(NOTAS!U10&lt;=8.5,"B",IF(NOTAS!U10&lt;=10,"E","Error")))))</f>
        <v/>
      </c>
      <c r="V12" s="140" t="str">
        <f>IF(NOTAS!V10="","",IF(NOTAS!V10&lt;=4.5,"EC",IF(NOTAS!V10&lt;=6.5,"R",IF(NOTAS!V10&lt;=8.5,"B",IF(NOTAS!V10&lt;=10,"E","Error")))))</f>
        <v/>
      </c>
      <c r="W12" s="137" t="str">
        <f>IF(NOTAS!W10="","",IF(NOTAS!W10&lt;=4.5,"EC",IF(NOTAS!W10&lt;=6.5,"R",IF(NOTAS!W10&lt;=8.5,"B",IF(NOTAS!W10&lt;=10,"E","Error")))))</f>
        <v/>
      </c>
      <c r="X12" s="137" t="str">
        <f>IF(NOTAS!X10="","",IF(NOTAS!X10&lt;=4.5,"EC",IF(NOTAS!X10&lt;=6.5,"R",IF(NOTAS!X10&lt;=8.5,"B",IF(NOTAS!X10&lt;=10,"E","Error")))))</f>
        <v/>
      </c>
      <c r="Y12" s="137" t="str">
        <f>IF(NOTAS!Y10="","",IF(NOTAS!Y10&lt;=4.5,"EC",IF(NOTAS!Y10&lt;=6.5,"R",IF(NOTAS!Y10&lt;=8.5,"B",IF(NOTAS!Y10&lt;=10,"E","Error")))))</f>
        <v/>
      </c>
      <c r="Z12" s="137" t="str">
        <f>IF(NOTAS!Z10="","",IF(NOTAS!Z10&lt;=4.5,"EC",IF(NOTAS!Z10&lt;=6.5,"R",IF(NOTAS!Z10&lt;=8.5,"B",IF(NOTAS!Z10&lt;=10,"E","Error")))))</f>
        <v/>
      </c>
      <c r="AA12" s="141" t="str">
        <f>IF(NOTAS!AA10="","",IF(NOTAS!AA10&lt;=4.5,"EC",IF(NOTAS!AA10&lt;=6.5,"R",IF(NOTAS!AA10&lt;=8.5,"B",IF(NOTAS!AA10&lt;=10,"E","Error")))))</f>
        <v/>
      </c>
      <c r="AB12" s="137" t="str">
        <f>IF(NOTAS!AB10="","",IF(NOTAS!AB10&lt;=4.5,"EC",IF(NOTAS!AB10&lt;=6.5,"R",IF(NOTAS!AB10&lt;=8.5,"B",IF(NOTAS!AB10&lt;=10,"E","Error")))))</f>
        <v/>
      </c>
      <c r="AC12" s="137" t="str">
        <f>IF(NOTAS!AC10="","",IF(NOTAS!AC10&lt;=4.5,"EC",IF(NOTAS!AC10&lt;=6.5,"R",IF(NOTAS!AC10&lt;=8.5,"B",IF(NOTAS!AC10&lt;=10,"E","Error")))))</f>
        <v/>
      </c>
      <c r="AD12" s="137" t="str">
        <f>IF(NOTAS!AD10="","",IF(NOTAS!AD10&lt;=4.5,"EC",IF(NOTAS!AD10&lt;=6.5,"R",IF(NOTAS!AD10&lt;=8.5,"B",IF(NOTAS!AD10&lt;=10,"E","Error")))))</f>
        <v/>
      </c>
      <c r="AE12" s="137" t="str">
        <f>IF(NOTAS!AE10="","",IF(NOTAS!AE10&lt;=4.5,"EC",IF(NOTAS!AE10&lt;=6.5,"R",IF(NOTAS!AE10&lt;=8.5,"B",IF(NOTAS!AE10&lt;=10,"E","Error")))))</f>
        <v/>
      </c>
      <c r="AF12" s="142" t="str">
        <f>IF(NOTAS!AF10="","",IF(NOTAS!AF10&lt;=4.5,"EC",IF(NOTAS!AF10&lt;=6.5,"R",IF(NOTAS!AF10&lt;=8.5,"B",IF(NOTAS!AF10&lt;=10,"E","Error")))))</f>
        <v/>
      </c>
      <c r="AG12" s="137" t="str">
        <f>IF(NOTAS!AG10="","",IF(NOTAS!AG10&lt;=4.5,"EC",IF(NOTAS!AG10&lt;=6.5,"R",IF(NOTAS!AG10&lt;=8.5,"B",IF(NOTAS!AG10&lt;=10,"E","Error")))))</f>
        <v/>
      </c>
      <c r="AH12" s="137" t="str">
        <f>IF(NOTAS!AH10="","",IF(NOTAS!AH10&lt;=4.5,"EC",IF(NOTAS!AH10&lt;=6.5,"R",IF(NOTAS!AH10&lt;=8.5,"B",IF(NOTAS!AH10&lt;=10,"E","Error")))))</f>
        <v/>
      </c>
      <c r="AI12" s="137" t="str">
        <f>IF(NOTAS!AI10="","",IF(NOTAS!AI10&lt;=4.5,"EC",IF(NOTAS!AI10&lt;=6.5,"R",IF(NOTAS!AI10&lt;=8.5,"B",IF(NOTAS!AI10&lt;=10,"E","Error")))))</f>
        <v/>
      </c>
      <c r="AJ12" s="137" t="str">
        <f>IF(NOTAS!AJ10="","",IF(NOTAS!AJ10&lt;=4.5,"EC",IF(NOTAS!AJ10&lt;=6.5,"R",IF(NOTAS!AJ10&lt;=8.5,"B",IF(NOTAS!AJ10&lt;=10,"E","Error")))))</f>
        <v/>
      </c>
      <c r="AK12" s="136" t="str">
        <f>IF(NOTAS!AK10="","",IF(NOTAS!AK10&lt;=4.5,"EC",IF(NOTAS!AK10&lt;=6.5,"R",IF(NOTAS!AK10&lt;=8.5,"B",IF(NOTAS!AK10&lt;=10,"E","Error")))))</f>
        <v/>
      </c>
      <c r="AL12" s="137" t="str">
        <f>IF(NOTAS!AL10="","",IF(NOTAS!AL10&lt;=4.5,"EC",IF(NOTAS!AL10&lt;=6.5,"R",IF(NOTAS!AL10&lt;=8.5,"B",IF(NOTAS!AL10&lt;=10,"E","Error")))))</f>
        <v/>
      </c>
      <c r="AM12" s="137" t="str">
        <f>IF(NOTAS!AM10="","",IF(NOTAS!AM10&lt;=4.5,"EC",IF(NOTAS!AM10&lt;=6.5,"R",IF(NOTAS!AM10&lt;=8.5,"B",IF(NOTAS!AM10&lt;=10,"E","Error")))))</f>
        <v/>
      </c>
      <c r="AN12" s="137" t="str">
        <f>IF(NOTAS!AN10="","",IF(NOTAS!AN10&lt;=4.5,"EC",IF(NOTAS!AN10&lt;=6.5,"R",IF(NOTAS!AN10&lt;=8.5,"B",IF(NOTAS!AN10&lt;=10,"E","Error")))))</f>
        <v/>
      </c>
      <c r="AO12" s="137" t="str">
        <f>IF(NOTAS!AO10="","",IF(NOTAS!AO10&lt;=4.5,"EC",IF(NOTAS!AO10&lt;=6.5,"R",IF(NOTAS!AO10&lt;=8.5,"B",IF(NOTAS!AO10&lt;=10,"E","Error")))))</f>
        <v/>
      </c>
      <c r="AP12" s="136" t="str">
        <f>IF(NOTAS!AP10="","",IF(NOTAS!AP10&lt;=4.5,"EC",IF(NOTAS!AP10&lt;=6.5,"R",IF(NOTAS!AP10&lt;=8.5,"B",IF(NOTAS!AP10&lt;=10,"E","Error")))))</f>
        <v/>
      </c>
      <c r="AQ12" s="155" t="str">
        <f>NOTAS!AR10</f>
        <v>****</v>
      </c>
      <c r="AR12" s="156" t="str">
        <f>NOTAS!AS10</f>
        <v>****</v>
      </c>
      <c r="AS12" s="157" t="str">
        <f>NOTAS!AT10</f>
        <v>****</v>
      </c>
      <c r="AT12" s="157" t="str">
        <f>NOTAS!AU10</f>
        <v>****</v>
      </c>
    </row>
    <row r="13" spans="1:53" ht="15.75" thickBot="1">
      <c r="A13" s="42">
        <f t="shared" si="0"/>
        <v>4</v>
      </c>
      <c r="B13" s="100" t="str">
        <f>IF(NOTAS!B11&lt;&gt;"",NOTAS!B11,"")</f>
        <v/>
      </c>
      <c r="C13" s="172" t="str">
        <f>IF(NOTAS!C11="","",IF(NOTAS!C11&lt;=4.5,"EC",IF(NOTAS!C11&lt;=6.5,"R",IF(NOTAS!C11&lt;=8.5,"B",IF(NOTAS!C11&lt;=10,"E","Error")))))</f>
        <v/>
      </c>
      <c r="D13" s="173" t="str">
        <f>IF(NOTAS!D11="","",IF(NOTAS!D11&lt;=4.5,"EC",IF(NOTAS!D11&lt;=6.5,"R",IF(NOTAS!D11&lt;=8.5,"B",IF(NOTAS!D11&lt;=10,"E","Error")))))</f>
        <v/>
      </c>
      <c r="E13" s="172" t="str">
        <f>IF(NOTAS!E11="","",IF(NOTAS!E11&lt;=4.5,"EC",IF(NOTAS!E11&lt;=6.5,"R",IF(NOTAS!E11&lt;=8.5,"B",IF(NOTAS!E11&lt;=10,"E","Error")))))</f>
        <v/>
      </c>
      <c r="F13" s="173" t="str">
        <f>IF(NOTAS!F11="","",IF(NOTAS!F11&lt;=4.5,"EC",IF(NOTAS!F11&lt;=6.5,"R",IF(NOTAS!F11&lt;=8.5,"B",IF(NOTAS!F11&lt;=10,"E","Error")))))</f>
        <v/>
      </c>
      <c r="G13" s="136" t="str">
        <f>IF(NOTAS!G11="","",IF(NOTAS!G11&lt;=4.5,"EC",IF(NOTAS!G11&lt;=6.5,"R",IF(NOTAS!G11&lt;=8.5,"B",IF(NOTAS!G11&lt;=10,"E","Error")))))</f>
        <v/>
      </c>
      <c r="H13" s="137" t="str">
        <f>IF(NOTAS!H11="","",IF(NOTAS!H11&lt;=4.5,"EC",IF(NOTAS!H11&lt;=6.5,"R",IF(NOTAS!H11&lt;=8.5,"B",IF(NOTAS!H11&lt;=10,"E","")))))</f>
        <v/>
      </c>
      <c r="I13" s="137" t="str">
        <f>IF(NOTAS!I11="","",IF(NOTAS!I11&lt;=4.5,"EC",IF(NOTAS!I11&lt;=6.5,"R",IF(NOTAS!I11&lt;=8.5,"B",IF(NOTAS!I11&lt;=10,"E","Error")))))</f>
        <v/>
      </c>
      <c r="J13" s="137" t="str">
        <f>IF(NOTAS!J11="","",IF(NOTAS!J11&lt;=4.5,"EC",IF(NOTAS!J11&lt;=6.5,"R",IF(NOTAS!J11&lt;=8.5,"B",IF(NOTAS!J11&lt;=10,"E","Error")))))</f>
        <v/>
      </c>
      <c r="K13" s="137" t="str">
        <f>IF(NOTAS!K11="","",IF(NOTAS!K11&lt;=4.5,"EC",IF(NOTAS!K11&lt;=6.5,"R",IF(NOTAS!K11&lt;=8.5,"B",IF(NOTAS!K11&lt;=10,"E","Error")))))</f>
        <v/>
      </c>
      <c r="L13" s="138" t="str">
        <f>IF(NOTAS!L11="","",IF(NOTAS!L11&lt;=4.5,"EC",IF(NOTAS!L11&lt;=6.5,"R",IF(NOTAS!L11&lt;=8.5,"B",IF(NOTAS!L11&lt;=10,"E","Error")))))</f>
        <v/>
      </c>
      <c r="M13" s="137" t="str">
        <f>IF(NOTAS!M11="","",IF(NOTAS!M11&lt;=4.5,"EC",IF(NOTAS!M11&lt;=6.5,"R",IF(NOTAS!M11&lt;=8.5,"B",IF(NOTAS!M11&lt;=10,"E","Error")))))</f>
        <v/>
      </c>
      <c r="N13" s="137" t="str">
        <f>IF(NOTAS!N11="","",IF(NOTAS!N11&lt;=4.5,"EC",IF(NOTAS!N11&lt;=6.5,"R",IF(NOTAS!N11&lt;=8.5,"B",IF(NOTAS!N11&lt;=10,"E","Error")))))</f>
        <v/>
      </c>
      <c r="O13" s="137" t="str">
        <f>IF(NOTAS!O11="","",IF(NOTAS!O11&lt;=4.5,"EC",IF(NOTAS!O11&lt;=6.5,"R",IF(NOTAS!O11&lt;=8.5,"B",IF(NOTAS!O11&lt;=10,"E","Error")))))</f>
        <v/>
      </c>
      <c r="P13" s="137" t="str">
        <f>IF(NOTAS!P11="","",IF(NOTAS!P11&lt;=4.5,"EC",IF(NOTAS!P11&lt;=6.5,"R",IF(NOTAS!P11&lt;=8.5,"B",IF(NOTAS!P11&lt;=10,"E","Error")))))</f>
        <v/>
      </c>
      <c r="Q13" s="139" t="str">
        <f>IF(NOTAS!Q11="","",IF(NOTAS!Q11&lt;=4.5,"EC",IF(NOTAS!Q11&lt;=6.5,"R",IF(NOTAS!Q11&lt;=8.5,"B",IF(NOTAS!Q11&lt;=10,"E","Error")))))</f>
        <v/>
      </c>
      <c r="R13" s="137" t="str">
        <f>IF(NOTAS!R11="","",IF(NOTAS!R11&lt;=4.5,"EC",IF(NOTAS!R11&lt;=6.5,"R",IF(NOTAS!R11&lt;=8.5,"B",IF(NOTAS!R11&lt;=10,"E","Error")))))</f>
        <v/>
      </c>
      <c r="S13" s="137" t="str">
        <f>IF(NOTAS!S11="","",IF(NOTAS!S11&lt;=4.5,"EC",IF(NOTAS!S11&lt;=6.5,"R",IF(NOTAS!S11&lt;=8.5,"B",IF(NOTAS!S11&lt;=10,"E","Error")))))</f>
        <v/>
      </c>
      <c r="T13" s="137" t="str">
        <f>IF(NOTAS!T11="","",IF(NOTAS!T11&lt;=4.5,"EC",IF(NOTAS!T11&lt;=6.5,"R",IF(NOTAS!T11&lt;=8.5,"B",IF(NOTAS!T11&lt;=10,"E","Error")))))</f>
        <v/>
      </c>
      <c r="U13" s="137" t="str">
        <f>IF(NOTAS!U11="","",IF(NOTAS!U11&lt;=4.5,"EC",IF(NOTAS!U11&lt;=6.5,"R",IF(NOTAS!U11&lt;=8.5,"B",IF(NOTAS!U11&lt;=10,"E","Error")))))</f>
        <v/>
      </c>
      <c r="V13" s="140" t="str">
        <f>IF(NOTAS!V11="","",IF(NOTAS!V11&lt;=4.5,"EC",IF(NOTAS!V11&lt;=6.5,"R",IF(NOTAS!V11&lt;=8.5,"B",IF(NOTAS!V11&lt;=10,"E","Error")))))</f>
        <v/>
      </c>
      <c r="W13" s="137" t="str">
        <f>IF(NOTAS!W11="","",IF(NOTAS!W11&lt;=4.5,"EC",IF(NOTAS!W11&lt;=6.5,"R",IF(NOTAS!W11&lt;=8.5,"B",IF(NOTAS!W11&lt;=10,"E","Error")))))</f>
        <v/>
      </c>
      <c r="X13" s="137" t="str">
        <f>IF(NOTAS!X11="","",IF(NOTAS!X11&lt;=4.5,"EC",IF(NOTAS!X11&lt;=6.5,"R",IF(NOTAS!X11&lt;=8.5,"B",IF(NOTAS!X11&lt;=10,"E","Error")))))</f>
        <v/>
      </c>
      <c r="Y13" s="137" t="str">
        <f>IF(NOTAS!Y11="","",IF(NOTAS!Y11&lt;=4.5,"EC",IF(NOTAS!Y11&lt;=6.5,"R",IF(NOTAS!Y11&lt;=8.5,"B",IF(NOTAS!Y11&lt;=10,"E","Error")))))</f>
        <v/>
      </c>
      <c r="Z13" s="137" t="str">
        <f>IF(NOTAS!Z11="","",IF(NOTAS!Z11&lt;=4.5,"EC",IF(NOTAS!Z11&lt;=6.5,"R",IF(NOTAS!Z11&lt;=8.5,"B",IF(NOTAS!Z11&lt;=10,"E","Error")))))</f>
        <v/>
      </c>
      <c r="AA13" s="141" t="str">
        <f>IF(NOTAS!AA11="","",IF(NOTAS!AA11&lt;=4.5,"EC",IF(NOTAS!AA11&lt;=6.5,"R",IF(NOTAS!AA11&lt;=8.5,"B",IF(NOTAS!AA11&lt;=10,"E","Error")))))</f>
        <v/>
      </c>
      <c r="AB13" s="137" t="str">
        <f>IF(NOTAS!AB11="","",IF(NOTAS!AB11&lt;=4.5,"EC",IF(NOTAS!AB11&lt;=6.5,"R",IF(NOTAS!AB11&lt;=8.5,"B",IF(NOTAS!AB11&lt;=10,"E","Error")))))</f>
        <v/>
      </c>
      <c r="AC13" s="137" t="str">
        <f>IF(NOTAS!AC11="","",IF(NOTAS!AC11&lt;=4.5,"EC",IF(NOTAS!AC11&lt;=6.5,"R",IF(NOTAS!AC11&lt;=8.5,"B",IF(NOTAS!AC11&lt;=10,"E","Error")))))</f>
        <v/>
      </c>
      <c r="AD13" s="137" t="str">
        <f>IF(NOTAS!AD11="","",IF(NOTAS!AD11&lt;=4.5,"EC",IF(NOTAS!AD11&lt;=6.5,"R",IF(NOTAS!AD11&lt;=8.5,"B",IF(NOTAS!AD11&lt;=10,"E","Error")))))</f>
        <v/>
      </c>
      <c r="AE13" s="137" t="str">
        <f>IF(NOTAS!AE11="","",IF(NOTAS!AE11&lt;=4.5,"EC",IF(NOTAS!AE11&lt;=6.5,"R",IF(NOTAS!AE11&lt;=8.5,"B",IF(NOTAS!AE11&lt;=10,"E","Error")))))</f>
        <v/>
      </c>
      <c r="AF13" s="142" t="str">
        <f>IF(NOTAS!AF11="","",IF(NOTAS!AF11&lt;=4.5,"EC",IF(NOTAS!AF11&lt;=6.5,"R",IF(NOTAS!AF11&lt;=8.5,"B",IF(NOTAS!AF11&lt;=10,"E","Error")))))</f>
        <v/>
      </c>
      <c r="AG13" s="137" t="str">
        <f>IF(NOTAS!AG11="","",IF(NOTAS!AG11&lt;=4.5,"EC",IF(NOTAS!AG11&lt;=6.5,"R",IF(NOTAS!AG11&lt;=8.5,"B",IF(NOTAS!AG11&lt;=10,"E","Error")))))</f>
        <v/>
      </c>
      <c r="AH13" s="137" t="str">
        <f>IF(NOTAS!AH11="","",IF(NOTAS!AH11&lt;=4.5,"EC",IF(NOTAS!AH11&lt;=6.5,"R",IF(NOTAS!AH11&lt;=8.5,"B",IF(NOTAS!AH11&lt;=10,"E","Error")))))</f>
        <v/>
      </c>
      <c r="AI13" s="137" t="str">
        <f>IF(NOTAS!AI11="","",IF(NOTAS!AI11&lt;=4.5,"EC",IF(NOTAS!AI11&lt;=6.5,"R",IF(NOTAS!AI11&lt;=8.5,"B",IF(NOTAS!AI11&lt;=10,"E","Error")))))</f>
        <v/>
      </c>
      <c r="AJ13" s="137" t="str">
        <f>IF(NOTAS!AJ11="","",IF(NOTAS!AJ11&lt;=4.5,"EC",IF(NOTAS!AJ11&lt;=6.5,"R",IF(NOTAS!AJ11&lt;=8.5,"B",IF(NOTAS!AJ11&lt;=10,"E","Error")))))</f>
        <v/>
      </c>
      <c r="AK13" s="136" t="str">
        <f>IF(NOTAS!AK11="","",IF(NOTAS!AK11&lt;=4.5,"EC",IF(NOTAS!AK11&lt;=6.5,"R",IF(NOTAS!AK11&lt;=8.5,"B",IF(NOTAS!AK11&lt;=10,"E","Error")))))</f>
        <v/>
      </c>
      <c r="AL13" s="137" t="str">
        <f>IF(NOTAS!AL11="","",IF(NOTAS!AL11&lt;=4.5,"EC",IF(NOTAS!AL11&lt;=6.5,"R",IF(NOTAS!AL11&lt;=8.5,"B",IF(NOTAS!AL11&lt;=10,"E","Error")))))</f>
        <v/>
      </c>
      <c r="AM13" s="137" t="str">
        <f>IF(NOTAS!AM11="","",IF(NOTAS!AM11&lt;=4.5,"EC",IF(NOTAS!AM11&lt;=6.5,"R",IF(NOTAS!AM11&lt;=8.5,"B",IF(NOTAS!AM11&lt;=10,"E","Error")))))</f>
        <v/>
      </c>
      <c r="AN13" s="137" t="str">
        <f>IF(NOTAS!AN11="","",IF(NOTAS!AN11&lt;=4.5,"EC",IF(NOTAS!AN11&lt;=6.5,"R",IF(NOTAS!AN11&lt;=8.5,"B",IF(NOTAS!AN11&lt;=10,"E","Error")))))</f>
        <v/>
      </c>
      <c r="AO13" s="137" t="str">
        <f>IF(NOTAS!AO11="","",IF(NOTAS!AO11&lt;=4.5,"EC",IF(NOTAS!AO11&lt;=6.5,"R",IF(NOTAS!AO11&lt;=8.5,"B",IF(NOTAS!AO11&lt;=10,"E","Error")))))</f>
        <v/>
      </c>
      <c r="AP13" s="136" t="str">
        <f>IF(NOTAS!AP11="","",IF(NOTAS!AP11&lt;=4.5,"EC",IF(NOTAS!AP11&lt;=6.5,"R",IF(NOTAS!AP11&lt;=8.5,"B",IF(NOTAS!AP11&lt;=10,"E","Error")))))</f>
        <v/>
      </c>
      <c r="AQ13" s="155" t="str">
        <f>NOTAS!AR11</f>
        <v>****</v>
      </c>
      <c r="AR13" s="156" t="str">
        <f>NOTAS!AS11</f>
        <v>****</v>
      </c>
      <c r="AS13" s="157" t="str">
        <f>NOTAS!AT11</f>
        <v>****</v>
      </c>
      <c r="AT13" s="157" t="str">
        <f>NOTAS!AU11</f>
        <v>****</v>
      </c>
    </row>
    <row r="14" spans="1:53" ht="15.75" thickBot="1">
      <c r="A14" s="42">
        <f t="shared" si="0"/>
        <v>5</v>
      </c>
      <c r="B14" s="100" t="str">
        <f>IF(NOTAS!B12&lt;&gt;"",NOTAS!B12,"")</f>
        <v/>
      </c>
      <c r="C14" s="169" t="str">
        <f>IF(NOTAS!C12="","",IF(NOTAS!C12&lt;=4.5,"EC",IF(NOTAS!C12&lt;=6.5,"R",IF(NOTAS!C12&lt;=8.5,"B",IF(NOTAS!C12&lt;=10,"E","Error")))))</f>
        <v/>
      </c>
      <c r="D14" s="170" t="str">
        <f>IF(NOTAS!D12="","",IF(NOTAS!D12&lt;=4.5,"EC",IF(NOTAS!D12&lt;=6.5,"R",IF(NOTAS!D12&lt;=8.5,"B",IF(NOTAS!D12&lt;=10,"E","Error")))))</f>
        <v/>
      </c>
      <c r="E14" s="169" t="str">
        <f>IF(NOTAS!E12="","",IF(NOTAS!E12&lt;=4.5,"EC",IF(NOTAS!E12&lt;=6.5,"R",IF(NOTAS!E12&lt;=8.5,"B",IF(NOTAS!E12&lt;=10,"E","Error")))))</f>
        <v/>
      </c>
      <c r="F14" s="171" t="str">
        <f>IF(NOTAS!F12="","",IF(NOTAS!F12&lt;=4.5,"EC",IF(NOTAS!F12&lt;=6.5,"R",IF(NOTAS!F12&lt;=8.5,"B",IF(NOTAS!F12&lt;=10,"E","Error")))))</f>
        <v/>
      </c>
      <c r="G14" s="136" t="str">
        <f>IF(NOTAS!G12="","",IF(NOTAS!G12&lt;=4.5,"EC",IF(NOTAS!G12&lt;=6.5,"R",IF(NOTAS!G12&lt;=8.5,"B",IF(NOTAS!G12&lt;=10,"E","Error")))))</f>
        <v/>
      </c>
      <c r="H14" s="137" t="str">
        <f>IF(NOTAS!H12="","",IF(NOTAS!H12&lt;=4.5,"EC",IF(NOTAS!H12&lt;=6.5,"R",IF(NOTAS!H12&lt;=8.5,"B",IF(NOTAS!H12&lt;=10,"E","")))))</f>
        <v/>
      </c>
      <c r="I14" s="137" t="str">
        <f>IF(NOTAS!I12="","",IF(NOTAS!I12&lt;=4.5,"EC",IF(NOTAS!I12&lt;=6.5,"R",IF(NOTAS!I12&lt;=8.5,"B",IF(NOTAS!I12&lt;=10,"E","Error")))))</f>
        <v/>
      </c>
      <c r="J14" s="137" t="str">
        <f>IF(NOTAS!J12="","",IF(NOTAS!J12&lt;=4.5,"EC",IF(NOTAS!J12&lt;=6.5,"R",IF(NOTAS!J12&lt;=8.5,"B",IF(NOTAS!J12&lt;=10,"E","Error")))))</f>
        <v/>
      </c>
      <c r="K14" s="137" t="str">
        <f>IF(NOTAS!K12="","",IF(NOTAS!K12&lt;=4.5,"EC",IF(NOTAS!K12&lt;=6.5,"R",IF(NOTAS!K12&lt;=8.5,"B",IF(NOTAS!K12&lt;=10,"E","Error")))))</f>
        <v/>
      </c>
      <c r="L14" s="138" t="str">
        <f>IF(NOTAS!L12="","",IF(NOTAS!L12&lt;=4.5,"EC",IF(NOTAS!L12&lt;=6.5,"R",IF(NOTAS!L12&lt;=8.5,"B",IF(NOTAS!L12&lt;=10,"E","Error")))))</f>
        <v/>
      </c>
      <c r="M14" s="137" t="str">
        <f>IF(NOTAS!M12="","",IF(NOTAS!M12&lt;=4.5,"EC",IF(NOTAS!M12&lt;=6.5,"R",IF(NOTAS!M12&lt;=8.5,"B",IF(NOTAS!M12&lt;=10,"E","Error")))))</f>
        <v/>
      </c>
      <c r="N14" s="137" t="str">
        <f>IF(NOTAS!N12="","",IF(NOTAS!N12&lt;=4.5,"EC",IF(NOTAS!N12&lt;=6.5,"R",IF(NOTAS!N12&lt;=8.5,"B",IF(NOTAS!N12&lt;=10,"E","Error")))))</f>
        <v/>
      </c>
      <c r="O14" s="137" t="str">
        <f>IF(NOTAS!O12="","",IF(NOTAS!O12&lt;=4.5,"EC",IF(NOTAS!O12&lt;=6.5,"R",IF(NOTAS!O12&lt;=8.5,"B",IF(NOTAS!O12&lt;=10,"E","Error")))))</f>
        <v/>
      </c>
      <c r="P14" s="137" t="str">
        <f>IF(NOTAS!P12="","",IF(NOTAS!P12&lt;=4.5,"EC",IF(NOTAS!P12&lt;=6.5,"R",IF(NOTAS!P12&lt;=8.5,"B",IF(NOTAS!P12&lt;=10,"E","Error")))))</f>
        <v/>
      </c>
      <c r="Q14" s="139" t="str">
        <f>IF(NOTAS!Q12="","",IF(NOTAS!Q12&lt;=4.5,"EC",IF(NOTAS!Q12&lt;=6.5,"R",IF(NOTAS!Q12&lt;=8.5,"B",IF(NOTAS!Q12&lt;=10,"E","Error")))))</f>
        <v/>
      </c>
      <c r="R14" s="137" t="str">
        <f>IF(NOTAS!R12="","",IF(NOTAS!R12&lt;=4.5,"EC",IF(NOTAS!R12&lt;=6.5,"R",IF(NOTAS!R12&lt;=8.5,"B",IF(NOTAS!R12&lt;=10,"E","Error")))))</f>
        <v/>
      </c>
      <c r="S14" s="137" t="str">
        <f>IF(NOTAS!S12="","",IF(NOTAS!S12&lt;=4.5,"EC",IF(NOTAS!S12&lt;=6.5,"R",IF(NOTAS!S12&lt;=8.5,"B",IF(NOTAS!S12&lt;=10,"E","Error")))))</f>
        <v/>
      </c>
      <c r="T14" s="137" t="str">
        <f>IF(NOTAS!T12="","",IF(NOTAS!T12&lt;=4.5,"EC",IF(NOTAS!T12&lt;=6.5,"R",IF(NOTAS!T12&lt;=8.5,"B",IF(NOTAS!T12&lt;=10,"E","Error")))))</f>
        <v/>
      </c>
      <c r="U14" s="137" t="str">
        <f>IF(NOTAS!U12="","",IF(NOTAS!U12&lt;=4.5,"EC",IF(NOTAS!U12&lt;=6.5,"R",IF(NOTAS!U12&lt;=8.5,"B",IF(NOTAS!U12&lt;=10,"E","Error")))))</f>
        <v/>
      </c>
      <c r="V14" s="140" t="str">
        <f>IF(NOTAS!V12="","",IF(NOTAS!V12&lt;=4.5,"EC",IF(NOTAS!V12&lt;=6.5,"R",IF(NOTAS!V12&lt;=8.5,"B",IF(NOTAS!V12&lt;=10,"E","Error")))))</f>
        <v/>
      </c>
      <c r="W14" s="137" t="str">
        <f>IF(NOTAS!W12="","",IF(NOTAS!W12&lt;=4.5,"EC",IF(NOTAS!W12&lt;=6.5,"R",IF(NOTAS!W12&lt;=8.5,"B",IF(NOTAS!W12&lt;=10,"E","Error")))))</f>
        <v/>
      </c>
      <c r="X14" s="137" t="str">
        <f>IF(NOTAS!X12="","",IF(NOTAS!X12&lt;=4.5,"EC",IF(NOTAS!X12&lt;=6.5,"R",IF(NOTAS!X12&lt;=8.5,"B",IF(NOTAS!X12&lt;=10,"E","Error")))))</f>
        <v/>
      </c>
      <c r="Y14" s="137" t="str">
        <f>IF(NOTAS!Y12="","",IF(NOTAS!Y12&lt;=4.5,"EC",IF(NOTAS!Y12&lt;=6.5,"R",IF(NOTAS!Y12&lt;=8.5,"B",IF(NOTAS!Y12&lt;=10,"E","Error")))))</f>
        <v/>
      </c>
      <c r="Z14" s="137" t="str">
        <f>IF(NOTAS!Z12="","",IF(NOTAS!Z12&lt;=4.5,"EC",IF(NOTAS!Z12&lt;=6.5,"R",IF(NOTAS!Z12&lt;=8.5,"B",IF(NOTAS!Z12&lt;=10,"E","Error")))))</f>
        <v/>
      </c>
      <c r="AA14" s="141" t="str">
        <f>IF(NOTAS!AA12="","",IF(NOTAS!AA12&lt;=4.5,"EC",IF(NOTAS!AA12&lt;=6.5,"R",IF(NOTAS!AA12&lt;=8.5,"B",IF(NOTAS!AA12&lt;=10,"E","Error")))))</f>
        <v/>
      </c>
      <c r="AB14" s="137" t="str">
        <f>IF(NOTAS!AB12="","",IF(NOTAS!AB12&lt;=4.5,"EC",IF(NOTAS!AB12&lt;=6.5,"R",IF(NOTAS!AB12&lt;=8.5,"B",IF(NOTAS!AB12&lt;=10,"E","Error")))))</f>
        <v/>
      </c>
      <c r="AC14" s="137" t="str">
        <f>IF(NOTAS!AC12="","",IF(NOTAS!AC12&lt;=4.5,"EC",IF(NOTAS!AC12&lt;=6.5,"R",IF(NOTAS!AC12&lt;=8.5,"B",IF(NOTAS!AC12&lt;=10,"E","Error")))))</f>
        <v/>
      </c>
      <c r="AD14" s="137" t="str">
        <f>IF(NOTAS!AD12="","",IF(NOTAS!AD12&lt;=4.5,"EC",IF(NOTAS!AD12&lt;=6.5,"R",IF(NOTAS!AD12&lt;=8.5,"B",IF(NOTAS!AD12&lt;=10,"E","Error")))))</f>
        <v/>
      </c>
      <c r="AE14" s="137" t="str">
        <f>IF(NOTAS!AE12="","",IF(NOTAS!AE12&lt;=4.5,"EC",IF(NOTAS!AE12&lt;=6.5,"R",IF(NOTAS!AE12&lt;=8.5,"B",IF(NOTAS!AE12&lt;=10,"E","Error")))))</f>
        <v/>
      </c>
      <c r="AF14" s="142" t="str">
        <f>IF(NOTAS!AF12="","",IF(NOTAS!AF12&lt;=4.5,"EC",IF(NOTAS!AF12&lt;=6.5,"R",IF(NOTAS!AF12&lt;=8.5,"B",IF(NOTAS!AF12&lt;=10,"E","Error")))))</f>
        <v/>
      </c>
      <c r="AG14" s="137" t="str">
        <f>IF(NOTAS!AG12="","",IF(NOTAS!AG12&lt;=4.5,"EC",IF(NOTAS!AG12&lt;=6.5,"R",IF(NOTAS!AG12&lt;=8.5,"B",IF(NOTAS!AG12&lt;=10,"E","Error")))))</f>
        <v/>
      </c>
      <c r="AH14" s="137" t="str">
        <f>IF(NOTAS!AH12="","",IF(NOTAS!AH12&lt;=4.5,"EC",IF(NOTAS!AH12&lt;=6.5,"R",IF(NOTAS!AH12&lt;=8.5,"B",IF(NOTAS!AH12&lt;=10,"E","Error")))))</f>
        <v/>
      </c>
      <c r="AI14" s="137" t="str">
        <f>IF(NOTAS!AI12="","",IF(NOTAS!AI12&lt;=4.5,"EC",IF(NOTAS!AI12&lt;=6.5,"R",IF(NOTAS!AI12&lt;=8.5,"B",IF(NOTAS!AI12&lt;=10,"E","Error")))))</f>
        <v/>
      </c>
      <c r="AJ14" s="137" t="str">
        <f>IF(NOTAS!AJ12="","",IF(NOTAS!AJ12&lt;=4.5,"EC",IF(NOTAS!AJ12&lt;=6.5,"R",IF(NOTAS!AJ12&lt;=8.5,"B",IF(NOTAS!AJ12&lt;=10,"E","Error")))))</f>
        <v/>
      </c>
      <c r="AK14" s="136" t="str">
        <f>IF(NOTAS!AK12="","",IF(NOTAS!AK12&lt;=4.5,"EC",IF(NOTAS!AK12&lt;=6.5,"R",IF(NOTAS!AK12&lt;=8.5,"B",IF(NOTAS!AK12&lt;=10,"E","Error")))))</f>
        <v/>
      </c>
      <c r="AL14" s="137" t="str">
        <f>IF(NOTAS!AL12="","",IF(NOTAS!AL12&lt;=4.5,"EC",IF(NOTAS!AL12&lt;=6.5,"R",IF(NOTAS!AL12&lt;=8.5,"B",IF(NOTAS!AL12&lt;=10,"E","Error")))))</f>
        <v/>
      </c>
      <c r="AM14" s="137" t="str">
        <f>IF(NOTAS!AM12="","",IF(NOTAS!AM12&lt;=4.5,"EC",IF(NOTAS!AM12&lt;=6.5,"R",IF(NOTAS!AM12&lt;=8.5,"B",IF(NOTAS!AM12&lt;=10,"E","Error")))))</f>
        <v/>
      </c>
      <c r="AN14" s="137" t="str">
        <f>IF(NOTAS!AN12="","",IF(NOTAS!AN12&lt;=4.5,"EC",IF(NOTAS!AN12&lt;=6.5,"R",IF(NOTAS!AN12&lt;=8.5,"B",IF(NOTAS!AN12&lt;=10,"E","Error")))))</f>
        <v/>
      </c>
      <c r="AO14" s="137" t="str">
        <f>IF(NOTAS!AO12="","",IF(NOTAS!AO12&lt;=4.5,"EC",IF(NOTAS!AO12&lt;=6.5,"R",IF(NOTAS!AO12&lt;=8.5,"B",IF(NOTAS!AO12&lt;=10,"E","Error")))))</f>
        <v/>
      </c>
      <c r="AP14" s="136" t="str">
        <f>IF(NOTAS!AP12="","",IF(NOTAS!AP12&lt;=4.5,"EC",IF(NOTAS!AP12&lt;=6.5,"R",IF(NOTAS!AP12&lt;=8.5,"B",IF(NOTAS!AP12&lt;=10,"E","Error")))))</f>
        <v/>
      </c>
      <c r="AQ14" s="155" t="str">
        <f>NOTAS!AR12</f>
        <v>****</v>
      </c>
      <c r="AR14" s="156" t="str">
        <f>NOTAS!AS12</f>
        <v>****</v>
      </c>
      <c r="AS14" s="157" t="str">
        <f>NOTAS!AT12</f>
        <v>****</v>
      </c>
      <c r="AT14" s="157" t="str">
        <f>NOTAS!AU12</f>
        <v>****</v>
      </c>
    </row>
    <row r="15" spans="1:53" ht="15.75" thickBot="1">
      <c r="A15" s="42">
        <f t="shared" si="0"/>
        <v>6</v>
      </c>
      <c r="B15" s="100" t="str">
        <f>IF(NOTAS!B13&lt;&gt;"",NOTAS!B13,"")</f>
        <v/>
      </c>
      <c r="C15" s="172" t="str">
        <f>IF(NOTAS!C13="","",IF(NOTAS!C13&lt;=4.5,"EC",IF(NOTAS!C13&lt;=6.5,"R",IF(NOTAS!C13&lt;=8.5,"B",IF(NOTAS!C13&lt;=10,"E","Error")))))</f>
        <v/>
      </c>
      <c r="D15" s="173" t="str">
        <f>IF(NOTAS!D13="","",IF(NOTAS!D13&lt;=4.5,"EC",IF(NOTAS!D13&lt;=6.5,"R",IF(NOTAS!D13&lt;=8.5,"B",IF(NOTAS!D13&lt;=10,"E","Error")))))</f>
        <v/>
      </c>
      <c r="E15" s="172" t="str">
        <f>IF(NOTAS!E13="","",IF(NOTAS!E13&lt;=4.5,"EC",IF(NOTAS!E13&lt;=6.5,"R",IF(NOTAS!E13&lt;=8.5,"B",IF(NOTAS!E13&lt;=10,"E","Error")))))</f>
        <v/>
      </c>
      <c r="F15" s="173" t="str">
        <f>IF(NOTAS!F13="","",IF(NOTAS!F13&lt;=4.5,"EC",IF(NOTAS!F13&lt;=6.5,"R",IF(NOTAS!F13&lt;=8.5,"B",IF(NOTAS!F13&lt;=10,"E","Error")))))</f>
        <v/>
      </c>
      <c r="G15" s="136" t="str">
        <f>IF(NOTAS!G13="","",IF(NOTAS!G13&lt;=4.5,"EC",IF(NOTAS!G13&lt;=6.5,"R",IF(NOTAS!G13&lt;=8.5,"B",IF(NOTAS!G13&lt;=10,"E","Error")))))</f>
        <v/>
      </c>
      <c r="H15" s="137" t="str">
        <f>IF(NOTAS!H13="","",IF(NOTAS!H13&lt;=4.5,"EC",IF(NOTAS!H13&lt;=6.5,"R",IF(NOTAS!H13&lt;=8.5,"B",IF(NOTAS!H13&lt;=10,"E","")))))</f>
        <v/>
      </c>
      <c r="I15" s="137" t="str">
        <f>IF(NOTAS!I13="","",IF(NOTAS!I13&lt;=4.5,"EC",IF(NOTAS!I13&lt;=6.5,"R",IF(NOTAS!I13&lt;=8.5,"B",IF(NOTAS!I13&lt;=10,"E","Error")))))</f>
        <v/>
      </c>
      <c r="J15" s="137" t="str">
        <f>IF(NOTAS!J13="","",IF(NOTAS!J13&lt;=4.5,"EC",IF(NOTAS!J13&lt;=6.5,"R",IF(NOTAS!J13&lt;=8.5,"B",IF(NOTAS!J13&lt;=10,"E","Error")))))</f>
        <v/>
      </c>
      <c r="K15" s="137" t="str">
        <f>IF(NOTAS!K13="","",IF(NOTAS!K13&lt;=4.5,"EC",IF(NOTAS!K13&lt;=6.5,"R",IF(NOTAS!K13&lt;=8.5,"B",IF(NOTAS!K13&lt;=10,"E","Error")))))</f>
        <v/>
      </c>
      <c r="L15" s="138" t="str">
        <f>IF(NOTAS!L13="","",IF(NOTAS!L13&lt;=4.5,"EC",IF(NOTAS!L13&lt;=6.5,"R",IF(NOTAS!L13&lt;=8.5,"B",IF(NOTAS!L13&lt;=10,"E","Error")))))</f>
        <v/>
      </c>
      <c r="M15" s="137" t="str">
        <f>IF(NOTAS!M13="","",IF(NOTAS!M13&lt;=4.5,"EC",IF(NOTAS!M13&lt;=6.5,"R",IF(NOTAS!M13&lt;=8.5,"B",IF(NOTAS!M13&lt;=10,"E","Error")))))</f>
        <v/>
      </c>
      <c r="N15" s="137" t="str">
        <f>IF(NOTAS!N13="","",IF(NOTAS!N13&lt;=4.5,"EC",IF(NOTAS!N13&lt;=6.5,"R",IF(NOTAS!N13&lt;=8.5,"B",IF(NOTAS!N13&lt;=10,"E","Error")))))</f>
        <v/>
      </c>
      <c r="O15" s="137" t="str">
        <f>IF(NOTAS!O13="","",IF(NOTAS!O13&lt;=4.5,"EC",IF(NOTAS!O13&lt;=6.5,"R",IF(NOTAS!O13&lt;=8.5,"B",IF(NOTAS!O13&lt;=10,"E","Error")))))</f>
        <v/>
      </c>
      <c r="P15" s="137" t="str">
        <f>IF(NOTAS!P13="","",IF(NOTAS!P13&lt;=4.5,"EC",IF(NOTAS!P13&lt;=6.5,"R",IF(NOTAS!P13&lt;=8.5,"B",IF(NOTAS!P13&lt;=10,"E","Error")))))</f>
        <v/>
      </c>
      <c r="Q15" s="139" t="str">
        <f>IF(NOTAS!Q13="","",IF(NOTAS!Q13&lt;=4.5,"EC",IF(NOTAS!Q13&lt;=6.5,"R",IF(NOTAS!Q13&lt;=8.5,"B",IF(NOTAS!Q13&lt;=10,"E","Error")))))</f>
        <v/>
      </c>
      <c r="R15" s="137" t="str">
        <f>IF(NOTAS!R13="","",IF(NOTAS!R13&lt;=4.5,"EC",IF(NOTAS!R13&lt;=6.5,"R",IF(NOTAS!R13&lt;=8.5,"B",IF(NOTAS!R13&lt;=10,"E","Error")))))</f>
        <v/>
      </c>
      <c r="S15" s="137" t="str">
        <f>IF(NOTAS!S13="","",IF(NOTAS!S13&lt;=4.5,"EC",IF(NOTAS!S13&lt;=6.5,"R",IF(NOTAS!S13&lt;=8.5,"B",IF(NOTAS!S13&lt;=10,"E","Error")))))</f>
        <v/>
      </c>
      <c r="T15" s="137" t="str">
        <f>IF(NOTAS!T13="","",IF(NOTAS!T13&lt;=4.5,"EC",IF(NOTAS!T13&lt;=6.5,"R",IF(NOTAS!T13&lt;=8.5,"B",IF(NOTAS!T13&lt;=10,"E","Error")))))</f>
        <v/>
      </c>
      <c r="U15" s="137" t="str">
        <f>IF(NOTAS!U13="","",IF(NOTAS!U13&lt;=4.5,"EC",IF(NOTAS!U13&lt;=6.5,"R",IF(NOTAS!U13&lt;=8.5,"B",IF(NOTAS!U13&lt;=10,"E","Error")))))</f>
        <v/>
      </c>
      <c r="V15" s="140" t="str">
        <f>IF(NOTAS!V13="","",IF(NOTAS!V13&lt;=4.5,"EC",IF(NOTAS!V13&lt;=6.5,"R",IF(NOTAS!V13&lt;=8.5,"B",IF(NOTAS!V13&lt;=10,"E","Error")))))</f>
        <v/>
      </c>
      <c r="W15" s="137" t="str">
        <f>IF(NOTAS!W13="","",IF(NOTAS!W13&lt;=4.5,"EC",IF(NOTAS!W13&lt;=6.5,"R",IF(NOTAS!W13&lt;=8.5,"B",IF(NOTAS!W13&lt;=10,"E","Error")))))</f>
        <v/>
      </c>
      <c r="X15" s="137" t="str">
        <f>IF(NOTAS!X13="","",IF(NOTAS!X13&lt;=4.5,"EC",IF(NOTAS!X13&lt;=6.5,"R",IF(NOTAS!X13&lt;=8.5,"B",IF(NOTAS!X13&lt;=10,"E","Error")))))</f>
        <v/>
      </c>
      <c r="Y15" s="137" t="str">
        <f>IF(NOTAS!Y13="","",IF(NOTAS!Y13&lt;=4.5,"EC",IF(NOTAS!Y13&lt;=6.5,"R",IF(NOTAS!Y13&lt;=8.5,"B",IF(NOTAS!Y13&lt;=10,"E","Error")))))</f>
        <v/>
      </c>
      <c r="Z15" s="137" t="str">
        <f>IF(NOTAS!Z13="","",IF(NOTAS!Z13&lt;=4.5,"EC",IF(NOTAS!Z13&lt;=6.5,"R",IF(NOTAS!Z13&lt;=8.5,"B",IF(NOTAS!Z13&lt;=10,"E","Error")))))</f>
        <v/>
      </c>
      <c r="AA15" s="141" t="str">
        <f>IF(NOTAS!AA13="","",IF(NOTAS!AA13&lt;=4.5,"EC",IF(NOTAS!AA13&lt;=6.5,"R",IF(NOTAS!AA13&lt;=8.5,"B",IF(NOTAS!AA13&lt;=10,"E","Error")))))</f>
        <v/>
      </c>
      <c r="AB15" s="137" t="str">
        <f>IF(NOTAS!AB13="","",IF(NOTAS!AB13&lt;=4.5,"EC",IF(NOTAS!AB13&lt;=6.5,"R",IF(NOTAS!AB13&lt;=8.5,"B",IF(NOTAS!AB13&lt;=10,"E","Error")))))</f>
        <v/>
      </c>
      <c r="AC15" s="137" t="str">
        <f>IF(NOTAS!AC13="","",IF(NOTAS!AC13&lt;=4.5,"EC",IF(NOTAS!AC13&lt;=6.5,"R",IF(NOTAS!AC13&lt;=8.5,"B",IF(NOTAS!AC13&lt;=10,"E","Error")))))</f>
        <v/>
      </c>
      <c r="AD15" s="137" t="str">
        <f>IF(NOTAS!AD13="","",IF(NOTAS!AD13&lt;=4.5,"EC",IF(NOTAS!AD13&lt;=6.5,"R",IF(NOTAS!AD13&lt;=8.5,"B",IF(NOTAS!AD13&lt;=10,"E","Error")))))</f>
        <v/>
      </c>
      <c r="AE15" s="137" t="str">
        <f>IF(NOTAS!AE13="","",IF(NOTAS!AE13&lt;=4.5,"EC",IF(NOTAS!AE13&lt;=6.5,"R",IF(NOTAS!AE13&lt;=8.5,"B",IF(NOTAS!AE13&lt;=10,"E","Error")))))</f>
        <v/>
      </c>
      <c r="AF15" s="142" t="str">
        <f>IF(NOTAS!AF13="","",IF(NOTAS!AF13&lt;=4.5,"EC",IF(NOTAS!AF13&lt;=6.5,"R",IF(NOTAS!AF13&lt;=8.5,"B",IF(NOTAS!AF13&lt;=10,"E","Error")))))</f>
        <v/>
      </c>
      <c r="AG15" s="137" t="str">
        <f>IF(NOTAS!AG13="","",IF(NOTAS!AG13&lt;=4.5,"EC",IF(NOTAS!AG13&lt;=6.5,"R",IF(NOTAS!AG13&lt;=8.5,"B",IF(NOTAS!AG13&lt;=10,"E","Error")))))</f>
        <v/>
      </c>
      <c r="AH15" s="137" t="str">
        <f>IF(NOTAS!AH13="","",IF(NOTAS!AH13&lt;=4.5,"EC",IF(NOTAS!AH13&lt;=6.5,"R",IF(NOTAS!AH13&lt;=8.5,"B",IF(NOTAS!AH13&lt;=10,"E","Error")))))</f>
        <v/>
      </c>
      <c r="AI15" s="137" t="str">
        <f>IF(NOTAS!AI13="","",IF(NOTAS!AI13&lt;=4.5,"EC",IF(NOTAS!AI13&lt;=6.5,"R",IF(NOTAS!AI13&lt;=8.5,"B",IF(NOTAS!AI13&lt;=10,"E","Error")))))</f>
        <v/>
      </c>
      <c r="AJ15" s="137" t="str">
        <f>IF(NOTAS!AJ13="","",IF(NOTAS!AJ13&lt;=4.5,"EC",IF(NOTAS!AJ13&lt;=6.5,"R",IF(NOTAS!AJ13&lt;=8.5,"B",IF(NOTAS!AJ13&lt;=10,"E","Error")))))</f>
        <v/>
      </c>
      <c r="AK15" s="136" t="str">
        <f>IF(NOTAS!AK13="","",IF(NOTAS!AK13&lt;=4.5,"EC",IF(NOTAS!AK13&lt;=6.5,"R",IF(NOTAS!AK13&lt;=8.5,"B",IF(NOTAS!AK13&lt;=10,"E","Error")))))</f>
        <v/>
      </c>
      <c r="AL15" s="137" t="str">
        <f>IF(NOTAS!AL13="","",IF(NOTAS!AL13&lt;=4.5,"EC",IF(NOTAS!AL13&lt;=6.5,"R",IF(NOTAS!AL13&lt;=8.5,"B",IF(NOTAS!AL13&lt;=10,"E","Error")))))</f>
        <v/>
      </c>
      <c r="AM15" s="137" t="str">
        <f>IF(NOTAS!AM13="","",IF(NOTAS!AM13&lt;=4.5,"EC",IF(NOTAS!AM13&lt;=6.5,"R",IF(NOTAS!AM13&lt;=8.5,"B",IF(NOTAS!AM13&lt;=10,"E","Error")))))</f>
        <v/>
      </c>
      <c r="AN15" s="137" t="str">
        <f>IF(NOTAS!AN13="","",IF(NOTAS!AN13&lt;=4.5,"EC",IF(NOTAS!AN13&lt;=6.5,"R",IF(NOTAS!AN13&lt;=8.5,"B",IF(NOTAS!AN13&lt;=10,"E","Error")))))</f>
        <v/>
      </c>
      <c r="AO15" s="137" t="str">
        <f>IF(NOTAS!AO13="","",IF(NOTAS!AO13&lt;=4.5,"EC",IF(NOTAS!AO13&lt;=6.5,"R",IF(NOTAS!AO13&lt;=8.5,"B",IF(NOTAS!AO13&lt;=10,"E","Error")))))</f>
        <v/>
      </c>
      <c r="AP15" s="136" t="str">
        <f>IF(NOTAS!AP13="","",IF(NOTAS!AP13&lt;=4.5,"EC",IF(NOTAS!AP13&lt;=6.5,"R",IF(NOTAS!AP13&lt;=8.5,"B",IF(NOTAS!AP13&lt;=10,"E","Error")))))</f>
        <v/>
      </c>
      <c r="AQ15" s="155" t="str">
        <f>NOTAS!AR13</f>
        <v>****</v>
      </c>
      <c r="AR15" s="156" t="str">
        <f>NOTAS!AS13</f>
        <v>****</v>
      </c>
      <c r="AS15" s="157" t="str">
        <f>NOTAS!AT13</f>
        <v>****</v>
      </c>
      <c r="AT15" s="157" t="str">
        <f>NOTAS!AU13</f>
        <v>****</v>
      </c>
    </row>
    <row r="16" spans="1:53" ht="15.75" thickBot="1">
      <c r="A16" s="42">
        <f t="shared" si="0"/>
        <v>7</v>
      </c>
      <c r="B16" s="100" t="str">
        <f>IF(NOTAS!B14&lt;&gt;"",NOTAS!B14,"")</f>
        <v/>
      </c>
      <c r="C16" s="169" t="str">
        <f>IF(NOTAS!C14="","",IF(NOTAS!C14&lt;=4.5,"EC",IF(NOTAS!C14&lt;=6.5,"R",IF(NOTAS!C14&lt;=8.5,"B",IF(NOTAS!C14&lt;=10,"E","Error")))))</f>
        <v/>
      </c>
      <c r="D16" s="170" t="str">
        <f>IF(NOTAS!D14="","",IF(NOTAS!D14&lt;=4.5,"EC",IF(NOTAS!D14&lt;=6.5,"R",IF(NOTAS!D14&lt;=8.5,"B",IF(NOTAS!D14&lt;=10,"E","Error")))))</f>
        <v/>
      </c>
      <c r="E16" s="169" t="str">
        <f>IF(NOTAS!E14="","",IF(NOTAS!E14&lt;=4.5,"EC",IF(NOTAS!E14&lt;=6.5,"R",IF(NOTAS!E14&lt;=8.5,"B",IF(NOTAS!E14&lt;=10,"E","Error")))))</f>
        <v/>
      </c>
      <c r="F16" s="171" t="str">
        <f>IF(NOTAS!F14="","",IF(NOTAS!F14&lt;=4.5,"EC",IF(NOTAS!F14&lt;=6.5,"R",IF(NOTAS!F14&lt;=8.5,"B",IF(NOTAS!F14&lt;=10,"E","Error")))))</f>
        <v/>
      </c>
      <c r="G16" s="136" t="str">
        <f>IF(NOTAS!G14="","",IF(NOTAS!G14&lt;=4.5,"EC",IF(NOTAS!G14&lt;=6.5,"R",IF(NOTAS!G14&lt;=8.5,"B",IF(NOTAS!G14&lt;=10,"E","Error")))))</f>
        <v/>
      </c>
      <c r="H16" s="137" t="str">
        <f>IF(NOTAS!H14="","",IF(NOTAS!H14&lt;=4.5,"EC",IF(NOTAS!H14&lt;=6.5,"R",IF(NOTAS!H14&lt;=8.5,"B",IF(NOTAS!H14&lt;=10,"E","")))))</f>
        <v/>
      </c>
      <c r="I16" s="137" t="str">
        <f>IF(NOTAS!I14="","",IF(NOTAS!I14&lt;=4.5,"EC",IF(NOTAS!I14&lt;=6.5,"R",IF(NOTAS!I14&lt;=8.5,"B",IF(NOTAS!I14&lt;=10,"E","Error")))))</f>
        <v/>
      </c>
      <c r="J16" s="137" t="str">
        <f>IF(NOTAS!J14="","",IF(NOTAS!J14&lt;=4.5,"EC",IF(NOTAS!J14&lt;=6.5,"R",IF(NOTAS!J14&lt;=8.5,"B",IF(NOTAS!J14&lt;=10,"E","Error")))))</f>
        <v/>
      </c>
      <c r="K16" s="137" t="str">
        <f>IF(NOTAS!K14="","",IF(NOTAS!K14&lt;=4.5,"EC",IF(NOTAS!K14&lt;=6.5,"R",IF(NOTAS!K14&lt;=8.5,"B",IF(NOTAS!K14&lt;=10,"E","Error")))))</f>
        <v/>
      </c>
      <c r="L16" s="138" t="str">
        <f>IF(NOTAS!L14="","",IF(NOTAS!L14&lt;=4.5,"EC",IF(NOTAS!L14&lt;=6.5,"R",IF(NOTAS!L14&lt;=8.5,"B",IF(NOTAS!L14&lt;=10,"E","Error")))))</f>
        <v/>
      </c>
      <c r="M16" s="137" t="str">
        <f>IF(NOTAS!M14="","",IF(NOTAS!M14&lt;=4.5,"EC",IF(NOTAS!M14&lt;=6.5,"R",IF(NOTAS!M14&lt;=8.5,"B",IF(NOTAS!M14&lt;=10,"E","Error")))))</f>
        <v/>
      </c>
      <c r="N16" s="137" t="str">
        <f>IF(NOTAS!N14="","",IF(NOTAS!N14&lt;=4.5,"EC",IF(NOTAS!N14&lt;=6.5,"R",IF(NOTAS!N14&lt;=8.5,"B",IF(NOTAS!N14&lt;=10,"E","Error")))))</f>
        <v/>
      </c>
      <c r="O16" s="137" t="str">
        <f>IF(NOTAS!O14="","",IF(NOTAS!O14&lt;=4.5,"EC",IF(NOTAS!O14&lt;=6.5,"R",IF(NOTAS!O14&lt;=8.5,"B",IF(NOTAS!O14&lt;=10,"E","Error")))))</f>
        <v/>
      </c>
      <c r="P16" s="137" t="str">
        <f>IF(NOTAS!P14="","",IF(NOTAS!P14&lt;=4.5,"EC",IF(NOTAS!P14&lt;=6.5,"R",IF(NOTAS!P14&lt;=8.5,"B",IF(NOTAS!P14&lt;=10,"E","Error")))))</f>
        <v/>
      </c>
      <c r="Q16" s="139" t="str">
        <f>IF(NOTAS!Q14="","",IF(NOTAS!Q14&lt;=4.5,"EC",IF(NOTAS!Q14&lt;=6.5,"R",IF(NOTAS!Q14&lt;=8.5,"B",IF(NOTAS!Q14&lt;=10,"E","Error")))))</f>
        <v/>
      </c>
      <c r="R16" s="137" t="str">
        <f>IF(NOTAS!R14="","",IF(NOTAS!R14&lt;=4.5,"EC",IF(NOTAS!R14&lt;=6.5,"R",IF(NOTAS!R14&lt;=8.5,"B",IF(NOTAS!R14&lt;=10,"E","Error")))))</f>
        <v/>
      </c>
      <c r="S16" s="137" t="str">
        <f>IF(NOTAS!S14="","",IF(NOTAS!S14&lt;=4.5,"EC",IF(NOTAS!S14&lt;=6.5,"R",IF(NOTAS!S14&lt;=8.5,"B",IF(NOTAS!S14&lt;=10,"E","Error")))))</f>
        <v/>
      </c>
      <c r="T16" s="137" t="str">
        <f>IF(NOTAS!T14="","",IF(NOTAS!T14&lt;=4.5,"EC",IF(NOTAS!T14&lt;=6.5,"R",IF(NOTAS!T14&lt;=8.5,"B",IF(NOTAS!T14&lt;=10,"E","Error")))))</f>
        <v/>
      </c>
      <c r="U16" s="137" t="str">
        <f>IF(NOTAS!U14="","",IF(NOTAS!U14&lt;=4.5,"EC",IF(NOTAS!U14&lt;=6.5,"R",IF(NOTAS!U14&lt;=8.5,"B",IF(NOTAS!U14&lt;=10,"E","Error")))))</f>
        <v/>
      </c>
      <c r="V16" s="140" t="str">
        <f>IF(NOTAS!V14="","",IF(NOTAS!V14&lt;=4.5,"EC",IF(NOTAS!V14&lt;=6.5,"R",IF(NOTAS!V14&lt;=8.5,"B",IF(NOTAS!V14&lt;=10,"E","Error")))))</f>
        <v/>
      </c>
      <c r="W16" s="137" t="str">
        <f>IF(NOTAS!W14="","",IF(NOTAS!W14&lt;=4.5,"EC",IF(NOTAS!W14&lt;=6.5,"R",IF(NOTAS!W14&lt;=8.5,"B",IF(NOTAS!W14&lt;=10,"E","Error")))))</f>
        <v/>
      </c>
      <c r="X16" s="137" t="str">
        <f>IF(NOTAS!X14="","",IF(NOTAS!X14&lt;=4.5,"EC",IF(NOTAS!X14&lt;=6.5,"R",IF(NOTAS!X14&lt;=8.5,"B",IF(NOTAS!X14&lt;=10,"E","Error")))))</f>
        <v/>
      </c>
      <c r="Y16" s="137" t="str">
        <f>IF(NOTAS!Y14="","",IF(NOTAS!Y14&lt;=4.5,"EC",IF(NOTAS!Y14&lt;=6.5,"R",IF(NOTAS!Y14&lt;=8.5,"B",IF(NOTAS!Y14&lt;=10,"E","Error")))))</f>
        <v/>
      </c>
      <c r="Z16" s="137" t="str">
        <f>IF(NOTAS!Z14="","",IF(NOTAS!Z14&lt;=4.5,"EC",IF(NOTAS!Z14&lt;=6.5,"R",IF(NOTAS!Z14&lt;=8.5,"B",IF(NOTAS!Z14&lt;=10,"E","Error")))))</f>
        <v/>
      </c>
      <c r="AA16" s="141" t="str">
        <f>IF(NOTAS!AA14="","",IF(NOTAS!AA14&lt;=4.5,"EC",IF(NOTAS!AA14&lt;=6.5,"R",IF(NOTAS!AA14&lt;=8.5,"B",IF(NOTAS!AA14&lt;=10,"E","Error")))))</f>
        <v/>
      </c>
      <c r="AB16" s="137" t="str">
        <f>IF(NOTAS!AB14="","",IF(NOTAS!AB14&lt;=4.5,"EC",IF(NOTAS!AB14&lt;=6.5,"R",IF(NOTAS!AB14&lt;=8.5,"B",IF(NOTAS!AB14&lt;=10,"E","Error")))))</f>
        <v/>
      </c>
      <c r="AC16" s="137" t="str">
        <f>IF(NOTAS!AC14="","",IF(NOTAS!AC14&lt;=4.5,"EC",IF(NOTAS!AC14&lt;=6.5,"R",IF(NOTAS!AC14&lt;=8.5,"B",IF(NOTAS!AC14&lt;=10,"E","Error")))))</f>
        <v/>
      </c>
      <c r="AD16" s="137" t="str">
        <f>IF(NOTAS!AD14="","",IF(NOTAS!AD14&lt;=4.5,"EC",IF(NOTAS!AD14&lt;=6.5,"R",IF(NOTAS!AD14&lt;=8.5,"B",IF(NOTAS!AD14&lt;=10,"E","Error")))))</f>
        <v/>
      </c>
      <c r="AE16" s="137" t="str">
        <f>IF(NOTAS!AE14="","",IF(NOTAS!AE14&lt;=4.5,"EC",IF(NOTAS!AE14&lt;=6.5,"R",IF(NOTAS!AE14&lt;=8.5,"B",IF(NOTAS!AE14&lt;=10,"E","Error")))))</f>
        <v/>
      </c>
      <c r="AF16" s="142" t="str">
        <f>IF(NOTAS!AF14="","",IF(NOTAS!AF14&lt;=4.5,"EC",IF(NOTAS!AF14&lt;=6.5,"R",IF(NOTAS!AF14&lt;=8.5,"B",IF(NOTAS!AF14&lt;=10,"E","Error")))))</f>
        <v/>
      </c>
      <c r="AG16" s="137" t="str">
        <f>IF(NOTAS!AG14="","",IF(NOTAS!AG14&lt;=4.5,"EC",IF(NOTAS!AG14&lt;=6.5,"R",IF(NOTAS!AG14&lt;=8.5,"B",IF(NOTAS!AG14&lt;=10,"E","Error")))))</f>
        <v/>
      </c>
      <c r="AH16" s="137" t="str">
        <f>IF(NOTAS!AH14="","",IF(NOTAS!AH14&lt;=4.5,"EC",IF(NOTAS!AH14&lt;=6.5,"R",IF(NOTAS!AH14&lt;=8.5,"B",IF(NOTAS!AH14&lt;=10,"E","Error")))))</f>
        <v/>
      </c>
      <c r="AI16" s="137" t="str">
        <f>IF(NOTAS!AI14="","",IF(NOTAS!AI14&lt;=4.5,"EC",IF(NOTAS!AI14&lt;=6.5,"R",IF(NOTAS!AI14&lt;=8.5,"B",IF(NOTAS!AI14&lt;=10,"E","Error")))))</f>
        <v/>
      </c>
      <c r="AJ16" s="137" t="str">
        <f>IF(NOTAS!AJ14="","",IF(NOTAS!AJ14&lt;=4.5,"EC",IF(NOTAS!AJ14&lt;=6.5,"R",IF(NOTAS!AJ14&lt;=8.5,"B",IF(NOTAS!AJ14&lt;=10,"E","Error")))))</f>
        <v/>
      </c>
      <c r="AK16" s="136" t="str">
        <f>IF(NOTAS!AK14="","",IF(NOTAS!AK14&lt;=4.5,"EC",IF(NOTAS!AK14&lt;=6.5,"R",IF(NOTAS!AK14&lt;=8.5,"B",IF(NOTAS!AK14&lt;=10,"E","Error")))))</f>
        <v/>
      </c>
      <c r="AL16" s="137" t="str">
        <f>IF(NOTAS!AL14="","",IF(NOTAS!AL14&lt;=4.5,"EC",IF(NOTAS!AL14&lt;=6.5,"R",IF(NOTAS!AL14&lt;=8.5,"B",IF(NOTAS!AL14&lt;=10,"E","Error")))))</f>
        <v/>
      </c>
      <c r="AM16" s="137" t="str">
        <f>IF(NOTAS!AM14="","",IF(NOTAS!AM14&lt;=4.5,"EC",IF(NOTAS!AM14&lt;=6.5,"R",IF(NOTAS!AM14&lt;=8.5,"B",IF(NOTAS!AM14&lt;=10,"E","Error")))))</f>
        <v/>
      </c>
      <c r="AN16" s="137" t="str">
        <f>IF(NOTAS!AN14="","",IF(NOTAS!AN14&lt;=4.5,"EC",IF(NOTAS!AN14&lt;=6.5,"R",IF(NOTAS!AN14&lt;=8.5,"B",IF(NOTAS!AN14&lt;=10,"E","Error")))))</f>
        <v/>
      </c>
      <c r="AO16" s="137" t="str">
        <f>IF(NOTAS!AO14="","",IF(NOTAS!AO14&lt;=4.5,"EC",IF(NOTAS!AO14&lt;=6.5,"R",IF(NOTAS!AO14&lt;=8.5,"B",IF(NOTAS!AO14&lt;=10,"E","Error")))))</f>
        <v/>
      </c>
      <c r="AP16" s="136" t="str">
        <f>IF(NOTAS!AP14="","",IF(NOTAS!AP14&lt;=4.5,"EC",IF(NOTAS!AP14&lt;=6.5,"R",IF(NOTAS!AP14&lt;=8.5,"B",IF(NOTAS!AP14&lt;=10,"E","Error")))))</f>
        <v/>
      </c>
      <c r="AQ16" s="155" t="str">
        <f>NOTAS!AR14</f>
        <v>****</v>
      </c>
      <c r="AR16" s="156" t="str">
        <f>NOTAS!AS14</f>
        <v>****</v>
      </c>
      <c r="AS16" s="157" t="str">
        <f>NOTAS!AT14</f>
        <v>****</v>
      </c>
      <c r="AT16" s="157" t="str">
        <f>NOTAS!AU14</f>
        <v>****</v>
      </c>
    </row>
    <row r="17" spans="1:46" ht="15.75" thickBot="1">
      <c r="A17" s="42">
        <f t="shared" si="0"/>
        <v>8</v>
      </c>
      <c r="B17" s="100" t="str">
        <f>IF(NOTAS!B15&lt;&gt;"",NOTAS!B15,"")</f>
        <v/>
      </c>
      <c r="C17" s="172" t="str">
        <f>IF(NOTAS!C15="","",IF(NOTAS!C15&lt;=4.5,"EC",IF(NOTAS!C15&lt;=6.5,"R",IF(NOTAS!C15&lt;=8.5,"B",IF(NOTAS!C15&lt;=10,"E","Error")))))</f>
        <v/>
      </c>
      <c r="D17" s="173" t="str">
        <f>IF(NOTAS!D15="","",IF(NOTAS!D15&lt;=4.5,"EC",IF(NOTAS!D15&lt;=6.5,"R",IF(NOTAS!D15&lt;=8.5,"B",IF(NOTAS!D15&lt;=10,"E","Error")))))</f>
        <v/>
      </c>
      <c r="E17" s="172" t="str">
        <f>IF(NOTAS!E15="","",IF(NOTAS!E15&lt;=4.5,"EC",IF(NOTAS!E15&lt;=6.5,"R",IF(NOTAS!E15&lt;=8.5,"B",IF(NOTAS!E15&lt;=10,"E","Error")))))</f>
        <v/>
      </c>
      <c r="F17" s="173" t="str">
        <f>IF(NOTAS!F15="","",IF(NOTAS!F15&lt;=4.5,"EC",IF(NOTAS!F15&lt;=6.5,"R",IF(NOTAS!F15&lt;=8.5,"B",IF(NOTAS!F15&lt;=10,"E","Error")))))</f>
        <v/>
      </c>
      <c r="G17" s="136" t="str">
        <f>IF(NOTAS!G15="","",IF(NOTAS!G15&lt;=4.5,"EC",IF(NOTAS!G15&lt;=6.5,"R",IF(NOTAS!G15&lt;=8.5,"B",IF(NOTAS!G15&lt;=10,"E","Error")))))</f>
        <v/>
      </c>
      <c r="H17" s="137" t="str">
        <f>IF(NOTAS!H15="","",IF(NOTAS!H15&lt;=4.5,"EC",IF(NOTAS!H15&lt;=6.5,"R",IF(NOTAS!H15&lt;=8.5,"B",IF(NOTAS!H15&lt;=10,"E","")))))</f>
        <v/>
      </c>
      <c r="I17" s="137" t="str">
        <f>IF(NOTAS!I15="","",IF(NOTAS!I15&lt;=4.5,"EC",IF(NOTAS!I15&lt;=6.5,"R",IF(NOTAS!I15&lt;=8.5,"B",IF(NOTAS!I15&lt;=10,"E","Error")))))</f>
        <v/>
      </c>
      <c r="J17" s="137" t="str">
        <f>IF(NOTAS!J15="","",IF(NOTAS!J15&lt;=4.5,"EC",IF(NOTAS!J15&lt;=6.5,"R",IF(NOTAS!J15&lt;=8.5,"B",IF(NOTAS!J15&lt;=10,"E","Error")))))</f>
        <v/>
      </c>
      <c r="K17" s="137" t="str">
        <f>IF(NOTAS!K15="","",IF(NOTAS!K15&lt;=4.5,"EC",IF(NOTAS!K15&lt;=6.5,"R",IF(NOTAS!K15&lt;=8.5,"B",IF(NOTAS!K15&lt;=10,"E","Error")))))</f>
        <v/>
      </c>
      <c r="L17" s="138" t="str">
        <f>IF(NOTAS!L15="","",IF(NOTAS!L15&lt;=4.5,"EC",IF(NOTAS!L15&lt;=6.5,"R",IF(NOTAS!L15&lt;=8.5,"B",IF(NOTAS!L15&lt;=10,"E","Error")))))</f>
        <v/>
      </c>
      <c r="M17" s="137" t="str">
        <f>IF(NOTAS!M15="","",IF(NOTAS!M15&lt;=4.5,"EC",IF(NOTAS!M15&lt;=6.5,"R",IF(NOTAS!M15&lt;=8.5,"B",IF(NOTAS!M15&lt;=10,"E","Error")))))</f>
        <v/>
      </c>
      <c r="N17" s="137" t="str">
        <f>IF(NOTAS!N15="","",IF(NOTAS!N15&lt;=4.5,"EC",IF(NOTAS!N15&lt;=6.5,"R",IF(NOTAS!N15&lt;=8.5,"B",IF(NOTAS!N15&lt;=10,"E","Error")))))</f>
        <v/>
      </c>
      <c r="O17" s="137" t="str">
        <f>IF(NOTAS!O15="","",IF(NOTAS!O15&lt;=4.5,"EC",IF(NOTAS!O15&lt;=6.5,"R",IF(NOTAS!O15&lt;=8.5,"B",IF(NOTAS!O15&lt;=10,"E","Error")))))</f>
        <v/>
      </c>
      <c r="P17" s="137" t="str">
        <f>IF(NOTAS!P15="","",IF(NOTAS!P15&lt;=4.5,"EC",IF(NOTAS!P15&lt;=6.5,"R",IF(NOTAS!P15&lt;=8.5,"B",IF(NOTAS!P15&lt;=10,"E","Error")))))</f>
        <v/>
      </c>
      <c r="Q17" s="139" t="str">
        <f>IF(NOTAS!Q15="","",IF(NOTAS!Q15&lt;=4.5,"EC",IF(NOTAS!Q15&lt;=6.5,"R",IF(NOTAS!Q15&lt;=8.5,"B",IF(NOTAS!Q15&lt;=10,"E","Error")))))</f>
        <v/>
      </c>
      <c r="R17" s="137" t="str">
        <f>IF(NOTAS!R15="","",IF(NOTAS!R15&lt;=4.5,"EC",IF(NOTAS!R15&lt;=6.5,"R",IF(NOTAS!R15&lt;=8.5,"B",IF(NOTAS!R15&lt;=10,"E","Error")))))</f>
        <v/>
      </c>
      <c r="S17" s="137" t="str">
        <f>IF(NOTAS!S15="","",IF(NOTAS!S15&lt;=4.5,"EC",IF(NOTAS!S15&lt;=6.5,"R",IF(NOTAS!S15&lt;=8.5,"B",IF(NOTAS!S15&lt;=10,"E","Error")))))</f>
        <v/>
      </c>
      <c r="T17" s="137" t="str">
        <f>IF(NOTAS!T15="","",IF(NOTAS!T15&lt;=4.5,"EC",IF(NOTAS!T15&lt;=6.5,"R",IF(NOTAS!T15&lt;=8.5,"B",IF(NOTAS!T15&lt;=10,"E","Error")))))</f>
        <v/>
      </c>
      <c r="U17" s="137" t="str">
        <f>IF(NOTAS!U15="","",IF(NOTAS!U15&lt;=4.5,"EC",IF(NOTAS!U15&lt;=6.5,"R",IF(NOTAS!U15&lt;=8.5,"B",IF(NOTAS!U15&lt;=10,"E","Error")))))</f>
        <v/>
      </c>
      <c r="V17" s="140" t="str">
        <f>IF(NOTAS!V15="","",IF(NOTAS!V15&lt;=4.5,"EC",IF(NOTAS!V15&lt;=6.5,"R",IF(NOTAS!V15&lt;=8.5,"B",IF(NOTAS!V15&lt;=10,"E","Error")))))</f>
        <v/>
      </c>
      <c r="W17" s="137" t="str">
        <f>IF(NOTAS!W15="","",IF(NOTAS!W15&lt;=4.5,"EC",IF(NOTAS!W15&lt;=6.5,"R",IF(NOTAS!W15&lt;=8.5,"B",IF(NOTAS!W15&lt;=10,"E","Error")))))</f>
        <v/>
      </c>
      <c r="X17" s="137" t="str">
        <f>IF(NOTAS!X15="","",IF(NOTAS!X15&lt;=4.5,"EC",IF(NOTAS!X15&lt;=6.5,"R",IF(NOTAS!X15&lt;=8.5,"B",IF(NOTAS!X15&lt;=10,"E","Error")))))</f>
        <v/>
      </c>
      <c r="Y17" s="137" t="str">
        <f>IF(NOTAS!Y15="","",IF(NOTAS!Y15&lt;=4.5,"EC",IF(NOTAS!Y15&lt;=6.5,"R",IF(NOTAS!Y15&lt;=8.5,"B",IF(NOTAS!Y15&lt;=10,"E","Error")))))</f>
        <v/>
      </c>
      <c r="Z17" s="137" t="str">
        <f>IF(NOTAS!Z15="","",IF(NOTAS!Z15&lt;=4.5,"EC",IF(NOTAS!Z15&lt;=6.5,"R",IF(NOTAS!Z15&lt;=8.5,"B",IF(NOTAS!Z15&lt;=10,"E","Error")))))</f>
        <v/>
      </c>
      <c r="AA17" s="141" t="str">
        <f>IF(NOTAS!AA15="","",IF(NOTAS!AA15&lt;=4.5,"EC",IF(NOTAS!AA15&lt;=6.5,"R",IF(NOTAS!AA15&lt;=8.5,"B",IF(NOTAS!AA15&lt;=10,"E","Error")))))</f>
        <v/>
      </c>
      <c r="AB17" s="137" t="str">
        <f>IF(NOTAS!AB15="","",IF(NOTAS!AB15&lt;=4.5,"EC",IF(NOTAS!AB15&lt;=6.5,"R",IF(NOTAS!AB15&lt;=8.5,"B",IF(NOTAS!AB15&lt;=10,"E","Error")))))</f>
        <v/>
      </c>
      <c r="AC17" s="137" t="str">
        <f>IF(NOTAS!AC15="","",IF(NOTAS!AC15&lt;=4.5,"EC",IF(NOTAS!AC15&lt;=6.5,"R",IF(NOTAS!AC15&lt;=8.5,"B",IF(NOTAS!AC15&lt;=10,"E","Error")))))</f>
        <v/>
      </c>
      <c r="AD17" s="137" t="str">
        <f>IF(NOTAS!AD15="","",IF(NOTAS!AD15&lt;=4.5,"EC",IF(NOTAS!AD15&lt;=6.5,"R",IF(NOTAS!AD15&lt;=8.5,"B",IF(NOTAS!AD15&lt;=10,"E","Error")))))</f>
        <v/>
      </c>
      <c r="AE17" s="137" t="str">
        <f>IF(NOTAS!AE15="","",IF(NOTAS!AE15&lt;=4.5,"EC",IF(NOTAS!AE15&lt;=6.5,"R",IF(NOTAS!AE15&lt;=8.5,"B",IF(NOTAS!AE15&lt;=10,"E","Error")))))</f>
        <v/>
      </c>
      <c r="AF17" s="142" t="str">
        <f>IF(NOTAS!AF15="","",IF(NOTAS!AF15&lt;=4.5,"EC",IF(NOTAS!AF15&lt;=6.5,"R",IF(NOTAS!AF15&lt;=8.5,"B",IF(NOTAS!AF15&lt;=10,"E","Error")))))</f>
        <v/>
      </c>
      <c r="AG17" s="137" t="str">
        <f>IF(NOTAS!AG15="","",IF(NOTAS!AG15&lt;=4.5,"EC",IF(NOTAS!AG15&lt;=6.5,"R",IF(NOTAS!AG15&lt;=8.5,"B",IF(NOTAS!AG15&lt;=10,"E","Error")))))</f>
        <v/>
      </c>
      <c r="AH17" s="137" t="str">
        <f>IF(NOTAS!AH15="","",IF(NOTAS!AH15&lt;=4.5,"EC",IF(NOTAS!AH15&lt;=6.5,"R",IF(NOTAS!AH15&lt;=8.5,"B",IF(NOTAS!AH15&lt;=10,"E","Error")))))</f>
        <v/>
      </c>
      <c r="AI17" s="137" t="str">
        <f>IF(NOTAS!AI15="","",IF(NOTAS!AI15&lt;=4.5,"EC",IF(NOTAS!AI15&lt;=6.5,"R",IF(NOTAS!AI15&lt;=8.5,"B",IF(NOTAS!AI15&lt;=10,"E","Error")))))</f>
        <v/>
      </c>
      <c r="AJ17" s="137" t="str">
        <f>IF(NOTAS!AJ15="","",IF(NOTAS!AJ15&lt;=4.5,"EC",IF(NOTAS!AJ15&lt;=6.5,"R",IF(NOTAS!AJ15&lt;=8.5,"B",IF(NOTAS!AJ15&lt;=10,"E","Error")))))</f>
        <v/>
      </c>
      <c r="AK17" s="136" t="str">
        <f>IF(NOTAS!AK15="","",IF(NOTAS!AK15&lt;=4.5,"EC",IF(NOTAS!AK15&lt;=6.5,"R",IF(NOTAS!AK15&lt;=8.5,"B",IF(NOTAS!AK15&lt;=10,"E","Error")))))</f>
        <v/>
      </c>
      <c r="AL17" s="137" t="str">
        <f>IF(NOTAS!AL15="","",IF(NOTAS!AL15&lt;=4.5,"EC",IF(NOTAS!AL15&lt;=6.5,"R",IF(NOTAS!AL15&lt;=8.5,"B",IF(NOTAS!AL15&lt;=10,"E","Error")))))</f>
        <v/>
      </c>
      <c r="AM17" s="137" t="str">
        <f>IF(NOTAS!AM15="","",IF(NOTAS!AM15&lt;=4.5,"EC",IF(NOTAS!AM15&lt;=6.5,"R",IF(NOTAS!AM15&lt;=8.5,"B",IF(NOTAS!AM15&lt;=10,"E","Error")))))</f>
        <v/>
      </c>
      <c r="AN17" s="137" t="str">
        <f>IF(NOTAS!AN15="","",IF(NOTAS!AN15&lt;=4.5,"EC",IF(NOTAS!AN15&lt;=6.5,"R",IF(NOTAS!AN15&lt;=8.5,"B",IF(NOTAS!AN15&lt;=10,"E","Error")))))</f>
        <v/>
      </c>
      <c r="AO17" s="137" t="str">
        <f>IF(NOTAS!AO15="","",IF(NOTAS!AO15&lt;=4.5,"EC",IF(NOTAS!AO15&lt;=6.5,"R",IF(NOTAS!AO15&lt;=8.5,"B",IF(NOTAS!AO15&lt;=10,"E","Error")))))</f>
        <v/>
      </c>
      <c r="AP17" s="136" t="str">
        <f>IF(NOTAS!AP15="","",IF(NOTAS!AP15&lt;=4.5,"EC",IF(NOTAS!AP15&lt;=6.5,"R",IF(NOTAS!AP15&lt;=8.5,"B",IF(NOTAS!AP15&lt;=10,"E","Error")))))</f>
        <v/>
      </c>
      <c r="AQ17" s="155" t="str">
        <f>NOTAS!AR15</f>
        <v>****</v>
      </c>
      <c r="AR17" s="156" t="str">
        <f>NOTAS!AS15</f>
        <v>****</v>
      </c>
      <c r="AS17" s="157" t="str">
        <f>NOTAS!AT15</f>
        <v>****</v>
      </c>
      <c r="AT17" s="157" t="str">
        <f>NOTAS!AU15</f>
        <v>****</v>
      </c>
    </row>
    <row r="18" spans="1:46" ht="15.75" thickBot="1">
      <c r="A18" s="42">
        <f t="shared" si="0"/>
        <v>9</v>
      </c>
      <c r="B18" s="100" t="str">
        <f>IF(NOTAS!B16&lt;&gt;"",NOTAS!B16,"")</f>
        <v/>
      </c>
      <c r="C18" s="169" t="str">
        <f>IF(NOTAS!C16="","",IF(NOTAS!C16&lt;=4.5,"EC",IF(NOTAS!C16&lt;=6.5,"R",IF(NOTAS!C16&lt;=8.5,"B",IF(NOTAS!C16&lt;=10,"E","Error")))))</f>
        <v/>
      </c>
      <c r="D18" s="170" t="str">
        <f>IF(NOTAS!D16="","",IF(NOTAS!D16&lt;=4.5,"EC",IF(NOTAS!D16&lt;=6.5,"R",IF(NOTAS!D16&lt;=8.5,"B",IF(NOTAS!D16&lt;=10,"E","Error")))))</f>
        <v/>
      </c>
      <c r="E18" s="169" t="str">
        <f>IF(NOTAS!E16="","",IF(NOTAS!E16&lt;=4.5,"EC",IF(NOTAS!E16&lt;=6.5,"R",IF(NOTAS!E16&lt;=8.5,"B",IF(NOTAS!E16&lt;=10,"E","Error")))))</f>
        <v/>
      </c>
      <c r="F18" s="171" t="str">
        <f>IF(NOTAS!F16="","",IF(NOTAS!F16&lt;=4.5,"EC",IF(NOTAS!F16&lt;=6.5,"R",IF(NOTAS!F16&lt;=8.5,"B",IF(NOTAS!F16&lt;=10,"E","Error")))))</f>
        <v/>
      </c>
      <c r="G18" s="136" t="str">
        <f>IF(NOTAS!G16="","",IF(NOTAS!G16&lt;=4.5,"EC",IF(NOTAS!G16&lt;=6.5,"R",IF(NOTAS!G16&lt;=8.5,"B",IF(NOTAS!G16&lt;=10,"E","Error")))))</f>
        <v/>
      </c>
      <c r="H18" s="137" t="str">
        <f>IF(NOTAS!H16="","",IF(NOTAS!H16&lt;=4.5,"EC",IF(NOTAS!H16&lt;=6.5,"R",IF(NOTAS!H16&lt;=8.5,"B",IF(NOTAS!H16&lt;=10,"E","")))))</f>
        <v/>
      </c>
      <c r="I18" s="137" t="str">
        <f>IF(NOTAS!I16="","",IF(NOTAS!I16&lt;=4.5,"EC",IF(NOTAS!I16&lt;=6.5,"R",IF(NOTAS!I16&lt;=8.5,"B",IF(NOTAS!I16&lt;=10,"E","Error")))))</f>
        <v/>
      </c>
      <c r="J18" s="137" t="str">
        <f>IF(NOTAS!J16="","",IF(NOTAS!J16&lt;=4.5,"EC",IF(NOTAS!J16&lt;=6.5,"R",IF(NOTAS!J16&lt;=8.5,"B",IF(NOTAS!J16&lt;=10,"E","Error")))))</f>
        <v/>
      </c>
      <c r="K18" s="137" t="str">
        <f>IF(NOTAS!K16="","",IF(NOTAS!K16&lt;=4.5,"EC",IF(NOTAS!K16&lt;=6.5,"R",IF(NOTAS!K16&lt;=8.5,"B",IF(NOTAS!K16&lt;=10,"E","Error")))))</f>
        <v/>
      </c>
      <c r="L18" s="138" t="str">
        <f>IF(NOTAS!L16="","",IF(NOTAS!L16&lt;=4.5,"EC",IF(NOTAS!L16&lt;=6.5,"R",IF(NOTAS!L16&lt;=8.5,"B",IF(NOTAS!L16&lt;=10,"E","Error")))))</f>
        <v/>
      </c>
      <c r="M18" s="137" t="str">
        <f>IF(NOTAS!M16="","",IF(NOTAS!M16&lt;=4.5,"EC",IF(NOTAS!M16&lt;=6.5,"R",IF(NOTAS!M16&lt;=8.5,"B",IF(NOTAS!M16&lt;=10,"E","Error")))))</f>
        <v/>
      </c>
      <c r="N18" s="137" t="str">
        <f>IF(NOTAS!N16="","",IF(NOTAS!N16&lt;=4.5,"EC",IF(NOTAS!N16&lt;=6.5,"R",IF(NOTAS!N16&lt;=8.5,"B",IF(NOTAS!N16&lt;=10,"E","Error")))))</f>
        <v/>
      </c>
      <c r="O18" s="137" t="str">
        <f>IF(NOTAS!O16="","",IF(NOTAS!O16&lt;=4.5,"EC",IF(NOTAS!O16&lt;=6.5,"R",IF(NOTAS!O16&lt;=8.5,"B",IF(NOTAS!O16&lt;=10,"E","Error")))))</f>
        <v/>
      </c>
      <c r="P18" s="137" t="str">
        <f>IF(NOTAS!P16="","",IF(NOTAS!P16&lt;=4.5,"EC",IF(NOTAS!P16&lt;=6.5,"R",IF(NOTAS!P16&lt;=8.5,"B",IF(NOTAS!P16&lt;=10,"E","Error")))))</f>
        <v/>
      </c>
      <c r="Q18" s="139" t="str">
        <f>IF(NOTAS!Q16="","",IF(NOTAS!Q16&lt;=4.5,"EC",IF(NOTAS!Q16&lt;=6.5,"R",IF(NOTAS!Q16&lt;=8.5,"B",IF(NOTAS!Q16&lt;=10,"E","Error")))))</f>
        <v/>
      </c>
      <c r="R18" s="137" t="str">
        <f>IF(NOTAS!R16="","",IF(NOTAS!R16&lt;=4.5,"EC",IF(NOTAS!R16&lt;=6.5,"R",IF(NOTAS!R16&lt;=8.5,"B",IF(NOTAS!R16&lt;=10,"E","Error")))))</f>
        <v/>
      </c>
      <c r="S18" s="137" t="str">
        <f>IF(NOTAS!S16="","",IF(NOTAS!S16&lt;=4.5,"EC",IF(NOTAS!S16&lt;=6.5,"R",IF(NOTAS!S16&lt;=8.5,"B",IF(NOTAS!S16&lt;=10,"E","Error")))))</f>
        <v/>
      </c>
      <c r="T18" s="137" t="str">
        <f>IF(NOTAS!T16="","",IF(NOTAS!T16&lt;=4.5,"EC",IF(NOTAS!T16&lt;=6.5,"R",IF(NOTAS!T16&lt;=8.5,"B",IF(NOTAS!T16&lt;=10,"E","Error")))))</f>
        <v/>
      </c>
      <c r="U18" s="137" t="str">
        <f>IF(NOTAS!U16="","",IF(NOTAS!U16&lt;=4.5,"EC",IF(NOTAS!U16&lt;=6.5,"R",IF(NOTAS!U16&lt;=8.5,"B",IF(NOTAS!U16&lt;=10,"E","Error")))))</f>
        <v/>
      </c>
      <c r="V18" s="140" t="str">
        <f>IF(NOTAS!V16="","",IF(NOTAS!V16&lt;=4.5,"EC",IF(NOTAS!V16&lt;=6.5,"R",IF(NOTAS!V16&lt;=8.5,"B",IF(NOTAS!V16&lt;=10,"E","Error")))))</f>
        <v/>
      </c>
      <c r="W18" s="137" t="str">
        <f>IF(NOTAS!W16="","",IF(NOTAS!W16&lt;=4.5,"EC",IF(NOTAS!W16&lt;=6.5,"R",IF(NOTAS!W16&lt;=8.5,"B",IF(NOTAS!W16&lt;=10,"E","Error")))))</f>
        <v/>
      </c>
      <c r="X18" s="137" t="str">
        <f>IF(NOTAS!X16="","",IF(NOTAS!X16&lt;=4.5,"EC",IF(NOTAS!X16&lt;=6.5,"R",IF(NOTAS!X16&lt;=8.5,"B",IF(NOTAS!X16&lt;=10,"E","Error")))))</f>
        <v/>
      </c>
      <c r="Y18" s="137" t="str">
        <f>IF(NOTAS!Y16="","",IF(NOTAS!Y16&lt;=4.5,"EC",IF(NOTAS!Y16&lt;=6.5,"R",IF(NOTAS!Y16&lt;=8.5,"B",IF(NOTAS!Y16&lt;=10,"E","Error")))))</f>
        <v/>
      </c>
      <c r="Z18" s="137" t="str">
        <f>IF(NOTAS!Z16="","",IF(NOTAS!Z16&lt;=4.5,"EC",IF(NOTAS!Z16&lt;=6.5,"R",IF(NOTAS!Z16&lt;=8.5,"B",IF(NOTAS!Z16&lt;=10,"E","Error")))))</f>
        <v/>
      </c>
      <c r="AA18" s="141" t="str">
        <f>IF(NOTAS!AA16="","",IF(NOTAS!AA16&lt;=4.5,"EC",IF(NOTAS!AA16&lt;=6.5,"R",IF(NOTAS!AA16&lt;=8.5,"B",IF(NOTAS!AA16&lt;=10,"E","Error")))))</f>
        <v/>
      </c>
      <c r="AB18" s="137" t="str">
        <f>IF(NOTAS!AB16="","",IF(NOTAS!AB16&lt;=4.5,"EC",IF(NOTAS!AB16&lt;=6.5,"R",IF(NOTAS!AB16&lt;=8.5,"B",IF(NOTAS!AB16&lt;=10,"E","Error")))))</f>
        <v/>
      </c>
      <c r="AC18" s="137" t="str">
        <f>IF(NOTAS!AC16="","",IF(NOTAS!AC16&lt;=4.5,"EC",IF(NOTAS!AC16&lt;=6.5,"R",IF(NOTAS!AC16&lt;=8.5,"B",IF(NOTAS!AC16&lt;=10,"E","Error")))))</f>
        <v/>
      </c>
      <c r="AD18" s="137" t="str">
        <f>IF(NOTAS!AD16="","",IF(NOTAS!AD16&lt;=4.5,"EC",IF(NOTAS!AD16&lt;=6.5,"R",IF(NOTAS!AD16&lt;=8.5,"B",IF(NOTAS!AD16&lt;=10,"E","Error")))))</f>
        <v/>
      </c>
      <c r="AE18" s="137" t="str">
        <f>IF(NOTAS!AE16="","",IF(NOTAS!AE16&lt;=4.5,"EC",IF(NOTAS!AE16&lt;=6.5,"R",IF(NOTAS!AE16&lt;=8.5,"B",IF(NOTAS!AE16&lt;=10,"E","Error")))))</f>
        <v/>
      </c>
      <c r="AF18" s="142" t="str">
        <f>IF(NOTAS!AF16="","",IF(NOTAS!AF16&lt;=4.5,"EC",IF(NOTAS!AF16&lt;=6.5,"R",IF(NOTAS!AF16&lt;=8.5,"B",IF(NOTAS!AF16&lt;=10,"E","Error")))))</f>
        <v/>
      </c>
      <c r="AG18" s="137" t="str">
        <f>IF(NOTAS!AG16="","",IF(NOTAS!AG16&lt;=4.5,"EC",IF(NOTAS!AG16&lt;=6.5,"R",IF(NOTAS!AG16&lt;=8.5,"B",IF(NOTAS!AG16&lt;=10,"E","Error")))))</f>
        <v/>
      </c>
      <c r="AH18" s="137" t="str">
        <f>IF(NOTAS!AH16="","",IF(NOTAS!AH16&lt;=4.5,"EC",IF(NOTAS!AH16&lt;=6.5,"R",IF(NOTAS!AH16&lt;=8.5,"B",IF(NOTAS!AH16&lt;=10,"E","Error")))))</f>
        <v/>
      </c>
      <c r="AI18" s="137" t="str">
        <f>IF(NOTAS!AI16="","",IF(NOTAS!AI16&lt;=4.5,"EC",IF(NOTAS!AI16&lt;=6.5,"R",IF(NOTAS!AI16&lt;=8.5,"B",IF(NOTAS!AI16&lt;=10,"E","Error")))))</f>
        <v/>
      </c>
      <c r="AJ18" s="137" t="str">
        <f>IF(NOTAS!AJ16="","",IF(NOTAS!AJ16&lt;=4.5,"EC",IF(NOTAS!AJ16&lt;=6.5,"R",IF(NOTAS!AJ16&lt;=8.5,"B",IF(NOTAS!AJ16&lt;=10,"E","Error")))))</f>
        <v/>
      </c>
      <c r="AK18" s="136" t="str">
        <f>IF(NOTAS!AK16="","",IF(NOTAS!AK16&lt;=4.5,"EC",IF(NOTAS!AK16&lt;=6.5,"R",IF(NOTAS!AK16&lt;=8.5,"B",IF(NOTAS!AK16&lt;=10,"E","Error")))))</f>
        <v/>
      </c>
      <c r="AL18" s="137" t="str">
        <f>IF(NOTAS!AL16="","",IF(NOTAS!AL16&lt;=4.5,"EC",IF(NOTAS!AL16&lt;=6.5,"R",IF(NOTAS!AL16&lt;=8.5,"B",IF(NOTAS!AL16&lt;=10,"E","Error")))))</f>
        <v/>
      </c>
      <c r="AM18" s="137" t="str">
        <f>IF(NOTAS!AM16="","",IF(NOTAS!AM16&lt;=4.5,"EC",IF(NOTAS!AM16&lt;=6.5,"R",IF(NOTAS!AM16&lt;=8.5,"B",IF(NOTAS!AM16&lt;=10,"E","Error")))))</f>
        <v/>
      </c>
      <c r="AN18" s="137" t="str">
        <f>IF(NOTAS!AN16="","",IF(NOTAS!AN16&lt;=4.5,"EC",IF(NOTAS!AN16&lt;=6.5,"R",IF(NOTAS!AN16&lt;=8.5,"B",IF(NOTAS!AN16&lt;=10,"E","Error")))))</f>
        <v/>
      </c>
      <c r="AO18" s="137" t="str">
        <f>IF(NOTAS!AO16="","",IF(NOTAS!AO16&lt;=4.5,"EC",IF(NOTAS!AO16&lt;=6.5,"R",IF(NOTAS!AO16&lt;=8.5,"B",IF(NOTAS!AO16&lt;=10,"E","Error")))))</f>
        <v/>
      </c>
      <c r="AP18" s="136" t="str">
        <f>IF(NOTAS!AP16="","",IF(NOTAS!AP16&lt;=4.5,"EC",IF(NOTAS!AP16&lt;=6.5,"R",IF(NOTAS!AP16&lt;=8.5,"B",IF(NOTAS!AP16&lt;=10,"E","Error")))))</f>
        <v/>
      </c>
      <c r="AQ18" s="155" t="str">
        <f>NOTAS!AR16</f>
        <v>****</v>
      </c>
      <c r="AR18" s="156" t="str">
        <f>NOTAS!AS16</f>
        <v>****</v>
      </c>
      <c r="AS18" s="157" t="str">
        <f>NOTAS!AT16</f>
        <v>****</v>
      </c>
      <c r="AT18" s="157" t="str">
        <f>NOTAS!AU16</f>
        <v>****</v>
      </c>
    </row>
    <row r="19" spans="1:46" ht="15.75" thickBot="1">
      <c r="A19" s="42">
        <f t="shared" si="0"/>
        <v>10</v>
      </c>
      <c r="B19" s="100" t="str">
        <f>IF(NOTAS!B17&lt;&gt;"",NOTAS!B17,"")</f>
        <v/>
      </c>
      <c r="C19" s="172" t="str">
        <f>IF(NOTAS!C17="","",IF(NOTAS!C17&lt;=4.5,"EC",IF(NOTAS!C17&lt;=6.5,"R",IF(NOTAS!C17&lt;=8.5,"B",IF(NOTAS!C17&lt;=10,"E","Error")))))</f>
        <v/>
      </c>
      <c r="D19" s="173" t="str">
        <f>IF(NOTAS!D17="","",IF(NOTAS!D17&lt;=4.5,"EC",IF(NOTAS!D17&lt;=6.5,"R",IF(NOTAS!D17&lt;=8.5,"B",IF(NOTAS!D17&lt;=10,"E","Error")))))</f>
        <v/>
      </c>
      <c r="E19" s="172" t="str">
        <f>IF(NOTAS!E17="","",IF(NOTAS!E17&lt;=4.5,"EC",IF(NOTAS!E17&lt;=6.5,"R",IF(NOTAS!E17&lt;=8.5,"B",IF(NOTAS!E17&lt;=10,"E","Error")))))</f>
        <v/>
      </c>
      <c r="F19" s="173" t="str">
        <f>IF(NOTAS!F17="","",IF(NOTAS!F17&lt;=4.5,"EC",IF(NOTAS!F17&lt;=6.5,"R",IF(NOTAS!F17&lt;=8.5,"B",IF(NOTAS!F17&lt;=10,"E","Error")))))</f>
        <v/>
      </c>
      <c r="G19" s="136" t="str">
        <f>IF(NOTAS!G17="","",IF(NOTAS!G17&lt;=4.5,"EC",IF(NOTAS!G17&lt;=6.5,"R",IF(NOTAS!G17&lt;=8.5,"B",IF(NOTAS!G17&lt;=10,"E","Error")))))</f>
        <v/>
      </c>
      <c r="H19" s="137" t="str">
        <f>IF(NOTAS!H17="","",IF(NOTAS!H17&lt;=4.5,"EC",IF(NOTAS!H17&lt;=6.5,"R",IF(NOTAS!H17&lt;=8.5,"B",IF(NOTAS!H17&lt;=10,"E","")))))</f>
        <v/>
      </c>
      <c r="I19" s="137" t="str">
        <f>IF(NOTAS!I17="","",IF(NOTAS!I17&lt;=4.5,"EC",IF(NOTAS!I17&lt;=6.5,"R",IF(NOTAS!I17&lt;=8.5,"B",IF(NOTAS!I17&lt;=10,"E","Error")))))</f>
        <v/>
      </c>
      <c r="J19" s="137" t="str">
        <f>IF(NOTAS!J17="","",IF(NOTAS!J17&lt;=4.5,"EC",IF(NOTAS!J17&lt;=6.5,"R",IF(NOTAS!J17&lt;=8.5,"B",IF(NOTAS!J17&lt;=10,"E","Error")))))</f>
        <v/>
      </c>
      <c r="K19" s="137" t="str">
        <f>IF(NOTAS!K17="","",IF(NOTAS!K17&lt;=4.5,"EC",IF(NOTAS!K17&lt;=6.5,"R",IF(NOTAS!K17&lt;=8.5,"B",IF(NOTAS!K17&lt;=10,"E","Error")))))</f>
        <v/>
      </c>
      <c r="L19" s="138" t="str">
        <f>IF(NOTAS!L17="","",IF(NOTAS!L17&lt;=4.5,"EC",IF(NOTAS!L17&lt;=6.5,"R",IF(NOTAS!L17&lt;=8.5,"B",IF(NOTAS!L17&lt;=10,"E","Error")))))</f>
        <v/>
      </c>
      <c r="M19" s="137" t="str">
        <f>IF(NOTAS!M17="","",IF(NOTAS!M17&lt;=4.5,"EC",IF(NOTAS!M17&lt;=6.5,"R",IF(NOTAS!M17&lt;=8.5,"B",IF(NOTAS!M17&lt;=10,"E","Error")))))</f>
        <v/>
      </c>
      <c r="N19" s="137" t="str">
        <f>IF(NOTAS!N17="","",IF(NOTAS!N17&lt;=4.5,"EC",IF(NOTAS!N17&lt;=6.5,"R",IF(NOTAS!N17&lt;=8.5,"B",IF(NOTAS!N17&lt;=10,"E","Error")))))</f>
        <v/>
      </c>
      <c r="O19" s="137" t="str">
        <f>IF(NOTAS!O17="","",IF(NOTAS!O17&lt;=4.5,"EC",IF(NOTAS!O17&lt;=6.5,"R",IF(NOTAS!O17&lt;=8.5,"B",IF(NOTAS!O17&lt;=10,"E","Error")))))</f>
        <v/>
      </c>
      <c r="P19" s="137" t="str">
        <f>IF(NOTAS!P17="","",IF(NOTAS!P17&lt;=4.5,"EC",IF(NOTAS!P17&lt;=6.5,"R",IF(NOTAS!P17&lt;=8.5,"B",IF(NOTAS!P17&lt;=10,"E","Error")))))</f>
        <v/>
      </c>
      <c r="Q19" s="139" t="str">
        <f>IF(NOTAS!Q17="","",IF(NOTAS!Q17&lt;=4.5,"EC",IF(NOTAS!Q17&lt;=6.5,"R",IF(NOTAS!Q17&lt;=8.5,"B",IF(NOTAS!Q17&lt;=10,"E","Error")))))</f>
        <v/>
      </c>
      <c r="R19" s="137" t="str">
        <f>IF(NOTAS!R17="","",IF(NOTAS!R17&lt;=4.5,"EC",IF(NOTAS!R17&lt;=6.5,"R",IF(NOTAS!R17&lt;=8.5,"B",IF(NOTAS!R17&lt;=10,"E","Error")))))</f>
        <v/>
      </c>
      <c r="S19" s="137" t="str">
        <f>IF(NOTAS!S17="","",IF(NOTAS!S17&lt;=4.5,"EC",IF(NOTAS!S17&lt;=6.5,"R",IF(NOTAS!S17&lt;=8.5,"B",IF(NOTAS!S17&lt;=10,"E","Error")))))</f>
        <v/>
      </c>
      <c r="T19" s="137" t="str">
        <f>IF(NOTAS!T17="","",IF(NOTAS!T17&lt;=4.5,"EC",IF(NOTAS!T17&lt;=6.5,"R",IF(NOTAS!T17&lt;=8.5,"B",IF(NOTAS!T17&lt;=10,"E","Error")))))</f>
        <v/>
      </c>
      <c r="U19" s="137" t="str">
        <f>IF(NOTAS!U17="","",IF(NOTAS!U17&lt;=4.5,"EC",IF(NOTAS!U17&lt;=6.5,"R",IF(NOTAS!U17&lt;=8.5,"B",IF(NOTAS!U17&lt;=10,"E","Error")))))</f>
        <v/>
      </c>
      <c r="V19" s="140" t="str">
        <f>IF(NOTAS!V17="","",IF(NOTAS!V17&lt;=4.5,"EC",IF(NOTAS!V17&lt;=6.5,"R",IF(NOTAS!V17&lt;=8.5,"B",IF(NOTAS!V17&lt;=10,"E","Error")))))</f>
        <v/>
      </c>
      <c r="W19" s="137" t="str">
        <f>IF(NOTAS!W17="","",IF(NOTAS!W17&lt;=4.5,"EC",IF(NOTAS!W17&lt;=6.5,"R",IF(NOTAS!W17&lt;=8.5,"B",IF(NOTAS!W17&lt;=10,"E","Error")))))</f>
        <v/>
      </c>
      <c r="X19" s="137" t="str">
        <f>IF(NOTAS!X17="","",IF(NOTAS!X17&lt;=4.5,"EC",IF(NOTAS!X17&lt;=6.5,"R",IF(NOTAS!X17&lt;=8.5,"B",IF(NOTAS!X17&lt;=10,"E","Error")))))</f>
        <v/>
      </c>
      <c r="Y19" s="137" t="str">
        <f>IF(NOTAS!Y17="","",IF(NOTAS!Y17&lt;=4.5,"EC",IF(NOTAS!Y17&lt;=6.5,"R",IF(NOTAS!Y17&lt;=8.5,"B",IF(NOTAS!Y17&lt;=10,"E","Error")))))</f>
        <v/>
      </c>
      <c r="Z19" s="137" t="str">
        <f>IF(NOTAS!Z17="","",IF(NOTAS!Z17&lt;=4.5,"EC",IF(NOTAS!Z17&lt;=6.5,"R",IF(NOTAS!Z17&lt;=8.5,"B",IF(NOTAS!Z17&lt;=10,"E","Error")))))</f>
        <v/>
      </c>
      <c r="AA19" s="141" t="str">
        <f>IF(NOTAS!AA17="","",IF(NOTAS!AA17&lt;=4.5,"EC",IF(NOTAS!AA17&lt;=6.5,"R",IF(NOTAS!AA17&lt;=8.5,"B",IF(NOTAS!AA17&lt;=10,"E","Error")))))</f>
        <v/>
      </c>
      <c r="AB19" s="137" t="str">
        <f>IF(NOTAS!AB17="","",IF(NOTAS!AB17&lt;=4.5,"EC",IF(NOTAS!AB17&lt;=6.5,"R",IF(NOTAS!AB17&lt;=8.5,"B",IF(NOTAS!AB17&lt;=10,"E","Error")))))</f>
        <v/>
      </c>
      <c r="AC19" s="137" t="str">
        <f>IF(NOTAS!AC17="","",IF(NOTAS!AC17&lt;=4.5,"EC",IF(NOTAS!AC17&lt;=6.5,"R",IF(NOTAS!AC17&lt;=8.5,"B",IF(NOTAS!AC17&lt;=10,"E","Error")))))</f>
        <v/>
      </c>
      <c r="AD19" s="137" t="str">
        <f>IF(NOTAS!AD17="","",IF(NOTAS!AD17&lt;=4.5,"EC",IF(NOTAS!AD17&lt;=6.5,"R",IF(NOTAS!AD17&lt;=8.5,"B",IF(NOTAS!AD17&lt;=10,"E","Error")))))</f>
        <v/>
      </c>
      <c r="AE19" s="137" t="str">
        <f>IF(NOTAS!AE17="","",IF(NOTAS!AE17&lt;=4.5,"EC",IF(NOTAS!AE17&lt;=6.5,"R",IF(NOTAS!AE17&lt;=8.5,"B",IF(NOTAS!AE17&lt;=10,"E","Error")))))</f>
        <v/>
      </c>
      <c r="AF19" s="142" t="str">
        <f>IF(NOTAS!AF17="","",IF(NOTAS!AF17&lt;=4.5,"EC",IF(NOTAS!AF17&lt;=6.5,"R",IF(NOTAS!AF17&lt;=8.5,"B",IF(NOTAS!AF17&lt;=10,"E","Error")))))</f>
        <v/>
      </c>
      <c r="AG19" s="137" t="str">
        <f>IF(NOTAS!AG17="","",IF(NOTAS!AG17&lt;=4.5,"EC",IF(NOTAS!AG17&lt;=6.5,"R",IF(NOTAS!AG17&lt;=8.5,"B",IF(NOTAS!AG17&lt;=10,"E","Error")))))</f>
        <v/>
      </c>
      <c r="AH19" s="137" t="str">
        <f>IF(NOTAS!AH17="","",IF(NOTAS!AH17&lt;=4.5,"EC",IF(NOTAS!AH17&lt;=6.5,"R",IF(NOTAS!AH17&lt;=8.5,"B",IF(NOTAS!AH17&lt;=10,"E","Error")))))</f>
        <v/>
      </c>
      <c r="AI19" s="137" t="str">
        <f>IF(NOTAS!AI17="","",IF(NOTAS!AI17&lt;=4.5,"EC",IF(NOTAS!AI17&lt;=6.5,"R",IF(NOTAS!AI17&lt;=8.5,"B",IF(NOTAS!AI17&lt;=10,"E","Error")))))</f>
        <v/>
      </c>
      <c r="AJ19" s="137" t="str">
        <f>IF(NOTAS!AJ17="","",IF(NOTAS!AJ17&lt;=4.5,"EC",IF(NOTAS!AJ17&lt;=6.5,"R",IF(NOTAS!AJ17&lt;=8.5,"B",IF(NOTAS!AJ17&lt;=10,"E","Error")))))</f>
        <v/>
      </c>
      <c r="AK19" s="136" t="str">
        <f>IF(NOTAS!AK17="","",IF(NOTAS!AK17&lt;=4.5,"EC",IF(NOTAS!AK17&lt;=6.5,"R",IF(NOTAS!AK17&lt;=8.5,"B",IF(NOTAS!AK17&lt;=10,"E","Error")))))</f>
        <v/>
      </c>
      <c r="AL19" s="137" t="str">
        <f>IF(NOTAS!AL17="","",IF(NOTAS!AL17&lt;=4.5,"EC",IF(NOTAS!AL17&lt;=6.5,"R",IF(NOTAS!AL17&lt;=8.5,"B",IF(NOTAS!AL17&lt;=10,"E","Error")))))</f>
        <v/>
      </c>
      <c r="AM19" s="137" t="str">
        <f>IF(NOTAS!AM17="","",IF(NOTAS!AM17&lt;=4.5,"EC",IF(NOTAS!AM17&lt;=6.5,"R",IF(NOTAS!AM17&lt;=8.5,"B",IF(NOTAS!AM17&lt;=10,"E","Error")))))</f>
        <v/>
      </c>
      <c r="AN19" s="137" t="str">
        <f>IF(NOTAS!AN17="","",IF(NOTAS!AN17&lt;=4.5,"EC",IF(NOTAS!AN17&lt;=6.5,"R",IF(NOTAS!AN17&lt;=8.5,"B",IF(NOTAS!AN17&lt;=10,"E","Error")))))</f>
        <v/>
      </c>
      <c r="AO19" s="137" t="str">
        <f>IF(NOTAS!AO17="","",IF(NOTAS!AO17&lt;=4.5,"EC",IF(NOTAS!AO17&lt;=6.5,"R",IF(NOTAS!AO17&lt;=8.5,"B",IF(NOTAS!AO17&lt;=10,"E","Error")))))</f>
        <v/>
      </c>
      <c r="AP19" s="136" t="str">
        <f>IF(NOTAS!AP17="","",IF(NOTAS!AP17&lt;=4.5,"EC",IF(NOTAS!AP17&lt;=6.5,"R",IF(NOTAS!AP17&lt;=8.5,"B",IF(NOTAS!AP17&lt;=10,"E","Error")))))</f>
        <v/>
      </c>
      <c r="AQ19" s="155" t="str">
        <f>NOTAS!AR17</f>
        <v>****</v>
      </c>
      <c r="AR19" s="156" t="str">
        <f>NOTAS!AS17</f>
        <v>****</v>
      </c>
      <c r="AS19" s="157" t="str">
        <f>NOTAS!AT17</f>
        <v>****</v>
      </c>
      <c r="AT19" s="157" t="str">
        <f>NOTAS!AU17</f>
        <v>****</v>
      </c>
    </row>
    <row r="20" spans="1:46" ht="15.75" thickBot="1">
      <c r="A20" s="42">
        <f t="shared" si="0"/>
        <v>11</v>
      </c>
      <c r="B20" s="100" t="str">
        <f>IF(NOTAS!B18&lt;&gt;"",NOTAS!B18,"")</f>
        <v/>
      </c>
      <c r="C20" s="169" t="str">
        <f>IF(NOTAS!C18="","",IF(NOTAS!C18&lt;=4.5,"EC",IF(NOTAS!C18&lt;=6.5,"R",IF(NOTAS!C18&lt;=8.5,"B",IF(NOTAS!C18&lt;=10,"E","Error")))))</f>
        <v/>
      </c>
      <c r="D20" s="170" t="str">
        <f>IF(NOTAS!D18="","",IF(NOTAS!D18&lt;=4.5,"EC",IF(NOTAS!D18&lt;=6.5,"R",IF(NOTAS!D18&lt;=8.5,"B",IF(NOTAS!D18&lt;=10,"E","Error")))))</f>
        <v/>
      </c>
      <c r="E20" s="169" t="str">
        <f>IF(NOTAS!E18="","",IF(NOTAS!E18&lt;=4.5,"EC",IF(NOTAS!E18&lt;=6.5,"R",IF(NOTAS!E18&lt;=8.5,"B",IF(NOTAS!E18&lt;=10,"E","Error")))))</f>
        <v/>
      </c>
      <c r="F20" s="171" t="str">
        <f>IF(NOTAS!F18="","",IF(NOTAS!F18&lt;=4.5,"EC",IF(NOTAS!F18&lt;=6.5,"R",IF(NOTAS!F18&lt;=8.5,"B",IF(NOTAS!F18&lt;=10,"E","Error")))))</f>
        <v/>
      </c>
      <c r="G20" s="136" t="str">
        <f>IF(NOTAS!G18="","",IF(NOTAS!G18&lt;=4.5,"EC",IF(NOTAS!G18&lt;=6.5,"R",IF(NOTAS!G18&lt;=8.5,"B",IF(NOTAS!G18&lt;=10,"E","Error")))))</f>
        <v/>
      </c>
      <c r="H20" s="137" t="str">
        <f>IF(NOTAS!H18="","",IF(NOTAS!H18&lt;=4.5,"EC",IF(NOTAS!H18&lt;=6.5,"R",IF(NOTAS!H18&lt;=8.5,"B",IF(NOTAS!H18&lt;=10,"E","")))))</f>
        <v/>
      </c>
      <c r="I20" s="137" t="str">
        <f>IF(NOTAS!I18="","",IF(NOTAS!I18&lt;=4.5,"EC",IF(NOTAS!I18&lt;=6.5,"R",IF(NOTAS!I18&lt;=8.5,"B",IF(NOTAS!I18&lt;=10,"E","Error")))))</f>
        <v/>
      </c>
      <c r="J20" s="137" t="str">
        <f>IF(NOTAS!J18="","",IF(NOTAS!J18&lt;=4.5,"EC",IF(NOTAS!J18&lt;=6.5,"R",IF(NOTAS!J18&lt;=8.5,"B",IF(NOTAS!J18&lt;=10,"E","Error")))))</f>
        <v/>
      </c>
      <c r="K20" s="137" t="str">
        <f>IF(NOTAS!K18="","",IF(NOTAS!K18&lt;=4.5,"EC",IF(NOTAS!K18&lt;=6.5,"R",IF(NOTAS!K18&lt;=8.5,"B",IF(NOTAS!K18&lt;=10,"E","Error")))))</f>
        <v/>
      </c>
      <c r="L20" s="138" t="str">
        <f>IF(NOTAS!L18="","",IF(NOTAS!L18&lt;=4.5,"EC",IF(NOTAS!L18&lt;=6.5,"R",IF(NOTAS!L18&lt;=8.5,"B",IF(NOTAS!L18&lt;=10,"E","Error")))))</f>
        <v/>
      </c>
      <c r="M20" s="137" t="str">
        <f>IF(NOTAS!M18="","",IF(NOTAS!M18&lt;=4.5,"EC",IF(NOTAS!M18&lt;=6.5,"R",IF(NOTAS!M18&lt;=8.5,"B",IF(NOTAS!M18&lt;=10,"E","Error")))))</f>
        <v/>
      </c>
      <c r="N20" s="137" t="str">
        <f>IF(NOTAS!N18="","",IF(NOTAS!N18&lt;=4.5,"EC",IF(NOTAS!N18&lt;=6.5,"R",IF(NOTAS!N18&lt;=8.5,"B",IF(NOTAS!N18&lt;=10,"E","Error")))))</f>
        <v/>
      </c>
      <c r="O20" s="137" t="str">
        <f>IF(NOTAS!O18="","",IF(NOTAS!O18&lt;=4.5,"EC",IF(NOTAS!O18&lt;=6.5,"R",IF(NOTAS!O18&lt;=8.5,"B",IF(NOTAS!O18&lt;=10,"E","Error")))))</f>
        <v/>
      </c>
      <c r="P20" s="137" t="str">
        <f>IF(NOTAS!P18="","",IF(NOTAS!P18&lt;=4.5,"EC",IF(NOTAS!P18&lt;=6.5,"R",IF(NOTAS!P18&lt;=8.5,"B",IF(NOTAS!P18&lt;=10,"E","Error")))))</f>
        <v/>
      </c>
      <c r="Q20" s="139" t="str">
        <f>IF(NOTAS!Q18="","",IF(NOTAS!Q18&lt;=4.5,"EC",IF(NOTAS!Q18&lt;=6.5,"R",IF(NOTAS!Q18&lt;=8.5,"B",IF(NOTAS!Q18&lt;=10,"E","Error")))))</f>
        <v/>
      </c>
      <c r="R20" s="137" t="str">
        <f>IF(NOTAS!R18="","",IF(NOTAS!R18&lt;=4.5,"EC",IF(NOTAS!R18&lt;=6.5,"R",IF(NOTAS!R18&lt;=8.5,"B",IF(NOTAS!R18&lt;=10,"E","Error")))))</f>
        <v/>
      </c>
      <c r="S20" s="137" t="str">
        <f>IF(NOTAS!S18="","",IF(NOTAS!S18&lt;=4.5,"EC",IF(NOTAS!S18&lt;=6.5,"R",IF(NOTAS!S18&lt;=8.5,"B",IF(NOTAS!S18&lt;=10,"E","Error")))))</f>
        <v/>
      </c>
      <c r="T20" s="137" t="str">
        <f>IF(NOTAS!T18="","",IF(NOTAS!T18&lt;=4.5,"EC",IF(NOTAS!T18&lt;=6.5,"R",IF(NOTAS!T18&lt;=8.5,"B",IF(NOTAS!T18&lt;=10,"E","Error")))))</f>
        <v/>
      </c>
      <c r="U20" s="137" t="str">
        <f>IF(NOTAS!U18="","",IF(NOTAS!U18&lt;=4.5,"EC",IF(NOTAS!U18&lt;=6.5,"R",IF(NOTAS!U18&lt;=8.5,"B",IF(NOTAS!U18&lt;=10,"E","Error")))))</f>
        <v/>
      </c>
      <c r="V20" s="140" t="str">
        <f>IF(NOTAS!V18="","",IF(NOTAS!V18&lt;=4.5,"EC",IF(NOTAS!V18&lt;=6.5,"R",IF(NOTAS!V18&lt;=8.5,"B",IF(NOTAS!V18&lt;=10,"E","Error")))))</f>
        <v/>
      </c>
      <c r="W20" s="137" t="str">
        <f>IF(NOTAS!W18="","",IF(NOTAS!W18&lt;=4.5,"EC",IF(NOTAS!W18&lt;=6.5,"R",IF(NOTAS!W18&lt;=8.5,"B",IF(NOTAS!W18&lt;=10,"E","Error")))))</f>
        <v/>
      </c>
      <c r="X20" s="137" t="str">
        <f>IF(NOTAS!X18="","",IF(NOTAS!X18&lt;=4.5,"EC",IF(NOTAS!X18&lt;=6.5,"R",IF(NOTAS!X18&lt;=8.5,"B",IF(NOTAS!X18&lt;=10,"E","Error")))))</f>
        <v/>
      </c>
      <c r="Y20" s="137" t="str">
        <f>IF(NOTAS!Y18="","",IF(NOTAS!Y18&lt;=4.5,"EC",IF(NOTAS!Y18&lt;=6.5,"R",IF(NOTAS!Y18&lt;=8.5,"B",IF(NOTAS!Y18&lt;=10,"E","Error")))))</f>
        <v/>
      </c>
      <c r="Z20" s="137" t="str">
        <f>IF(NOTAS!Z18="","",IF(NOTAS!Z18&lt;=4.5,"EC",IF(NOTAS!Z18&lt;=6.5,"R",IF(NOTAS!Z18&lt;=8.5,"B",IF(NOTAS!Z18&lt;=10,"E","Error")))))</f>
        <v/>
      </c>
      <c r="AA20" s="141" t="str">
        <f>IF(NOTAS!AA18="","",IF(NOTAS!AA18&lt;=4.5,"EC",IF(NOTAS!AA18&lt;=6.5,"R",IF(NOTAS!AA18&lt;=8.5,"B",IF(NOTAS!AA18&lt;=10,"E","Error")))))</f>
        <v/>
      </c>
      <c r="AB20" s="137" t="str">
        <f>IF(NOTAS!AB18="","",IF(NOTAS!AB18&lt;=4.5,"EC",IF(NOTAS!AB18&lt;=6.5,"R",IF(NOTAS!AB18&lt;=8.5,"B",IF(NOTAS!AB18&lt;=10,"E","Error")))))</f>
        <v/>
      </c>
      <c r="AC20" s="137" t="str">
        <f>IF(NOTAS!AC18="","",IF(NOTAS!AC18&lt;=4.5,"EC",IF(NOTAS!AC18&lt;=6.5,"R",IF(NOTAS!AC18&lt;=8.5,"B",IF(NOTAS!AC18&lt;=10,"E","Error")))))</f>
        <v/>
      </c>
      <c r="AD20" s="137" t="str">
        <f>IF(NOTAS!AD18="","",IF(NOTAS!AD18&lt;=4.5,"EC",IF(NOTAS!AD18&lt;=6.5,"R",IF(NOTAS!AD18&lt;=8.5,"B",IF(NOTAS!AD18&lt;=10,"E","Error")))))</f>
        <v/>
      </c>
      <c r="AE20" s="137" t="str">
        <f>IF(NOTAS!AE18="","",IF(NOTAS!AE18&lt;=4.5,"EC",IF(NOTAS!AE18&lt;=6.5,"R",IF(NOTAS!AE18&lt;=8.5,"B",IF(NOTAS!AE18&lt;=10,"E","Error")))))</f>
        <v/>
      </c>
      <c r="AF20" s="142" t="str">
        <f>IF(NOTAS!AF18="","",IF(NOTAS!AF18&lt;=4.5,"EC",IF(NOTAS!AF18&lt;=6.5,"R",IF(NOTAS!AF18&lt;=8.5,"B",IF(NOTAS!AF18&lt;=10,"E","Error")))))</f>
        <v/>
      </c>
      <c r="AG20" s="137" t="str">
        <f>IF(NOTAS!AG18="","",IF(NOTAS!AG18&lt;=4.5,"EC",IF(NOTAS!AG18&lt;=6.5,"R",IF(NOTAS!AG18&lt;=8.5,"B",IF(NOTAS!AG18&lt;=10,"E","Error")))))</f>
        <v/>
      </c>
      <c r="AH20" s="137" t="str">
        <f>IF(NOTAS!AH18="","",IF(NOTAS!AH18&lt;=4.5,"EC",IF(NOTAS!AH18&lt;=6.5,"R",IF(NOTAS!AH18&lt;=8.5,"B",IF(NOTAS!AH18&lt;=10,"E","Error")))))</f>
        <v/>
      </c>
      <c r="AI20" s="137" t="str">
        <f>IF(NOTAS!AI18="","",IF(NOTAS!AI18&lt;=4.5,"EC",IF(NOTAS!AI18&lt;=6.5,"R",IF(NOTAS!AI18&lt;=8.5,"B",IF(NOTAS!AI18&lt;=10,"E","Error")))))</f>
        <v/>
      </c>
      <c r="AJ20" s="137" t="str">
        <f>IF(NOTAS!AJ18="","",IF(NOTAS!AJ18&lt;=4.5,"EC",IF(NOTAS!AJ18&lt;=6.5,"R",IF(NOTAS!AJ18&lt;=8.5,"B",IF(NOTAS!AJ18&lt;=10,"E","Error")))))</f>
        <v/>
      </c>
      <c r="AK20" s="136" t="str">
        <f>IF(NOTAS!AK18="","",IF(NOTAS!AK18&lt;=4.5,"EC",IF(NOTAS!AK18&lt;=6.5,"R",IF(NOTAS!AK18&lt;=8.5,"B",IF(NOTAS!AK18&lt;=10,"E","Error")))))</f>
        <v/>
      </c>
      <c r="AL20" s="137" t="str">
        <f>IF(NOTAS!AL18="","",IF(NOTAS!AL18&lt;=4.5,"EC",IF(NOTAS!AL18&lt;=6.5,"R",IF(NOTAS!AL18&lt;=8.5,"B",IF(NOTAS!AL18&lt;=10,"E","Error")))))</f>
        <v/>
      </c>
      <c r="AM20" s="137" t="str">
        <f>IF(NOTAS!AM18="","",IF(NOTAS!AM18&lt;=4.5,"EC",IF(NOTAS!AM18&lt;=6.5,"R",IF(NOTAS!AM18&lt;=8.5,"B",IF(NOTAS!AM18&lt;=10,"E","Error")))))</f>
        <v/>
      </c>
      <c r="AN20" s="137" t="str">
        <f>IF(NOTAS!AN18="","",IF(NOTAS!AN18&lt;=4.5,"EC",IF(NOTAS!AN18&lt;=6.5,"R",IF(NOTAS!AN18&lt;=8.5,"B",IF(NOTAS!AN18&lt;=10,"E","Error")))))</f>
        <v/>
      </c>
      <c r="AO20" s="137" t="str">
        <f>IF(NOTAS!AO18="","",IF(NOTAS!AO18&lt;=4.5,"EC",IF(NOTAS!AO18&lt;=6.5,"R",IF(NOTAS!AO18&lt;=8.5,"B",IF(NOTAS!AO18&lt;=10,"E","Error")))))</f>
        <v/>
      </c>
      <c r="AP20" s="136" t="str">
        <f>IF(NOTAS!AP18="","",IF(NOTAS!AP18&lt;=4.5,"EC",IF(NOTAS!AP18&lt;=6.5,"R",IF(NOTAS!AP18&lt;=8.5,"B",IF(NOTAS!AP18&lt;=10,"E","Error")))))</f>
        <v/>
      </c>
      <c r="AQ20" s="155" t="str">
        <f>NOTAS!AR18</f>
        <v>****</v>
      </c>
      <c r="AR20" s="156" t="str">
        <f>NOTAS!AS18</f>
        <v>****</v>
      </c>
      <c r="AS20" s="157" t="str">
        <f>NOTAS!AT18</f>
        <v>****</v>
      </c>
      <c r="AT20" s="157" t="str">
        <f>NOTAS!AU18</f>
        <v>****</v>
      </c>
    </row>
    <row r="21" spans="1:46" ht="15.75" thickBot="1">
      <c r="A21" s="42">
        <f t="shared" si="0"/>
        <v>12</v>
      </c>
      <c r="B21" s="100" t="str">
        <f>IF(NOTAS!B19&lt;&gt;"",NOTAS!B19,"")</f>
        <v/>
      </c>
      <c r="C21" s="172" t="str">
        <f>IF(NOTAS!C19="","",IF(NOTAS!C19&lt;=4.5,"EC",IF(NOTAS!C19&lt;=6.5,"R",IF(NOTAS!C19&lt;=8.5,"B",IF(NOTAS!C19&lt;=10,"E","Error")))))</f>
        <v/>
      </c>
      <c r="D21" s="173" t="str">
        <f>IF(NOTAS!D19="","",IF(NOTAS!D19&lt;=4.5,"EC",IF(NOTAS!D19&lt;=6.5,"R",IF(NOTAS!D19&lt;=8.5,"B",IF(NOTAS!D19&lt;=10,"E","Error")))))</f>
        <v/>
      </c>
      <c r="E21" s="172" t="str">
        <f>IF(NOTAS!E19="","",IF(NOTAS!E19&lt;=4.5,"EC",IF(NOTAS!E19&lt;=6.5,"R",IF(NOTAS!E19&lt;=8.5,"B",IF(NOTAS!E19&lt;=10,"E","Error")))))</f>
        <v/>
      </c>
      <c r="F21" s="173" t="str">
        <f>IF(NOTAS!F19="","",IF(NOTAS!F19&lt;=4.5,"EC",IF(NOTAS!F19&lt;=6.5,"R",IF(NOTAS!F19&lt;=8.5,"B",IF(NOTAS!F19&lt;=10,"E","Error")))))</f>
        <v/>
      </c>
      <c r="G21" s="136" t="str">
        <f>IF(NOTAS!G19="","",IF(NOTAS!G19&lt;=4.5,"EC",IF(NOTAS!G19&lt;=6.5,"R",IF(NOTAS!G19&lt;=8.5,"B",IF(NOTAS!G19&lt;=10,"E","Error")))))</f>
        <v/>
      </c>
      <c r="H21" s="137" t="str">
        <f>IF(NOTAS!H19="","",IF(NOTAS!H19&lt;=4.5,"EC",IF(NOTAS!H19&lt;=6.5,"R",IF(NOTAS!H19&lt;=8.5,"B",IF(NOTAS!H19&lt;=10,"E","")))))</f>
        <v/>
      </c>
      <c r="I21" s="137" t="str">
        <f>IF(NOTAS!I19="","",IF(NOTAS!I19&lt;=4.5,"EC",IF(NOTAS!I19&lt;=6.5,"R",IF(NOTAS!I19&lt;=8.5,"B",IF(NOTAS!I19&lt;=10,"E","Error")))))</f>
        <v/>
      </c>
      <c r="J21" s="137" t="str">
        <f>IF(NOTAS!J19="","",IF(NOTAS!J19&lt;=4.5,"EC",IF(NOTAS!J19&lt;=6.5,"R",IF(NOTAS!J19&lt;=8.5,"B",IF(NOTAS!J19&lt;=10,"E","Error")))))</f>
        <v/>
      </c>
      <c r="K21" s="137" t="str">
        <f>IF(NOTAS!K19="","",IF(NOTAS!K19&lt;=4.5,"EC",IF(NOTAS!K19&lt;=6.5,"R",IF(NOTAS!K19&lt;=8.5,"B",IF(NOTAS!K19&lt;=10,"E","Error")))))</f>
        <v/>
      </c>
      <c r="L21" s="138" t="str">
        <f>IF(NOTAS!L19="","",IF(NOTAS!L19&lt;=4.5,"EC",IF(NOTAS!L19&lt;=6.5,"R",IF(NOTAS!L19&lt;=8.5,"B",IF(NOTAS!L19&lt;=10,"E","Error")))))</f>
        <v/>
      </c>
      <c r="M21" s="137" t="str">
        <f>IF(NOTAS!M19="","",IF(NOTAS!M19&lt;=4.5,"EC",IF(NOTAS!M19&lt;=6.5,"R",IF(NOTAS!M19&lt;=8.5,"B",IF(NOTAS!M19&lt;=10,"E","Error")))))</f>
        <v/>
      </c>
      <c r="N21" s="137" t="str">
        <f>IF(NOTAS!N19="","",IF(NOTAS!N19&lt;=4.5,"EC",IF(NOTAS!N19&lt;=6.5,"R",IF(NOTAS!N19&lt;=8.5,"B",IF(NOTAS!N19&lt;=10,"E","Error")))))</f>
        <v/>
      </c>
      <c r="O21" s="137" t="str">
        <f>IF(NOTAS!O19="","",IF(NOTAS!O19&lt;=4.5,"EC",IF(NOTAS!O19&lt;=6.5,"R",IF(NOTAS!O19&lt;=8.5,"B",IF(NOTAS!O19&lt;=10,"E","Error")))))</f>
        <v/>
      </c>
      <c r="P21" s="137" t="str">
        <f>IF(NOTAS!P19="","",IF(NOTAS!P19&lt;=4.5,"EC",IF(NOTAS!P19&lt;=6.5,"R",IF(NOTAS!P19&lt;=8.5,"B",IF(NOTAS!P19&lt;=10,"E","Error")))))</f>
        <v/>
      </c>
      <c r="Q21" s="139" t="str">
        <f>IF(NOTAS!Q19="","",IF(NOTAS!Q19&lt;=4.5,"EC",IF(NOTAS!Q19&lt;=6.5,"R",IF(NOTAS!Q19&lt;=8.5,"B",IF(NOTAS!Q19&lt;=10,"E","Error")))))</f>
        <v/>
      </c>
      <c r="R21" s="137" t="str">
        <f>IF(NOTAS!R19="","",IF(NOTAS!R19&lt;=4.5,"EC",IF(NOTAS!R19&lt;=6.5,"R",IF(NOTAS!R19&lt;=8.5,"B",IF(NOTAS!R19&lt;=10,"E","Error")))))</f>
        <v/>
      </c>
      <c r="S21" s="137" t="str">
        <f>IF(NOTAS!S19="","",IF(NOTAS!S19&lt;=4.5,"EC",IF(NOTAS!S19&lt;=6.5,"R",IF(NOTAS!S19&lt;=8.5,"B",IF(NOTAS!S19&lt;=10,"E","Error")))))</f>
        <v/>
      </c>
      <c r="T21" s="137" t="str">
        <f>IF(NOTAS!T19="","",IF(NOTAS!T19&lt;=4.5,"EC",IF(NOTAS!T19&lt;=6.5,"R",IF(NOTAS!T19&lt;=8.5,"B",IF(NOTAS!T19&lt;=10,"E","Error")))))</f>
        <v/>
      </c>
      <c r="U21" s="137" t="str">
        <f>IF(NOTAS!U19="","",IF(NOTAS!U19&lt;=4.5,"EC",IF(NOTAS!U19&lt;=6.5,"R",IF(NOTAS!U19&lt;=8.5,"B",IF(NOTAS!U19&lt;=10,"E","Error")))))</f>
        <v/>
      </c>
      <c r="V21" s="140" t="str">
        <f>IF(NOTAS!V19="","",IF(NOTAS!V19&lt;=4.5,"EC",IF(NOTAS!V19&lt;=6.5,"R",IF(NOTAS!V19&lt;=8.5,"B",IF(NOTAS!V19&lt;=10,"E","Error")))))</f>
        <v/>
      </c>
      <c r="W21" s="137" t="str">
        <f>IF(NOTAS!W19="","",IF(NOTAS!W19&lt;=4.5,"EC",IF(NOTAS!W19&lt;=6.5,"R",IF(NOTAS!W19&lt;=8.5,"B",IF(NOTAS!W19&lt;=10,"E","Error")))))</f>
        <v/>
      </c>
      <c r="X21" s="137" t="str">
        <f>IF(NOTAS!X19="","",IF(NOTAS!X19&lt;=4.5,"EC",IF(NOTAS!X19&lt;=6.5,"R",IF(NOTAS!X19&lt;=8.5,"B",IF(NOTAS!X19&lt;=10,"E","Error")))))</f>
        <v/>
      </c>
      <c r="Y21" s="137" t="str">
        <f>IF(NOTAS!Y19="","",IF(NOTAS!Y19&lt;=4.5,"EC",IF(NOTAS!Y19&lt;=6.5,"R",IF(NOTAS!Y19&lt;=8.5,"B",IF(NOTAS!Y19&lt;=10,"E","Error")))))</f>
        <v/>
      </c>
      <c r="Z21" s="137" t="str">
        <f>IF(NOTAS!Z19="","",IF(NOTAS!Z19&lt;=4.5,"EC",IF(NOTAS!Z19&lt;=6.5,"R",IF(NOTAS!Z19&lt;=8.5,"B",IF(NOTAS!Z19&lt;=10,"E","Error")))))</f>
        <v/>
      </c>
      <c r="AA21" s="141" t="str">
        <f>IF(NOTAS!AA19="","",IF(NOTAS!AA19&lt;=4.5,"EC",IF(NOTAS!AA19&lt;=6.5,"R",IF(NOTAS!AA19&lt;=8.5,"B",IF(NOTAS!AA19&lt;=10,"E","Error")))))</f>
        <v/>
      </c>
      <c r="AB21" s="137" t="str">
        <f>IF(NOTAS!AB19="","",IF(NOTAS!AB19&lt;=4.5,"EC",IF(NOTAS!AB19&lt;=6.5,"R",IF(NOTAS!AB19&lt;=8.5,"B",IF(NOTAS!AB19&lt;=10,"E","Error")))))</f>
        <v/>
      </c>
      <c r="AC21" s="137" t="str">
        <f>IF(NOTAS!AC19="","",IF(NOTAS!AC19&lt;=4.5,"EC",IF(NOTAS!AC19&lt;=6.5,"R",IF(NOTAS!AC19&lt;=8.5,"B",IF(NOTAS!AC19&lt;=10,"E","Error")))))</f>
        <v/>
      </c>
      <c r="AD21" s="137" t="str">
        <f>IF(NOTAS!AD19="","",IF(NOTAS!AD19&lt;=4.5,"EC",IF(NOTAS!AD19&lt;=6.5,"R",IF(NOTAS!AD19&lt;=8.5,"B",IF(NOTAS!AD19&lt;=10,"E","Error")))))</f>
        <v/>
      </c>
      <c r="AE21" s="137" t="str">
        <f>IF(NOTAS!AE19="","",IF(NOTAS!AE19&lt;=4.5,"EC",IF(NOTAS!AE19&lt;=6.5,"R",IF(NOTAS!AE19&lt;=8.5,"B",IF(NOTAS!AE19&lt;=10,"E","Error")))))</f>
        <v/>
      </c>
      <c r="AF21" s="142" t="str">
        <f>IF(NOTAS!AF19="","",IF(NOTAS!AF19&lt;=4.5,"EC",IF(NOTAS!AF19&lt;=6.5,"R",IF(NOTAS!AF19&lt;=8.5,"B",IF(NOTAS!AF19&lt;=10,"E","Error")))))</f>
        <v/>
      </c>
      <c r="AG21" s="137" t="str">
        <f>IF(NOTAS!AG19="","",IF(NOTAS!AG19&lt;=4.5,"EC",IF(NOTAS!AG19&lt;=6.5,"R",IF(NOTAS!AG19&lt;=8.5,"B",IF(NOTAS!AG19&lt;=10,"E","Error")))))</f>
        <v/>
      </c>
      <c r="AH21" s="137" t="str">
        <f>IF(NOTAS!AH19="","",IF(NOTAS!AH19&lt;=4.5,"EC",IF(NOTAS!AH19&lt;=6.5,"R",IF(NOTAS!AH19&lt;=8.5,"B",IF(NOTAS!AH19&lt;=10,"E","Error")))))</f>
        <v/>
      </c>
      <c r="AI21" s="137" t="str">
        <f>IF(NOTAS!AI19="","",IF(NOTAS!AI19&lt;=4.5,"EC",IF(NOTAS!AI19&lt;=6.5,"R",IF(NOTAS!AI19&lt;=8.5,"B",IF(NOTAS!AI19&lt;=10,"E","Error")))))</f>
        <v/>
      </c>
      <c r="AJ21" s="137" t="str">
        <f>IF(NOTAS!AJ19="","",IF(NOTAS!AJ19&lt;=4.5,"EC",IF(NOTAS!AJ19&lt;=6.5,"R",IF(NOTAS!AJ19&lt;=8.5,"B",IF(NOTAS!AJ19&lt;=10,"E","Error")))))</f>
        <v/>
      </c>
      <c r="AK21" s="136" t="str">
        <f>IF(NOTAS!AK19="","",IF(NOTAS!AK19&lt;=4.5,"EC",IF(NOTAS!AK19&lt;=6.5,"R",IF(NOTAS!AK19&lt;=8.5,"B",IF(NOTAS!AK19&lt;=10,"E","Error")))))</f>
        <v/>
      </c>
      <c r="AL21" s="137" t="str">
        <f>IF(NOTAS!AL19="","",IF(NOTAS!AL19&lt;=4.5,"EC",IF(NOTAS!AL19&lt;=6.5,"R",IF(NOTAS!AL19&lt;=8.5,"B",IF(NOTAS!AL19&lt;=10,"E","Error")))))</f>
        <v/>
      </c>
      <c r="AM21" s="137" t="str">
        <f>IF(NOTAS!AM19="","",IF(NOTAS!AM19&lt;=4.5,"EC",IF(NOTAS!AM19&lt;=6.5,"R",IF(NOTAS!AM19&lt;=8.5,"B",IF(NOTAS!AM19&lt;=10,"E","Error")))))</f>
        <v/>
      </c>
      <c r="AN21" s="137" t="str">
        <f>IF(NOTAS!AN19="","",IF(NOTAS!AN19&lt;=4.5,"EC",IF(NOTAS!AN19&lt;=6.5,"R",IF(NOTAS!AN19&lt;=8.5,"B",IF(NOTAS!AN19&lt;=10,"E","Error")))))</f>
        <v/>
      </c>
      <c r="AO21" s="137" t="str">
        <f>IF(NOTAS!AO19="","",IF(NOTAS!AO19&lt;=4.5,"EC",IF(NOTAS!AO19&lt;=6.5,"R",IF(NOTAS!AO19&lt;=8.5,"B",IF(NOTAS!AO19&lt;=10,"E","Error")))))</f>
        <v/>
      </c>
      <c r="AP21" s="136" t="str">
        <f>IF(NOTAS!AP19="","",IF(NOTAS!AP19&lt;=4.5,"EC",IF(NOTAS!AP19&lt;=6.5,"R",IF(NOTAS!AP19&lt;=8.5,"B",IF(NOTAS!AP19&lt;=10,"E","Error")))))</f>
        <v/>
      </c>
      <c r="AQ21" s="155" t="str">
        <f>NOTAS!AR19</f>
        <v>****</v>
      </c>
      <c r="AR21" s="156" t="str">
        <f>NOTAS!AS19</f>
        <v>****</v>
      </c>
      <c r="AS21" s="157" t="str">
        <f>NOTAS!AT19</f>
        <v>****</v>
      </c>
      <c r="AT21" s="157" t="str">
        <f>NOTAS!AU19</f>
        <v>****</v>
      </c>
    </row>
    <row r="22" spans="1:46" ht="15.75" thickBot="1">
      <c r="A22" s="42">
        <f t="shared" si="0"/>
        <v>13</v>
      </c>
      <c r="B22" s="100" t="str">
        <f>IF(NOTAS!B20&lt;&gt;"",NOTAS!B20,"")</f>
        <v/>
      </c>
      <c r="C22" s="169" t="str">
        <f>IF(NOTAS!C20="","",IF(NOTAS!C20&lt;=4.5,"EC",IF(NOTAS!C20&lt;=6.5,"R",IF(NOTAS!C20&lt;=8.5,"B",IF(NOTAS!C20&lt;=10,"E","Error")))))</f>
        <v/>
      </c>
      <c r="D22" s="170" t="str">
        <f>IF(NOTAS!D20="","",IF(NOTAS!D20&lt;=4.5,"EC",IF(NOTAS!D20&lt;=6.5,"R",IF(NOTAS!D20&lt;=8.5,"B",IF(NOTAS!D20&lt;=10,"E","Error")))))</f>
        <v/>
      </c>
      <c r="E22" s="169" t="str">
        <f>IF(NOTAS!E20="","",IF(NOTAS!E20&lt;=4.5,"EC",IF(NOTAS!E20&lt;=6.5,"R",IF(NOTAS!E20&lt;=8.5,"B",IF(NOTAS!E20&lt;=10,"E","Error")))))</f>
        <v/>
      </c>
      <c r="F22" s="171" t="str">
        <f>IF(NOTAS!F20="","",IF(NOTAS!F20&lt;=4.5,"EC",IF(NOTAS!F20&lt;=6.5,"R",IF(NOTAS!F20&lt;=8.5,"B",IF(NOTAS!F20&lt;=10,"E","Error")))))</f>
        <v/>
      </c>
      <c r="G22" s="136" t="str">
        <f>IF(NOTAS!G20="","",IF(NOTAS!G20&lt;=4.5,"EC",IF(NOTAS!G20&lt;=6.5,"R",IF(NOTAS!G20&lt;=8.5,"B",IF(NOTAS!G20&lt;=10,"E","Error")))))</f>
        <v/>
      </c>
      <c r="H22" s="137" t="str">
        <f>IF(NOTAS!H20="","",IF(NOTAS!H20&lt;=4.5,"EC",IF(NOTAS!H20&lt;=6.5,"R",IF(NOTAS!H20&lt;=8.5,"B",IF(NOTAS!H20&lt;=10,"E","")))))</f>
        <v/>
      </c>
      <c r="I22" s="137" t="str">
        <f>IF(NOTAS!I20="","",IF(NOTAS!I20&lt;=4.5,"EC",IF(NOTAS!I20&lt;=6.5,"R",IF(NOTAS!I20&lt;=8.5,"B",IF(NOTAS!I20&lt;=10,"E","Error")))))</f>
        <v/>
      </c>
      <c r="J22" s="137" t="str">
        <f>IF(NOTAS!J20="","",IF(NOTAS!J20&lt;=4.5,"EC",IF(NOTAS!J20&lt;=6.5,"R",IF(NOTAS!J20&lt;=8.5,"B",IF(NOTAS!J20&lt;=10,"E","Error")))))</f>
        <v/>
      </c>
      <c r="K22" s="137" t="str">
        <f>IF(NOTAS!K20="","",IF(NOTAS!K20&lt;=4.5,"EC",IF(NOTAS!K20&lt;=6.5,"R",IF(NOTAS!K20&lt;=8.5,"B",IF(NOTAS!K20&lt;=10,"E","Error")))))</f>
        <v/>
      </c>
      <c r="L22" s="138" t="str">
        <f>IF(NOTAS!L20="","",IF(NOTAS!L20&lt;=4.5,"EC",IF(NOTAS!L20&lt;=6.5,"R",IF(NOTAS!L20&lt;=8.5,"B",IF(NOTAS!L20&lt;=10,"E","Error")))))</f>
        <v/>
      </c>
      <c r="M22" s="137" t="str">
        <f>IF(NOTAS!M20="","",IF(NOTAS!M20&lt;=4.5,"EC",IF(NOTAS!M20&lt;=6.5,"R",IF(NOTAS!M20&lt;=8.5,"B",IF(NOTAS!M20&lt;=10,"E","Error")))))</f>
        <v/>
      </c>
      <c r="N22" s="137" t="str">
        <f>IF(NOTAS!N20="","",IF(NOTAS!N20&lt;=4.5,"EC",IF(NOTAS!N20&lt;=6.5,"R",IF(NOTAS!N20&lt;=8.5,"B",IF(NOTAS!N20&lt;=10,"E","Error")))))</f>
        <v/>
      </c>
      <c r="O22" s="137" t="str">
        <f>IF(NOTAS!O20="","",IF(NOTAS!O20&lt;=4.5,"EC",IF(NOTAS!O20&lt;=6.5,"R",IF(NOTAS!O20&lt;=8.5,"B",IF(NOTAS!O20&lt;=10,"E","Error")))))</f>
        <v/>
      </c>
      <c r="P22" s="137" t="str">
        <f>IF(NOTAS!P20="","",IF(NOTAS!P20&lt;=4.5,"EC",IF(NOTAS!P20&lt;=6.5,"R",IF(NOTAS!P20&lt;=8.5,"B",IF(NOTAS!P20&lt;=10,"E","Error")))))</f>
        <v/>
      </c>
      <c r="Q22" s="139" t="str">
        <f>IF(NOTAS!Q20="","",IF(NOTAS!Q20&lt;=4.5,"EC",IF(NOTAS!Q20&lt;=6.5,"R",IF(NOTAS!Q20&lt;=8.5,"B",IF(NOTAS!Q20&lt;=10,"E","Error")))))</f>
        <v/>
      </c>
      <c r="R22" s="137" t="str">
        <f>IF(NOTAS!R20="","",IF(NOTAS!R20&lt;=4.5,"EC",IF(NOTAS!R20&lt;=6.5,"R",IF(NOTAS!R20&lt;=8.5,"B",IF(NOTAS!R20&lt;=10,"E","Error")))))</f>
        <v/>
      </c>
      <c r="S22" s="137" t="str">
        <f>IF(NOTAS!S20="","",IF(NOTAS!S20&lt;=4.5,"EC",IF(NOTAS!S20&lt;=6.5,"R",IF(NOTAS!S20&lt;=8.5,"B",IF(NOTAS!S20&lt;=10,"E","Error")))))</f>
        <v/>
      </c>
      <c r="T22" s="137" t="str">
        <f>IF(NOTAS!T20="","",IF(NOTAS!T20&lt;=4.5,"EC",IF(NOTAS!T20&lt;=6.5,"R",IF(NOTAS!T20&lt;=8.5,"B",IF(NOTAS!T20&lt;=10,"E","Error")))))</f>
        <v/>
      </c>
      <c r="U22" s="137" t="str">
        <f>IF(NOTAS!U20="","",IF(NOTAS!U20&lt;=4.5,"EC",IF(NOTAS!U20&lt;=6.5,"R",IF(NOTAS!U20&lt;=8.5,"B",IF(NOTAS!U20&lt;=10,"E","Error")))))</f>
        <v/>
      </c>
      <c r="V22" s="140" t="str">
        <f>IF(NOTAS!V20="","",IF(NOTAS!V20&lt;=4.5,"EC",IF(NOTAS!V20&lt;=6.5,"R",IF(NOTAS!V20&lt;=8.5,"B",IF(NOTAS!V20&lt;=10,"E","Error")))))</f>
        <v/>
      </c>
      <c r="W22" s="137" t="str">
        <f>IF(NOTAS!W20="","",IF(NOTAS!W20&lt;=4.5,"EC",IF(NOTAS!W20&lt;=6.5,"R",IF(NOTAS!W20&lt;=8.5,"B",IF(NOTAS!W20&lt;=10,"E","Error")))))</f>
        <v/>
      </c>
      <c r="X22" s="137" t="str">
        <f>IF(NOTAS!X20="","",IF(NOTAS!X20&lt;=4.5,"EC",IF(NOTAS!X20&lt;=6.5,"R",IF(NOTAS!X20&lt;=8.5,"B",IF(NOTAS!X20&lt;=10,"E","Error")))))</f>
        <v/>
      </c>
      <c r="Y22" s="137" t="str">
        <f>IF(NOTAS!Y20="","",IF(NOTAS!Y20&lt;=4.5,"EC",IF(NOTAS!Y20&lt;=6.5,"R",IF(NOTAS!Y20&lt;=8.5,"B",IF(NOTAS!Y20&lt;=10,"E","Error")))))</f>
        <v/>
      </c>
      <c r="Z22" s="137" t="str">
        <f>IF(NOTAS!Z20="","",IF(NOTAS!Z20&lt;=4.5,"EC",IF(NOTAS!Z20&lt;=6.5,"R",IF(NOTAS!Z20&lt;=8.5,"B",IF(NOTAS!Z20&lt;=10,"E","Error")))))</f>
        <v/>
      </c>
      <c r="AA22" s="141" t="str">
        <f>IF(NOTAS!AA20="","",IF(NOTAS!AA20&lt;=4.5,"EC",IF(NOTAS!AA20&lt;=6.5,"R",IF(NOTAS!AA20&lt;=8.5,"B",IF(NOTAS!AA20&lt;=10,"E","Error")))))</f>
        <v/>
      </c>
      <c r="AB22" s="137" t="str">
        <f>IF(NOTAS!AB20="","",IF(NOTAS!AB20&lt;=4.5,"EC",IF(NOTAS!AB20&lt;=6.5,"R",IF(NOTAS!AB20&lt;=8.5,"B",IF(NOTAS!AB20&lt;=10,"E","Error")))))</f>
        <v/>
      </c>
      <c r="AC22" s="137" t="str">
        <f>IF(NOTAS!AC20="","",IF(NOTAS!AC20&lt;=4.5,"EC",IF(NOTAS!AC20&lt;=6.5,"R",IF(NOTAS!AC20&lt;=8.5,"B",IF(NOTAS!AC20&lt;=10,"E","Error")))))</f>
        <v/>
      </c>
      <c r="AD22" s="137" t="str">
        <f>IF(NOTAS!AD20="","",IF(NOTAS!AD20&lt;=4.5,"EC",IF(NOTAS!AD20&lt;=6.5,"R",IF(NOTAS!AD20&lt;=8.5,"B",IF(NOTAS!AD20&lt;=10,"E","Error")))))</f>
        <v/>
      </c>
      <c r="AE22" s="137" t="str">
        <f>IF(NOTAS!AE20="","",IF(NOTAS!AE20&lt;=4.5,"EC",IF(NOTAS!AE20&lt;=6.5,"R",IF(NOTAS!AE20&lt;=8.5,"B",IF(NOTAS!AE20&lt;=10,"E","Error")))))</f>
        <v/>
      </c>
      <c r="AF22" s="142" t="str">
        <f>IF(NOTAS!AF20="","",IF(NOTAS!AF20&lt;=4.5,"EC",IF(NOTAS!AF20&lt;=6.5,"R",IF(NOTAS!AF20&lt;=8.5,"B",IF(NOTAS!AF20&lt;=10,"E","Error")))))</f>
        <v/>
      </c>
      <c r="AG22" s="137" t="str">
        <f>IF(NOTAS!AG20="","",IF(NOTAS!AG20&lt;=4.5,"EC",IF(NOTAS!AG20&lt;=6.5,"R",IF(NOTAS!AG20&lt;=8.5,"B",IF(NOTAS!AG20&lt;=10,"E","Error")))))</f>
        <v/>
      </c>
      <c r="AH22" s="137" t="str">
        <f>IF(NOTAS!AH20="","",IF(NOTAS!AH20&lt;=4.5,"EC",IF(NOTAS!AH20&lt;=6.5,"R",IF(NOTAS!AH20&lt;=8.5,"B",IF(NOTAS!AH20&lt;=10,"E","Error")))))</f>
        <v/>
      </c>
      <c r="AI22" s="137" t="str">
        <f>IF(NOTAS!AI20="","",IF(NOTAS!AI20&lt;=4.5,"EC",IF(NOTAS!AI20&lt;=6.5,"R",IF(NOTAS!AI20&lt;=8.5,"B",IF(NOTAS!AI20&lt;=10,"E","Error")))))</f>
        <v/>
      </c>
      <c r="AJ22" s="137" t="str">
        <f>IF(NOTAS!AJ20="","",IF(NOTAS!AJ20&lt;=4.5,"EC",IF(NOTAS!AJ20&lt;=6.5,"R",IF(NOTAS!AJ20&lt;=8.5,"B",IF(NOTAS!AJ20&lt;=10,"E","Error")))))</f>
        <v/>
      </c>
      <c r="AK22" s="136" t="str">
        <f>IF(NOTAS!AK20="","",IF(NOTAS!AK20&lt;=4.5,"EC",IF(NOTAS!AK20&lt;=6.5,"R",IF(NOTAS!AK20&lt;=8.5,"B",IF(NOTAS!AK20&lt;=10,"E","Error")))))</f>
        <v/>
      </c>
      <c r="AL22" s="137" t="str">
        <f>IF(NOTAS!AL20="","",IF(NOTAS!AL20&lt;=4.5,"EC",IF(NOTAS!AL20&lt;=6.5,"R",IF(NOTAS!AL20&lt;=8.5,"B",IF(NOTAS!AL20&lt;=10,"E","Error")))))</f>
        <v/>
      </c>
      <c r="AM22" s="137" t="str">
        <f>IF(NOTAS!AM20="","",IF(NOTAS!AM20&lt;=4.5,"EC",IF(NOTAS!AM20&lt;=6.5,"R",IF(NOTAS!AM20&lt;=8.5,"B",IF(NOTAS!AM20&lt;=10,"E","Error")))))</f>
        <v/>
      </c>
      <c r="AN22" s="137" t="str">
        <f>IF(NOTAS!AN20="","",IF(NOTAS!AN20&lt;=4.5,"EC",IF(NOTAS!AN20&lt;=6.5,"R",IF(NOTAS!AN20&lt;=8.5,"B",IF(NOTAS!AN20&lt;=10,"E","Error")))))</f>
        <v/>
      </c>
      <c r="AO22" s="137" t="str">
        <f>IF(NOTAS!AO20="","",IF(NOTAS!AO20&lt;=4.5,"EC",IF(NOTAS!AO20&lt;=6.5,"R",IF(NOTAS!AO20&lt;=8.5,"B",IF(NOTAS!AO20&lt;=10,"E","Error")))))</f>
        <v/>
      </c>
      <c r="AP22" s="136" t="str">
        <f>IF(NOTAS!AP20="","",IF(NOTAS!AP20&lt;=4.5,"EC",IF(NOTAS!AP20&lt;=6.5,"R",IF(NOTAS!AP20&lt;=8.5,"B",IF(NOTAS!AP20&lt;=10,"E","Error")))))</f>
        <v/>
      </c>
      <c r="AQ22" s="155" t="str">
        <f>NOTAS!AR20</f>
        <v>****</v>
      </c>
      <c r="AR22" s="156" t="str">
        <f>NOTAS!AS20</f>
        <v>****</v>
      </c>
      <c r="AS22" s="157" t="str">
        <f>NOTAS!AT20</f>
        <v>****</v>
      </c>
      <c r="AT22" s="157" t="str">
        <f>NOTAS!AU20</f>
        <v>****</v>
      </c>
    </row>
    <row r="23" spans="1:46" ht="15.75" thickBot="1">
      <c r="A23" s="42">
        <f t="shared" si="0"/>
        <v>14</v>
      </c>
      <c r="B23" s="100" t="str">
        <f>IF(NOTAS!B21&lt;&gt;"",NOTAS!B21,"")</f>
        <v/>
      </c>
      <c r="C23" s="172" t="str">
        <f>IF(NOTAS!C21="","",IF(NOTAS!C21&lt;=4.5,"EC",IF(NOTAS!C21&lt;=6.5,"R",IF(NOTAS!C21&lt;=8.5,"B",IF(NOTAS!C21&lt;=10,"E","Error")))))</f>
        <v/>
      </c>
      <c r="D23" s="173" t="str">
        <f>IF(NOTAS!D21="","",IF(NOTAS!D21&lt;=4.5,"EC",IF(NOTAS!D21&lt;=6.5,"R",IF(NOTAS!D21&lt;=8.5,"B",IF(NOTAS!D21&lt;=10,"E","Error")))))</f>
        <v/>
      </c>
      <c r="E23" s="172" t="str">
        <f>IF(NOTAS!E21="","",IF(NOTAS!E21&lt;=4.5,"EC",IF(NOTAS!E21&lt;=6.5,"R",IF(NOTAS!E21&lt;=8.5,"B",IF(NOTAS!E21&lt;=10,"E","Error")))))</f>
        <v/>
      </c>
      <c r="F23" s="173" t="str">
        <f>IF(NOTAS!F21="","",IF(NOTAS!F21&lt;=4.5,"EC",IF(NOTAS!F21&lt;=6.5,"R",IF(NOTAS!F21&lt;=8.5,"B",IF(NOTAS!F21&lt;=10,"E","Error")))))</f>
        <v/>
      </c>
      <c r="G23" s="136" t="str">
        <f>IF(NOTAS!G21="","",IF(NOTAS!G21&lt;=4.5,"EC",IF(NOTAS!G21&lt;=6.5,"R",IF(NOTAS!G21&lt;=8.5,"B",IF(NOTAS!G21&lt;=10,"E","Error")))))</f>
        <v/>
      </c>
      <c r="H23" s="137" t="str">
        <f>IF(NOTAS!H21="","",IF(NOTAS!H21&lt;=4.5,"EC",IF(NOTAS!H21&lt;=6.5,"R",IF(NOTAS!H21&lt;=8.5,"B",IF(NOTAS!H21&lt;=10,"E","")))))</f>
        <v/>
      </c>
      <c r="I23" s="137" t="str">
        <f>IF(NOTAS!I21="","",IF(NOTAS!I21&lt;=4.5,"EC",IF(NOTAS!I21&lt;=6.5,"R",IF(NOTAS!I21&lt;=8.5,"B",IF(NOTAS!I21&lt;=10,"E","Error")))))</f>
        <v/>
      </c>
      <c r="J23" s="137" t="str">
        <f>IF(NOTAS!J21="","",IF(NOTAS!J21&lt;=4.5,"EC",IF(NOTAS!J21&lt;=6.5,"R",IF(NOTAS!J21&lt;=8.5,"B",IF(NOTAS!J21&lt;=10,"E","Error")))))</f>
        <v/>
      </c>
      <c r="K23" s="137" t="str">
        <f>IF(NOTAS!K21="","",IF(NOTAS!K21&lt;=4.5,"EC",IF(NOTAS!K21&lt;=6.5,"R",IF(NOTAS!K21&lt;=8.5,"B",IF(NOTAS!K21&lt;=10,"E","Error")))))</f>
        <v/>
      </c>
      <c r="L23" s="138" t="str">
        <f>IF(NOTAS!L21="","",IF(NOTAS!L21&lt;=4.5,"EC",IF(NOTAS!L21&lt;=6.5,"R",IF(NOTAS!L21&lt;=8.5,"B",IF(NOTAS!L21&lt;=10,"E","Error")))))</f>
        <v/>
      </c>
      <c r="M23" s="137" t="str">
        <f>IF(NOTAS!M21="","",IF(NOTAS!M21&lt;=4.5,"EC",IF(NOTAS!M21&lt;=6.5,"R",IF(NOTAS!M21&lt;=8.5,"B",IF(NOTAS!M21&lt;=10,"E","Error")))))</f>
        <v/>
      </c>
      <c r="N23" s="137" t="str">
        <f>IF(NOTAS!N21="","",IF(NOTAS!N21&lt;=4.5,"EC",IF(NOTAS!N21&lt;=6.5,"R",IF(NOTAS!N21&lt;=8.5,"B",IF(NOTAS!N21&lt;=10,"E","Error")))))</f>
        <v/>
      </c>
      <c r="O23" s="137" t="str">
        <f>IF(NOTAS!O21="","",IF(NOTAS!O21&lt;=4.5,"EC",IF(NOTAS!O21&lt;=6.5,"R",IF(NOTAS!O21&lt;=8.5,"B",IF(NOTAS!O21&lt;=10,"E","Error")))))</f>
        <v/>
      </c>
      <c r="P23" s="137" t="str">
        <f>IF(NOTAS!P21="","",IF(NOTAS!P21&lt;=4.5,"EC",IF(NOTAS!P21&lt;=6.5,"R",IF(NOTAS!P21&lt;=8.5,"B",IF(NOTAS!P21&lt;=10,"E","Error")))))</f>
        <v/>
      </c>
      <c r="Q23" s="139" t="str">
        <f>IF(NOTAS!Q21="","",IF(NOTAS!Q21&lt;=4.5,"EC",IF(NOTAS!Q21&lt;=6.5,"R",IF(NOTAS!Q21&lt;=8.5,"B",IF(NOTAS!Q21&lt;=10,"E","Error")))))</f>
        <v/>
      </c>
      <c r="R23" s="137" t="str">
        <f>IF(NOTAS!R21="","",IF(NOTAS!R21&lt;=4.5,"EC",IF(NOTAS!R21&lt;=6.5,"R",IF(NOTAS!R21&lt;=8.5,"B",IF(NOTAS!R21&lt;=10,"E","Error")))))</f>
        <v/>
      </c>
      <c r="S23" s="137" t="str">
        <f>IF(NOTAS!S21="","",IF(NOTAS!S21&lt;=4.5,"EC",IF(NOTAS!S21&lt;=6.5,"R",IF(NOTAS!S21&lt;=8.5,"B",IF(NOTAS!S21&lt;=10,"E","Error")))))</f>
        <v/>
      </c>
      <c r="T23" s="137" t="str">
        <f>IF(NOTAS!T21="","",IF(NOTAS!T21&lt;=4.5,"EC",IF(NOTAS!T21&lt;=6.5,"R",IF(NOTAS!T21&lt;=8.5,"B",IF(NOTAS!T21&lt;=10,"E","Error")))))</f>
        <v/>
      </c>
      <c r="U23" s="137" t="str">
        <f>IF(NOTAS!U21="","",IF(NOTAS!U21&lt;=4.5,"EC",IF(NOTAS!U21&lt;=6.5,"R",IF(NOTAS!U21&lt;=8.5,"B",IF(NOTAS!U21&lt;=10,"E","Error")))))</f>
        <v/>
      </c>
      <c r="V23" s="140" t="str">
        <f>IF(NOTAS!V21="","",IF(NOTAS!V21&lt;=4.5,"EC",IF(NOTAS!V21&lt;=6.5,"R",IF(NOTAS!V21&lt;=8.5,"B",IF(NOTAS!V21&lt;=10,"E","Error")))))</f>
        <v/>
      </c>
      <c r="W23" s="137" t="str">
        <f>IF(NOTAS!W21="","",IF(NOTAS!W21&lt;=4.5,"EC",IF(NOTAS!W21&lt;=6.5,"R",IF(NOTAS!W21&lt;=8.5,"B",IF(NOTAS!W21&lt;=10,"E","Error")))))</f>
        <v/>
      </c>
      <c r="X23" s="137" t="str">
        <f>IF(NOTAS!X21="","",IF(NOTAS!X21&lt;=4.5,"EC",IF(NOTAS!X21&lt;=6.5,"R",IF(NOTAS!X21&lt;=8.5,"B",IF(NOTAS!X21&lt;=10,"E","Error")))))</f>
        <v/>
      </c>
      <c r="Y23" s="137" t="str">
        <f>IF(NOTAS!Y21="","",IF(NOTAS!Y21&lt;=4.5,"EC",IF(NOTAS!Y21&lt;=6.5,"R",IF(NOTAS!Y21&lt;=8.5,"B",IF(NOTAS!Y21&lt;=10,"E","Error")))))</f>
        <v/>
      </c>
      <c r="Z23" s="137" t="str">
        <f>IF(NOTAS!Z21="","",IF(NOTAS!Z21&lt;=4.5,"EC",IF(NOTAS!Z21&lt;=6.5,"R",IF(NOTAS!Z21&lt;=8.5,"B",IF(NOTAS!Z21&lt;=10,"E","Error")))))</f>
        <v/>
      </c>
      <c r="AA23" s="141" t="str">
        <f>IF(NOTAS!AA21="","",IF(NOTAS!AA21&lt;=4.5,"EC",IF(NOTAS!AA21&lt;=6.5,"R",IF(NOTAS!AA21&lt;=8.5,"B",IF(NOTAS!AA21&lt;=10,"E","Error")))))</f>
        <v/>
      </c>
      <c r="AB23" s="137" t="str">
        <f>IF(NOTAS!AB21="","",IF(NOTAS!AB21&lt;=4.5,"EC",IF(NOTAS!AB21&lt;=6.5,"R",IF(NOTAS!AB21&lt;=8.5,"B",IF(NOTAS!AB21&lt;=10,"E","Error")))))</f>
        <v/>
      </c>
      <c r="AC23" s="137" t="str">
        <f>IF(NOTAS!AC21="","",IF(NOTAS!AC21&lt;=4.5,"EC",IF(NOTAS!AC21&lt;=6.5,"R",IF(NOTAS!AC21&lt;=8.5,"B",IF(NOTAS!AC21&lt;=10,"E","Error")))))</f>
        <v/>
      </c>
      <c r="AD23" s="137" t="str">
        <f>IF(NOTAS!AD21="","",IF(NOTAS!AD21&lt;=4.5,"EC",IF(NOTAS!AD21&lt;=6.5,"R",IF(NOTAS!AD21&lt;=8.5,"B",IF(NOTAS!AD21&lt;=10,"E","Error")))))</f>
        <v/>
      </c>
      <c r="AE23" s="137" t="str">
        <f>IF(NOTAS!AE21="","",IF(NOTAS!AE21&lt;=4.5,"EC",IF(NOTAS!AE21&lt;=6.5,"R",IF(NOTAS!AE21&lt;=8.5,"B",IF(NOTAS!AE21&lt;=10,"E","Error")))))</f>
        <v/>
      </c>
      <c r="AF23" s="142" t="str">
        <f>IF(NOTAS!AF21="","",IF(NOTAS!AF21&lt;=4.5,"EC",IF(NOTAS!AF21&lt;=6.5,"R",IF(NOTAS!AF21&lt;=8.5,"B",IF(NOTAS!AF21&lt;=10,"E","Error")))))</f>
        <v/>
      </c>
      <c r="AG23" s="137" t="str">
        <f>IF(NOTAS!AG21="","",IF(NOTAS!AG21&lt;=4.5,"EC",IF(NOTAS!AG21&lt;=6.5,"R",IF(NOTAS!AG21&lt;=8.5,"B",IF(NOTAS!AG21&lt;=10,"E","Error")))))</f>
        <v/>
      </c>
      <c r="AH23" s="137" t="str">
        <f>IF(NOTAS!AH21="","",IF(NOTAS!AH21&lt;=4.5,"EC",IF(NOTAS!AH21&lt;=6.5,"R",IF(NOTAS!AH21&lt;=8.5,"B",IF(NOTAS!AH21&lt;=10,"E","Error")))))</f>
        <v/>
      </c>
      <c r="AI23" s="137" t="str">
        <f>IF(NOTAS!AI21="","",IF(NOTAS!AI21&lt;=4.5,"EC",IF(NOTAS!AI21&lt;=6.5,"R",IF(NOTAS!AI21&lt;=8.5,"B",IF(NOTAS!AI21&lt;=10,"E","Error")))))</f>
        <v/>
      </c>
      <c r="AJ23" s="137" t="str">
        <f>IF(NOTAS!AJ21="","",IF(NOTAS!AJ21&lt;=4.5,"EC",IF(NOTAS!AJ21&lt;=6.5,"R",IF(NOTAS!AJ21&lt;=8.5,"B",IF(NOTAS!AJ21&lt;=10,"E","Error")))))</f>
        <v/>
      </c>
      <c r="AK23" s="136" t="str">
        <f>IF(NOTAS!AK21="","",IF(NOTAS!AK21&lt;=4.5,"EC",IF(NOTAS!AK21&lt;=6.5,"R",IF(NOTAS!AK21&lt;=8.5,"B",IF(NOTAS!AK21&lt;=10,"E","Error")))))</f>
        <v/>
      </c>
      <c r="AL23" s="137" t="str">
        <f>IF(NOTAS!AL21="","",IF(NOTAS!AL21&lt;=4.5,"EC",IF(NOTAS!AL21&lt;=6.5,"R",IF(NOTAS!AL21&lt;=8.5,"B",IF(NOTAS!AL21&lt;=10,"E","Error")))))</f>
        <v/>
      </c>
      <c r="AM23" s="137" t="str">
        <f>IF(NOTAS!AM21="","",IF(NOTAS!AM21&lt;=4.5,"EC",IF(NOTAS!AM21&lt;=6.5,"R",IF(NOTAS!AM21&lt;=8.5,"B",IF(NOTAS!AM21&lt;=10,"E","Error")))))</f>
        <v/>
      </c>
      <c r="AN23" s="137" t="str">
        <f>IF(NOTAS!AN21="","",IF(NOTAS!AN21&lt;=4.5,"EC",IF(NOTAS!AN21&lt;=6.5,"R",IF(NOTAS!AN21&lt;=8.5,"B",IF(NOTAS!AN21&lt;=10,"E","Error")))))</f>
        <v/>
      </c>
      <c r="AO23" s="137" t="str">
        <f>IF(NOTAS!AO21="","",IF(NOTAS!AO21&lt;=4.5,"EC",IF(NOTAS!AO21&lt;=6.5,"R",IF(NOTAS!AO21&lt;=8.5,"B",IF(NOTAS!AO21&lt;=10,"E","Error")))))</f>
        <v/>
      </c>
      <c r="AP23" s="136" t="str">
        <f>IF(NOTAS!AP21="","",IF(NOTAS!AP21&lt;=4.5,"EC",IF(NOTAS!AP21&lt;=6.5,"R",IF(NOTAS!AP21&lt;=8.5,"B",IF(NOTAS!AP21&lt;=10,"E","Error")))))</f>
        <v/>
      </c>
      <c r="AQ23" s="155" t="str">
        <f>NOTAS!AR21</f>
        <v>****</v>
      </c>
      <c r="AR23" s="156" t="str">
        <f>NOTAS!AS21</f>
        <v>****</v>
      </c>
      <c r="AS23" s="157" t="str">
        <f>NOTAS!AT21</f>
        <v>****</v>
      </c>
      <c r="AT23" s="157" t="str">
        <f>NOTAS!AU21</f>
        <v>****</v>
      </c>
    </row>
    <row r="24" spans="1:46" ht="15.75" thickBot="1">
      <c r="A24" s="42">
        <f t="shared" si="0"/>
        <v>15</v>
      </c>
      <c r="B24" s="100" t="str">
        <f>IF(NOTAS!B22&lt;&gt;"",NOTAS!B22,"")</f>
        <v/>
      </c>
      <c r="C24" s="169" t="str">
        <f>IF(NOTAS!C22="","",IF(NOTAS!C22&lt;=4.5,"EC",IF(NOTAS!C22&lt;=6.5,"R",IF(NOTAS!C22&lt;=8.5,"B",IF(NOTAS!C22&lt;=10,"E","Error")))))</f>
        <v/>
      </c>
      <c r="D24" s="170" t="str">
        <f>IF(NOTAS!D22="","",IF(NOTAS!D22&lt;=4.5,"EC",IF(NOTAS!D22&lt;=6.5,"R",IF(NOTAS!D22&lt;=8.5,"B",IF(NOTAS!D22&lt;=10,"E","Error")))))</f>
        <v/>
      </c>
      <c r="E24" s="169" t="str">
        <f>IF(NOTAS!E22="","",IF(NOTAS!E22&lt;=4.5,"EC",IF(NOTAS!E22&lt;=6.5,"R",IF(NOTAS!E22&lt;=8.5,"B",IF(NOTAS!E22&lt;=10,"E","Error")))))</f>
        <v/>
      </c>
      <c r="F24" s="171" t="str">
        <f>IF(NOTAS!F22="","",IF(NOTAS!F22&lt;=4.5,"EC",IF(NOTAS!F22&lt;=6.5,"R",IF(NOTAS!F22&lt;=8.5,"B",IF(NOTAS!F22&lt;=10,"E","Error")))))</f>
        <v/>
      </c>
      <c r="G24" s="136" t="str">
        <f>IF(NOTAS!G22="","",IF(NOTAS!G22&lt;=4.5,"EC",IF(NOTAS!G22&lt;=6.5,"R",IF(NOTAS!G22&lt;=8.5,"B",IF(NOTAS!G22&lt;=10,"E","Error")))))</f>
        <v/>
      </c>
      <c r="H24" s="137" t="str">
        <f>IF(NOTAS!H22="","",IF(NOTAS!H22&lt;=4.5,"EC",IF(NOTAS!H22&lt;=6.5,"R",IF(NOTAS!H22&lt;=8.5,"B",IF(NOTAS!H22&lt;=10,"E","")))))</f>
        <v/>
      </c>
      <c r="I24" s="137" t="str">
        <f>IF(NOTAS!I22="","",IF(NOTAS!I22&lt;=4.5,"EC",IF(NOTAS!I22&lt;=6.5,"R",IF(NOTAS!I22&lt;=8.5,"B",IF(NOTAS!I22&lt;=10,"E","Error")))))</f>
        <v/>
      </c>
      <c r="J24" s="137" t="str">
        <f>IF(NOTAS!J22="","",IF(NOTAS!J22&lt;=4.5,"EC",IF(NOTAS!J22&lt;=6.5,"R",IF(NOTAS!J22&lt;=8.5,"B",IF(NOTAS!J22&lt;=10,"E","Error")))))</f>
        <v/>
      </c>
      <c r="K24" s="137" t="str">
        <f>IF(NOTAS!K22="","",IF(NOTAS!K22&lt;=4.5,"EC",IF(NOTAS!K22&lt;=6.5,"R",IF(NOTAS!K22&lt;=8.5,"B",IF(NOTAS!K22&lt;=10,"E","Error")))))</f>
        <v/>
      </c>
      <c r="L24" s="138" t="str">
        <f>IF(NOTAS!L22="","",IF(NOTAS!L22&lt;=4.5,"EC",IF(NOTAS!L22&lt;=6.5,"R",IF(NOTAS!L22&lt;=8.5,"B",IF(NOTAS!L22&lt;=10,"E","Error")))))</f>
        <v/>
      </c>
      <c r="M24" s="137" t="str">
        <f>IF(NOTAS!M22="","",IF(NOTAS!M22&lt;=4.5,"EC",IF(NOTAS!M22&lt;=6.5,"R",IF(NOTAS!M22&lt;=8.5,"B",IF(NOTAS!M22&lt;=10,"E","Error")))))</f>
        <v/>
      </c>
      <c r="N24" s="137" t="str">
        <f>IF(NOTAS!N22="","",IF(NOTAS!N22&lt;=4.5,"EC",IF(NOTAS!N22&lt;=6.5,"R",IF(NOTAS!N22&lt;=8.5,"B",IF(NOTAS!N22&lt;=10,"E","Error")))))</f>
        <v/>
      </c>
      <c r="O24" s="137" t="str">
        <f>IF(NOTAS!O22="","",IF(NOTAS!O22&lt;=4.5,"EC",IF(NOTAS!O22&lt;=6.5,"R",IF(NOTAS!O22&lt;=8.5,"B",IF(NOTAS!O22&lt;=10,"E","Error")))))</f>
        <v/>
      </c>
      <c r="P24" s="137" t="str">
        <f>IF(NOTAS!P22="","",IF(NOTAS!P22&lt;=4.5,"EC",IF(NOTAS!P22&lt;=6.5,"R",IF(NOTAS!P22&lt;=8.5,"B",IF(NOTAS!P22&lt;=10,"E","Error")))))</f>
        <v/>
      </c>
      <c r="Q24" s="139" t="str">
        <f>IF(NOTAS!Q22="","",IF(NOTAS!Q22&lt;=4.5,"EC",IF(NOTAS!Q22&lt;=6.5,"R",IF(NOTAS!Q22&lt;=8.5,"B",IF(NOTAS!Q22&lt;=10,"E","Error")))))</f>
        <v/>
      </c>
      <c r="R24" s="137" t="str">
        <f>IF(NOTAS!R22="","",IF(NOTAS!R22&lt;=4.5,"EC",IF(NOTAS!R22&lt;=6.5,"R",IF(NOTAS!R22&lt;=8.5,"B",IF(NOTAS!R22&lt;=10,"E","Error")))))</f>
        <v/>
      </c>
      <c r="S24" s="137" t="str">
        <f>IF(NOTAS!S22="","",IF(NOTAS!S22&lt;=4.5,"EC",IF(NOTAS!S22&lt;=6.5,"R",IF(NOTAS!S22&lt;=8.5,"B",IF(NOTAS!S22&lt;=10,"E","Error")))))</f>
        <v/>
      </c>
      <c r="T24" s="137" t="str">
        <f>IF(NOTAS!T22="","",IF(NOTAS!T22&lt;=4.5,"EC",IF(NOTAS!T22&lt;=6.5,"R",IF(NOTAS!T22&lt;=8.5,"B",IF(NOTAS!T22&lt;=10,"E","Error")))))</f>
        <v/>
      </c>
      <c r="U24" s="137" t="str">
        <f>IF(NOTAS!U22="","",IF(NOTAS!U22&lt;=4.5,"EC",IF(NOTAS!U22&lt;=6.5,"R",IF(NOTAS!U22&lt;=8.5,"B",IF(NOTAS!U22&lt;=10,"E","Error")))))</f>
        <v/>
      </c>
      <c r="V24" s="140" t="str">
        <f>IF(NOTAS!V22="","",IF(NOTAS!V22&lt;=4.5,"EC",IF(NOTAS!V22&lt;=6.5,"R",IF(NOTAS!V22&lt;=8.5,"B",IF(NOTAS!V22&lt;=10,"E","Error")))))</f>
        <v/>
      </c>
      <c r="W24" s="137" t="str">
        <f>IF(NOTAS!W22="","",IF(NOTAS!W22&lt;=4.5,"EC",IF(NOTAS!W22&lt;=6.5,"R",IF(NOTAS!W22&lt;=8.5,"B",IF(NOTAS!W22&lt;=10,"E","Error")))))</f>
        <v/>
      </c>
      <c r="X24" s="137" t="str">
        <f>IF(NOTAS!X22="","",IF(NOTAS!X22&lt;=4.5,"EC",IF(NOTAS!X22&lt;=6.5,"R",IF(NOTAS!X22&lt;=8.5,"B",IF(NOTAS!X22&lt;=10,"E","Error")))))</f>
        <v/>
      </c>
      <c r="Y24" s="137" t="str">
        <f>IF(NOTAS!Y22="","",IF(NOTAS!Y22&lt;=4.5,"EC",IF(NOTAS!Y22&lt;=6.5,"R",IF(NOTAS!Y22&lt;=8.5,"B",IF(NOTAS!Y22&lt;=10,"E","Error")))))</f>
        <v/>
      </c>
      <c r="Z24" s="137" t="str">
        <f>IF(NOTAS!Z22="","",IF(NOTAS!Z22&lt;=4.5,"EC",IF(NOTAS!Z22&lt;=6.5,"R",IF(NOTAS!Z22&lt;=8.5,"B",IF(NOTAS!Z22&lt;=10,"E","Error")))))</f>
        <v/>
      </c>
      <c r="AA24" s="141" t="str">
        <f>IF(NOTAS!AA22="","",IF(NOTAS!AA22&lt;=4.5,"EC",IF(NOTAS!AA22&lt;=6.5,"R",IF(NOTAS!AA22&lt;=8.5,"B",IF(NOTAS!AA22&lt;=10,"E","Error")))))</f>
        <v/>
      </c>
      <c r="AB24" s="137" t="str">
        <f>IF(NOTAS!AB22="","",IF(NOTAS!AB22&lt;=4.5,"EC",IF(NOTAS!AB22&lt;=6.5,"R",IF(NOTAS!AB22&lt;=8.5,"B",IF(NOTAS!AB22&lt;=10,"E","Error")))))</f>
        <v/>
      </c>
      <c r="AC24" s="137" t="str">
        <f>IF(NOTAS!AC22="","",IF(NOTAS!AC22&lt;=4.5,"EC",IF(NOTAS!AC22&lt;=6.5,"R",IF(NOTAS!AC22&lt;=8.5,"B",IF(NOTAS!AC22&lt;=10,"E","Error")))))</f>
        <v/>
      </c>
      <c r="AD24" s="137" t="str">
        <f>IF(NOTAS!AD22="","",IF(NOTAS!AD22&lt;=4.5,"EC",IF(NOTAS!AD22&lt;=6.5,"R",IF(NOTAS!AD22&lt;=8.5,"B",IF(NOTAS!AD22&lt;=10,"E","Error")))))</f>
        <v/>
      </c>
      <c r="AE24" s="137" t="str">
        <f>IF(NOTAS!AE22="","",IF(NOTAS!AE22&lt;=4.5,"EC",IF(NOTAS!AE22&lt;=6.5,"R",IF(NOTAS!AE22&lt;=8.5,"B",IF(NOTAS!AE22&lt;=10,"E","Error")))))</f>
        <v/>
      </c>
      <c r="AF24" s="142" t="str">
        <f>IF(NOTAS!AF22="","",IF(NOTAS!AF22&lt;=4.5,"EC",IF(NOTAS!AF22&lt;=6.5,"R",IF(NOTAS!AF22&lt;=8.5,"B",IF(NOTAS!AF22&lt;=10,"E","Error")))))</f>
        <v/>
      </c>
      <c r="AG24" s="137" t="str">
        <f>IF(NOTAS!AG22="","",IF(NOTAS!AG22&lt;=4.5,"EC",IF(NOTAS!AG22&lt;=6.5,"R",IF(NOTAS!AG22&lt;=8.5,"B",IF(NOTAS!AG22&lt;=10,"E","Error")))))</f>
        <v/>
      </c>
      <c r="AH24" s="137" t="str">
        <f>IF(NOTAS!AH22="","",IF(NOTAS!AH22&lt;=4.5,"EC",IF(NOTAS!AH22&lt;=6.5,"R",IF(NOTAS!AH22&lt;=8.5,"B",IF(NOTAS!AH22&lt;=10,"E","Error")))))</f>
        <v/>
      </c>
      <c r="AI24" s="137" t="str">
        <f>IF(NOTAS!AI22="","",IF(NOTAS!AI22&lt;=4.5,"EC",IF(NOTAS!AI22&lt;=6.5,"R",IF(NOTAS!AI22&lt;=8.5,"B",IF(NOTAS!AI22&lt;=10,"E","Error")))))</f>
        <v/>
      </c>
      <c r="AJ24" s="137" t="str">
        <f>IF(NOTAS!AJ22="","",IF(NOTAS!AJ22&lt;=4.5,"EC",IF(NOTAS!AJ22&lt;=6.5,"R",IF(NOTAS!AJ22&lt;=8.5,"B",IF(NOTAS!AJ22&lt;=10,"E","Error")))))</f>
        <v/>
      </c>
      <c r="AK24" s="136" t="str">
        <f>IF(NOTAS!AK22="","",IF(NOTAS!AK22&lt;=4.5,"EC",IF(NOTAS!AK22&lt;=6.5,"R",IF(NOTAS!AK22&lt;=8.5,"B",IF(NOTAS!AK22&lt;=10,"E","Error")))))</f>
        <v/>
      </c>
      <c r="AL24" s="137" t="str">
        <f>IF(NOTAS!AL22="","",IF(NOTAS!AL22&lt;=4.5,"EC",IF(NOTAS!AL22&lt;=6.5,"R",IF(NOTAS!AL22&lt;=8.5,"B",IF(NOTAS!AL22&lt;=10,"E","Error")))))</f>
        <v/>
      </c>
      <c r="AM24" s="137" t="str">
        <f>IF(NOTAS!AM22="","",IF(NOTAS!AM22&lt;=4.5,"EC",IF(NOTAS!AM22&lt;=6.5,"R",IF(NOTAS!AM22&lt;=8.5,"B",IF(NOTAS!AM22&lt;=10,"E","Error")))))</f>
        <v/>
      </c>
      <c r="AN24" s="137" t="str">
        <f>IF(NOTAS!AN22="","",IF(NOTAS!AN22&lt;=4.5,"EC",IF(NOTAS!AN22&lt;=6.5,"R",IF(NOTAS!AN22&lt;=8.5,"B",IF(NOTAS!AN22&lt;=10,"E","Error")))))</f>
        <v/>
      </c>
      <c r="AO24" s="137" t="str">
        <f>IF(NOTAS!AO22="","",IF(NOTAS!AO22&lt;=4.5,"EC",IF(NOTAS!AO22&lt;=6.5,"R",IF(NOTAS!AO22&lt;=8.5,"B",IF(NOTAS!AO22&lt;=10,"E","Error")))))</f>
        <v/>
      </c>
      <c r="AP24" s="136" t="str">
        <f>IF(NOTAS!AP22="","",IF(NOTAS!AP22&lt;=4.5,"EC",IF(NOTAS!AP22&lt;=6.5,"R",IF(NOTAS!AP22&lt;=8.5,"B",IF(NOTAS!AP22&lt;=10,"E","Error")))))</f>
        <v/>
      </c>
      <c r="AQ24" s="155" t="str">
        <f>NOTAS!AR22</f>
        <v>****</v>
      </c>
      <c r="AR24" s="156" t="str">
        <f>NOTAS!AS22</f>
        <v>****</v>
      </c>
      <c r="AS24" s="157" t="str">
        <f>NOTAS!AT22</f>
        <v>****</v>
      </c>
      <c r="AT24" s="157" t="str">
        <f>NOTAS!AU22</f>
        <v>****</v>
      </c>
    </row>
    <row r="25" spans="1:46" ht="15.75" thickBot="1">
      <c r="A25" s="42">
        <f t="shared" si="0"/>
        <v>16</v>
      </c>
      <c r="B25" s="100" t="str">
        <f>IF(NOTAS!B23&lt;&gt;"",NOTAS!B23,"")</f>
        <v/>
      </c>
      <c r="C25" s="172" t="str">
        <f>IF(NOTAS!C23="","",IF(NOTAS!C23&lt;=4.5,"EC",IF(NOTAS!C23&lt;=6.5,"R",IF(NOTAS!C23&lt;=8.5,"B",IF(NOTAS!C23&lt;=10,"E","Error")))))</f>
        <v/>
      </c>
      <c r="D25" s="173" t="str">
        <f>IF(NOTAS!D23="","",IF(NOTAS!D23&lt;=4.5,"EC",IF(NOTAS!D23&lt;=6.5,"R",IF(NOTAS!D23&lt;=8.5,"B",IF(NOTAS!D23&lt;=10,"E","Error")))))</f>
        <v/>
      </c>
      <c r="E25" s="172" t="str">
        <f>IF(NOTAS!E23="","",IF(NOTAS!E23&lt;=4.5,"EC",IF(NOTAS!E23&lt;=6.5,"R",IF(NOTAS!E23&lt;=8.5,"B",IF(NOTAS!E23&lt;=10,"E","Error")))))</f>
        <v/>
      </c>
      <c r="F25" s="173" t="str">
        <f>IF(NOTAS!F23="","",IF(NOTAS!F23&lt;=4.5,"EC",IF(NOTAS!F23&lt;=6.5,"R",IF(NOTAS!F23&lt;=8.5,"B",IF(NOTAS!F23&lt;=10,"E","Error")))))</f>
        <v/>
      </c>
      <c r="G25" s="136" t="str">
        <f>IF(NOTAS!G23="","",IF(NOTAS!G23&lt;=4.5,"EC",IF(NOTAS!G23&lt;=6.5,"R",IF(NOTAS!G23&lt;=8.5,"B",IF(NOTAS!G23&lt;=10,"E","Error")))))</f>
        <v/>
      </c>
      <c r="H25" s="137" t="str">
        <f>IF(NOTAS!H23="","",IF(NOTAS!H23&lt;=4.5,"EC",IF(NOTAS!H23&lt;=6.5,"R",IF(NOTAS!H23&lt;=8.5,"B",IF(NOTAS!H23&lt;=10,"E","")))))</f>
        <v/>
      </c>
      <c r="I25" s="137" t="str">
        <f>IF(NOTAS!I23="","",IF(NOTAS!I23&lt;=4.5,"EC",IF(NOTAS!I23&lt;=6.5,"R",IF(NOTAS!I23&lt;=8.5,"B",IF(NOTAS!I23&lt;=10,"E","Error")))))</f>
        <v/>
      </c>
      <c r="J25" s="137" t="str">
        <f>IF(NOTAS!J23="","",IF(NOTAS!J23&lt;=4.5,"EC",IF(NOTAS!J23&lt;=6.5,"R",IF(NOTAS!J23&lt;=8.5,"B",IF(NOTAS!J23&lt;=10,"E","Error")))))</f>
        <v/>
      </c>
      <c r="K25" s="137" t="str">
        <f>IF(NOTAS!K23="","",IF(NOTAS!K23&lt;=4.5,"EC",IF(NOTAS!K23&lt;=6.5,"R",IF(NOTAS!K23&lt;=8.5,"B",IF(NOTAS!K23&lt;=10,"E","Error")))))</f>
        <v/>
      </c>
      <c r="L25" s="138" t="str">
        <f>IF(NOTAS!L23="","",IF(NOTAS!L23&lt;=4.5,"EC",IF(NOTAS!L23&lt;=6.5,"R",IF(NOTAS!L23&lt;=8.5,"B",IF(NOTAS!L23&lt;=10,"E","Error")))))</f>
        <v/>
      </c>
      <c r="M25" s="137" t="str">
        <f>IF(NOTAS!M23="","",IF(NOTAS!M23&lt;=4.5,"EC",IF(NOTAS!M23&lt;=6.5,"R",IF(NOTAS!M23&lt;=8.5,"B",IF(NOTAS!M23&lt;=10,"E","Error")))))</f>
        <v/>
      </c>
      <c r="N25" s="137" t="str">
        <f>IF(NOTAS!N23="","",IF(NOTAS!N23&lt;=4.5,"EC",IF(NOTAS!N23&lt;=6.5,"R",IF(NOTAS!N23&lt;=8.5,"B",IF(NOTAS!N23&lt;=10,"E","Error")))))</f>
        <v/>
      </c>
      <c r="O25" s="137" t="str">
        <f>IF(NOTAS!O23="","",IF(NOTAS!O23&lt;=4.5,"EC",IF(NOTAS!O23&lt;=6.5,"R",IF(NOTAS!O23&lt;=8.5,"B",IF(NOTAS!O23&lt;=10,"E","Error")))))</f>
        <v/>
      </c>
      <c r="P25" s="137" t="str">
        <f>IF(NOTAS!P23="","",IF(NOTAS!P23&lt;=4.5,"EC",IF(NOTAS!P23&lt;=6.5,"R",IF(NOTAS!P23&lt;=8.5,"B",IF(NOTAS!P23&lt;=10,"E","Error")))))</f>
        <v/>
      </c>
      <c r="Q25" s="139" t="str">
        <f>IF(NOTAS!Q23="","",IF(NOTAS!Q23&lt;=4.5,"EC",IF(NOTAS!Q23&lt;=6.5,"R",IF(NOTAS!Q23&lt;=8.5,"B",IF(NOTAS!Q23&lt;=10,"E","Error")))))</f>
        <v/>
      </c>
      <c r="R25" s="137" t="str">
        <f>IF(NOTAS!R23="","",IF(NOTAS!R23&lt;=4.5,"EC",IF(NOTAS!R23&lt;=6.5,"R",IF(NOTAS!R23&lt;=8.5,"B",IF(NOTAS!R23&lt;=10,"E","Error")))))</f>
        <v/>
      </c>
      <c r="S25" s="137" t="str">
        <f>IF(NOTAS!S23="","",IF(NOTAS!S23&lt;=4.5,"EC",IF(NOTAS!S23&lt;=6.5,"R",IF(NOTAS!S23&lt;=8.5,"B",IF(NOTAS!S23&lt;=10,"E","Error")))))</f>
        <v/>
      </c>
      <c r="T25" s="137" t="str">
        <f>IF(NOTAS!T23="","",IF(NOTAS!T23&lt;=4.5,"EC",IF(NOTAS!T23&lt;=6.5,"R",IF(NOTAS!T23&lt;=8.5,"B",IF(NOTAS!T23&lt;=10,"E","Error")))))</f>
        <v/>
      </c>
      <c r="U25" s="137" t="str">
        <f>IF(NOTAS!U23="","",IF(NOTAS!U23&lt;=4.5,"EC",IF(NOTAS!U23&lt;=6.5,"R",IF(NOTAS!U23&lt;=8.5,"B",IF(NOTAS!U23&lt;=10,"E","Error")))))</f>
        <v/>
      </c>
      <c r="V25" s="140" t="str">
        <f>IF(NOTAS!V23="","",IF(NOTAS!V23&lt;=4.5,"EC",IF(NOTAS!V23&lt;=6.5,"R",IF(NOTAS!V23&lt;=8.5,"B",IF(NOTAS!V23&lt;=10,"E","Error")))))</f>
        <v/>
      </c>
      <c r="W25" s="137" t="str">
        <f>IF(NOTAS!W23="","",IF(NOTAS!W23&lt;=4.5,"EC",IF(NOTAS!W23&lt;=6.5,"R",IF(NOTAS!W23&lt;=8.5,"B",IF(NOTAS!W23&lt;=10,"E","Error")))))</f>
        <v/>
      </c>
      <c r="X25" s="137" t="str">
        <f>IF(NOTAS!X23="","",IF(NOTAS!X23&lt;=4.5,"EC",IF(NOTAS!X23&lt;=6.5,"R",IF(NOTAS!X23&lt;=8.5,"B",IF(NOTAS!X23&lt;=10,"E","Error")))))</f>
        <v/>
      </c>
      <c r="Y25" s="137" t="str">
        <f>IF(NOTAS!Y23="","",IF(NOTAS!Y23&lt;=4.5,"EC",IF(NOTAS!Y23&lt;=6.5,"R",IF(NOTAS!Y23&lt;=8.5,"B",IF(NOTAS!Y23&lt;=10,"E","Error")))))</f>
        <v/>
      </c>
      <c r="Z25" s="137" t="str">
        <f>IF(NOTAS!Z23="","",IF(NOTAS!Z23&lt;=4.5,"EC",IF(NOTAS!Z23&lt;=6.5,"R",IF(NOTAS!Z23&lt;=8.5,"B",IF(NOTAS!Z23&lt;=10,"E","Error")))))</f>
        <v/>
      </c>
      <c r="AA25" s="141" t="str">
        <f>IF(NOTAS!AA23="","",IF(NOTAS!AA23&lt;=4.5,"EC",IF(NOTAS!AA23&lt;=6.5,"R",IF(NOTAS!AA23&lt;=8.5,"B",IF(NOTAS!AA23&lt;=10,"E","Error")))))</f>
        <v/>
      </c>
      <c r="AB25" s="137" t="str">
        <f>IF(NOTAS!AB23="","",IF(NOTAS!AB23&lt;=4.5,"EC",IF(NOTAS!AB23&lt;=6.5,"R",IF(NOTAS!AB23&lt;=8.5,"B",IF(NOTAS!AB23&lt;=10,"E","Error")))))</f>
        <v/>
      </c>
      <c r="AC25" s="137" t="str">
        <f>IF(NOTAS!AC23="","",IF(NOTAS!AC23&lt;=4.5,"EC",IF(NOTAS!AC23&lt;=6.5,"R",IF(NOTAS!AC23&lt;=8.5,"B",IF(NOTAS!AC23&lt;=10,"E","Error")))))</f>
        <v/>
      </c>
      <c r="AD25" s="137" t="str">
        <f>IF(NOTAS!AD23="","",IF(NOTAS!AD23&lt;=4.5,"EC",IF(NOTAS!AD23&lt;=6.5,"R",IF(NOTAS!AD23&lt;=8.5,"B",IF(NOTAS!AD23&lt;=10,"E","Error")))))</f>
        <v/>
      </c>
      <c r="AE25" s="137" t="str">
        <f>IF(NOTAS!AE23="","",IF(NOTAS!AE23&lt;=4.5,"EC",IF(NOTAS!AE23&lt;=6.5,"R",IF(NOTAS!AE23&lt;=8.5,"B",IF(NOTAS!AE23&lt;=10,"E","Error")))))</f>
        <v/>
      </c>
      <c r="AF25" s="142" t="str">
        <f>IF(NOTAS!AF23="","",IF(NOTAS!AF23&lt;=4.5,"EC",IF(NOTAS!AF23&lt;=6.5,"R",IF(NOTAS!AF23&lt;=8.5,"B",IF(NOTAS!AF23&lt;=10,"E","Error")))))</f>
        <v/>
      </c>
      <c r="AG25" s="137" t="str">
        <f>IF(NOTAS!AG23="","",IF(NOTAS!AG23&lt;=4.5,"EC",IF(NOTAS!AG23&lt;=6.5,"R",IF(NOTAS!AG23&lt;=8.5,"B",IF(NOTAS!AG23&lt;=10,"E","Error")))))</f>
        <v/>
      </c>
      <c r="AH25" s="137" t="str">
        <f>IF(NOTAS!AH23="","",IF(NOTAS!AH23&lt;=4.5,"EC",IF(NOTAS!AH23&lt;=6.5,"R",IF(NOTAS!AH23&lt;=8.5,"B",IF(NOTAS!AH23&lt;=10,"E","Error")))))</f>
        <v/>
      </c>
      <c r="AI25" s="137" t="str">
        <f>IF(NOTAS!AI23="","",IF(NOTAS!AI23&lt;=4.5,"EC",IF(NOTAS!AI23&lt;=6.5,"R",IF(NOTAS!AI23&lt;=8.5,"B",IF(NOTAS!AI23&lt;=10,"E","Error")))))</f>
        <v/>
      </c>
      <c r="AJ25" s="137" t="str">
        <f>IF(NOTAS!AJ23="","",IF(NOTAS!AJ23&lt;=4.5,"EC",IF(NOTAS!AJ23&lt;=6.5,"R",IF(NOTAS!AJ23&lt;=8.5,"B",IF(NOTAS!AJ23&lt;=10,"E","Error")))))</f>
        <v/>
      </c>
      <c r="AK25" s="136" t="str">
        <f>IF(NOTAS!AK23="","",IF(NOTAS!AK23&lt;=4.5,"EC",IF(NOTAS!AK23&lt;=6.5,"R",IF(NOTAS!AK23&lt;=8.5,"B",IF(NOTAS!AK23&lt;=10,"E","Error")))))</f>
        <v/>
      </c>
      <c r="AL25" s="137" t="str">
        <f>IF(NOTAS!AL23="","",IF(NOTAS!AL23&lt;=4.5,"EC",IF(NOTAS!AL23&lt;=6.5,"R",IF(NOTAS!AL23&lt;=8.5,"B",IF(NOTAS!AL23&lt;=10,"E","Error")))))</f>
        <v/>
      </c>
      <c r="AM25" s="137" t="str">
        <f>IF(NOTAS!AM23="","",IF(NOTAS!AM23&lt;=4.5,"EC",IF(NOTAS!AM23&lt;=6.5,"R",IF(NOTAS!AM23&lt;=8.5,"B",IF(NOTAS!AM23&lt;=10,"E","Error")))))</f>
        <v/>
      </c>
      <c r="AN25" s="137" t="str">
        <f>IF(NOTAS!AN23="","",IF(NOTAS!AN23&lt;=4.5,"EC",IF(NOTAS!AN23&lt;=6.5,"R",IF(NOTAS!AN23&lt;=8.5,"B",IF(NOTAS!AN23&lt;=10,"E","Error")))))</f>
        <v/>
      </c>
      <c r="AO25" s="137" t="str">
        <f>IF(NOTAS!AO23="","",IF(NOTAS!AO23&lt;=4.5,"EC",IF(NOTAS!AO23&lt;=6.5,"R",IF(NOTAS!AO23&lt;=8.5,"B",IF(NOTAS!AO23&lt;=10,"E","Error")))))</f>
        <v/>
      </c>
      <c r="AP25" s="136" t="str">
        <f>IF(NOTAS!AP23="","",IF(NOTAS!AP23&lt;=4.5,"EC",IF(NOTAS!AP23&lt;=6.5,"R",IF(NOTAS!AP23&lt;=8.5,"B",IF(NOTAS!AP23&lt;=10,"E","Error")))))</f>
        <v/>
      </c>
      <c r="AQ25" s="155" t="str">
        <f>NOTAS!AR23</f>
        <v>****</v>
      </c>
      <c r="AR25" s="156" t="str">
        <f>NOTAS!AS23</f>
        <v>****</v>
      </c>
      <c r="AS25" s="157" t="str">
        <f>NOTAS!AT23</f>
        <v>****</v>
      </c>
      <c r="AT25" s="157" t="str">
        <f>NOTAS!AU23</f>
        <v>****</v>
      </c>
    </row>
    <row r="26" spans="1:46" ht="15.75" thickBot="1">
      <c r="A26" s="42">
        <f t="shared" si="0"/>
        <v>17</v>
      </c>
      <c r="B26" s="100" t="str">
        <f>IF(NOTAS!B24&lt;&gt;"",NOTAS!B24,"")</f>
        <v/>
      </c>
      <c r="C26" s="169" t="str">
        <f>IF(NOTAS!C24="","",IF(NOTAS!C24&lt;=4.5,"EC",IF(NOTAS!C24&lt;=6.5,"R",IF(NOTAS!C24&lt;=8.5,"B",IF(NOTAS!C24&lt;=10,"E","Error")))))</f>
        <v/>
      </c>
      <c r="D26" s="170" t="str">
        <f>IF(NOTAS!D24="","",IF(NOTAS!D24&lt;=4.5,"EC",IF(NOTAS!D24&lt;=6.5,"R",IF(NOTAS!D24&lt;=8.5,"B",IF(NOTAS!D24&lt;=10,"E","Error")))))</f>
        <v/>
      </c>
      <c r="E26" s="169" t="str">
        <f>IF(NOTAS!E24="","",IF(NOTAS!E24&lt;=4.5,"EC",IF(NOTAS!E24&lt;=6.5,"R",IF(NOTAS!E24&lt;=8.5,"B",IF(NOTAS!E24&lt;=10,"E","Error")))))</f>
        <v/>
      </c>
      <c r="F26" s="171" t="str">
        <f>IF(NOTAS!F24="","",IF(NOTAS!F24&lt;=4.5,"EC",IF(NOTAS!F24&lt;=6.5,"R",IF(NOTAS!F24&lt;=8.5,"B",IF(NOTAS!F24&lt;=10,"E","Error")))))</f>
        <v/>
      </c>
      <c r="G26" s="136" t="str">
        <f>IF(NOTAS!G24="","",IF(NOTAS!G24&lt;=4.5,"EC",IF(NOTAS!G24&lt;=6.5,"R",IF(NOTAS!G24&lt;=8.5,"B",IF(NOTAS!G24&lt;=10,"E","Error")))))</f>
        <v/>
      </c>
      <c r="H26" s="137" t="str">
        <f>IF(NOTAS!H24="","",IF(NOTAS!H24&lt;=4.5,"EC",IF(NOTAS!H24&lt;=6.5,"R",IF(NOTAS!H24&lt;=8.5,"B",IF(NOTAS!H24&lt;=10,"E","")))))</f>
        <v/>
      </c>
      <c r="I26" s="137" t="str">
        <f>IF(NOTAS!I24="","",IF(NOTAS!I24&lt;=4.5,"EC",IF(NOTAS!I24&lt;=6.5,"R",IF(NOTAS!I24&lt;=8.5,"B",IF(NOTAS!I24&lt;=10,"E","Error")))))</f>
        <v/>
      </c>
      <c r="J26" s="137" t="str">
        <f>IF(NOTAS!J24="","",IF(NOTAS!J24&lt;=4.5,"EC",IF(NOTAS!J24&lt;=6.5,"R",IF(NOTAS!J24&lt;=8.5,"B",IF(NOTAS!J24&lt;=10,"E","Error")))))</f>
        <v/>
      </c>
      <c r="K26" s="137" t="str">
        <f>IF(NOTAS!K24="","",IF(NOTAS!K24&lt;=4.5,"EC",IF(NOTAS!K24&lt;=6.5,"R",IF(NOTAS!K24&lt;=8.5,"B",IF(NOTAS!K24&lt;=10,"E","Error")))))</f>
        <v/>
      </c>
      <c r="L26" s="138" t="str">
        <f>IF(NOTAS!L24="","",IF(NOTAS!L24&lt;=4.5,"EC",IF(NOTAS!L24&lt;=6.5,"R",IF(NOTAS!L24&lt;=8.5,"B",IF(NOTAS!L24&lt;=10,"E","Error")))))</f>
        <v/>
      </c>
      <c r="M26" s="137" t="str">
        <f>IF(NOTAS!M24="","",IF(NOTAS!M24&lt;=4.5,"EC",IF(NOTAS!M24&lt;=6.5,"R",IF(NOTAS!M24&lt;=8.5,"B",IF(NOTAS!M24&lt;=10,"E","Error")))))</f>
        <v/>
      </c>
      <c r="N26" s="137" t="str">
        <f>IF(NOTAS!N24="","",IF(NOTAS!N24&lt;=4.5,"EC",IF(NOTAS!N24&lt;=6.5,"R",IF(NOTAS!N24&lt;=8.5,"B",IF(NOTAS!N24&lt;=10,"E","Error")))))</f>
        <v/>
      </c>
      <c r="O26" s="137" t="str">
        <f>IF(NOTAS!O24="","",IF(NOTAS!O24&lt;=4.5,"EC",IF(NOTAS!O24&lt;=6.5,"R",IF(NOTAS!O24&lt;=8.5,"B",IF(NOTAS!O24&lt;=10,"E","Error")))))</f>
        <v/>
      </c>
      <c r="P26" s="137" t="str">
        <f>IF(NOTAS!P24="","",IF(NOTAS!P24&lt;=4.5,"EC",IF(NOTAS!P24&lt;=6.5,"R",IF(NOTAS!P24&lt;=8.5,"B",IF(NOTAS!P24&lt;=10,"E","Error")))))</f>
        <v/>
      </c>
      <c r="Q26" s="139" t="str">
        <f>IF(NOTAS!Q24="","",IF(NOTAS!Q24&lt;=4.5,"EC",IF(NOTAS!Q24&lt;=6.5,"R",IF(NOTAS!Q24&lt;=8.5,"B",IF(NOTAS!Q24&lt;=10,"E","Error")))))</f>
        <v/>
      </c>
      <c r="R26" s="137" t="str">
        <f>IF(NOTAS!R24="","",IF(NOTAS!R24&lt;=4.5,"EC",IF(NOTAS!R24&lt;=6.5,"R",IF(NOTAS!R24&lt;=8.5,"B",IF(NOTAS!R24&lt;=10,"E","Error")))))</f>
        <v/>
      </c>
      <c r="S26" s="137" t="str">
        <f>IF(NOTAS!S24="","",IF(NOTAS!S24&lt;=4.5,"EC",IF(NOTAS!S24&lt;=6.5,"R",IF(NOTAS!S24&lt;=8.5,"B",IF(NOTAS!S24&lt;=10,"E","Error")))))</f>
        <v/>
      </c>
      <c r="T26" s="137" t="str">
        <f>IF(NOTAS!T24="","",IF(NOTAS!T24&lt;=4.5,"EC",IF(NOTAS!T24&lt;=6.5,"R",IF(NOTAS!T24&lt;=8.5,"B",IF(NOTAS!T24&lt;=10,"E","Error")))))</f>
        <v/>
      </c>
      <c r="U26" s="137" t="str">
        <f>IF(NOTAS!U24="","",IF(NOTAS!U24&lt;=4.5,"EC",IF(NOTAS!U24&lt;=6.5,"R",IF(NOTAS!U24&lt;=8.5,"B",IF(NOTAS!U24&lt;=10,"E","Error")))))</f>
        <v/>
      </c>
      <c r="V26" s="140" t="str">
        <f>IF(NOTAS!V24="","",IF(NOTAS!V24&lt;=4.5,"EC",IF(NOTAS!V24&lt;=6.5,"R",IF(NOTAS!V24&lt;=8.5,"B",IF(NOTAS!V24&lt;=10,"E","Error")))))</f>
        <v/>
      </c>
      <c r="W26" s="137" t="str">
        <f>IF(NOTAS!W24="","",IF(NOTAS!W24&lt;=4.5,"EC",IF(NOTAS!W24&lt;=6.5,"R",IF(NOTAS!W24&lt;=8.5,"B",IF(NOTAS!W24&lt;=10,"E","Error")))))</f>
        <v/>
      </c>
      <c r="X26" s="137" t="str">
        <f>IF(NOTAS!X24="","",IF(NOTAS!X24&lt;=4.5,"EC",IF(NOTAS!X24&lt;=6.5,"R",IF(NOTAS!X24&lt;=8.5,"B",IF(NOTAS!X24&lt;=10,"E","Error")))))</f>
        <v/>
      </c>
      <c r="Y26" s="137" t="str">
        <f>IF(NOTAS!Y24="","",IF(NOTAS!Y24&lt;=4.5,"EC",IF(NOTAS!Y24&lt;=6.5,"R",IF(NOTAS!Y24&lt;=8.5,"B",IF(NOTAS!Y24&lt;=10,"E","Error")))))</f>
        <v/>
      </c>
      <c r="Z26" s="137" t="str">
        <f>IF(NOTAS!Z24="","",IF(NOTAS!Z24&lt;=4.5,"EC",IF(NOTAS!Z24&lt;=6.5,"R",IF(NOTAS!Z24&lt;=8.5,"B",IF(NOTAS!Z24&lt;=10,"E","Error")))))</f>
        <v/>
      </c>
      <c r="AA26" s="141" t="str">
        <f>IF(NOTAS!AA24="","",IF(NOTAS!AA24&lt;=4.5,"EC",IF(NOTAS!AA24&lt;=6.5,"R",IF(NOTAS!AA24&lt;=8.5,"B",IF(NOTAS!AA24&lt;=10,"E","Error")))))</f>
        <v/>
      </c>
      <c r="AB26" s="137" t="str">
        <f>IF(NOTAS!AB24="","",IF(NOTAS!AB24&lt;=4.5,"EC",IF(NOTAS!AB24&lt;=6.5,"R",IF(NOTAS!AB24&lt;=8.5,"B",IF(NOTAS!AB24&lt;=10,"E","Error")))))</f>
        <v/>
      </c>
      <c r="AC26" s="137" t="str">
        <f>IF(NOTAS!AC24="","",IF(NOTAS!AC24&lt;=4.5,"EC",IF(NOTAS!AC24&lt;=6.5,"R",IF(NOTAS!AC24&lt;=8.5,"B",IF(NOTAS!AC24&lt;=10,"E","Error")))))</f>
        <v/>
      </c>
      <c r="AD26" s="137" t="str">
        <f>IF(NOTAS!AD24="","",IF(NOTAS!AD24&lt;=4.5,"EC",IF(NOTAS!AD24&lt;=6.5,"R",IF(NOTAS!AD24&lt;=8.5,"B",IF(NOTAS!AD24&lt;=10,"E","Error")))))</f>
        <v/>
      </c>
      <c r="AE26" s="137" t="str">
        <f>IF(NOTAS!AE24="","",IF(NOTAS!AE24&lt;=4.5,"EC",IF(NOTAS!AE24&lt;=6.5,"R",IF(NOTAS!AE24&lt;=8.5,"B",IF(NOTAS!AE24&lt;=10,"E","Error")))))</f>
        <v/>
      </c>
      <c r="AF26" s="142" t="str">
        <f>IF(NOTAS!AF24="","",IF(NOTAS!AF24&lt;=4.5,"EC",IF(NOTAS!AF24&lt;=6.5,"R",IF(NOTAS!AF24&lt;=8.5,"B",IF(NOTAS!AF24&lt;=10,"E","Error")))))</f>
        <v/>
      </c>
      <c r="AG26" s="137" t="str">
        <f>IF(NOTAS!AG24="","",IF(NOTAS!AG24&lt;=4.5,"EC",IF(NOTAS!AG24&lt;=6.5,"R",IF(NOTAS!AG24&lt;=8.5,"B",IF(NOTAS!AG24&lt;=10,"E","Error")))))</f>
        <v/>
      </c>
      <c r="AH26" s="137" t="str">
        <f>IF(NOTAS!AH24="","",IF(NOTAS!AH24&lt;=4.5,"EC",IF(NOTAS!AH24&lt;=6.5,"R",IF(NOTAS!AH24&lt;=8.5,"B",IF(NOTAS!AH24&lt;=10,"E","Error")))))</f>
        <v/>
      </c>
      <c r="AI26" s="137" t="str">
        <f>IF(NOTAS!AI24="","",IF(NOTAS!AI24&lt;=4.5,"EC",IF(NOTAS!AI24&lt;=6.5,"R",IF(NOTAS!AI24&lt;=8.5,"B",IF(NOTAS!AI24&lt;=10,"E","Error")))))</f>
        <v/>
      </c>
      <c r="AJ26" s="137" t="str">
        <f>IF(NOTAS!AJ24="","",IF(NOTAS!AJ24&lt;=4.5,"EC",IF(NOTAS!AJ24&lt;=6.5,"R",IF(NOTAS!AJ24&lt;=8.5,"B",IF(NOTAS!AJ24&lt;=10,"E","Error")))))</f>
        <v/>
      </c>
      <c r="AK26" s="136" t="str">
        <f>IF(NOTAS!AK24="","",IF(NOTAS!AK24&lt;=4.5,"EC",IF(NOTAS!AK24&lt;=6.5,"R",IF(NOTAS!AK24&lt;=8.5,"B",IF(NOTAS!AK24&lt;=10,"E","Error")))))</f>
        <v/>
      </c>
      <c r="AL26" s="137" t="str">
        <f>IF(NOTAS!AL24="","",IF(NOTAS!AL24&lt;=4.5,"EC",IF(NOTAS!AL24&lt;=6.5,"R",IF(NOTAS!AL24&lt;=8.5,"B",IF(NOTAS!AL24&lt;=10,"E","Error")))))</f>
        <v/>
      </c>
      <c r="AM26" s="137" t="str">
        <f>IF(NOTAS!AM24="","",IF(NOTAS!AM24&lt;=4.5,"EC",IF(NOTAS!AM24&lt;=6.5,"R",IF(NOTAS!AM24&lt;=8.5,"B",IF(NOTAS!AM24&lt;=10,"E","Error")))))</f>
        <v/>
      </c>
      <c r="AN26" s="137" t="str">
        <f>IF(NOTAS!AN24="","",IF(NOTAS!AN24&lt;=4.5,"EC",IF(NOTAS!AN24&lt;=6.5,"R",IF(NOTAS!AN24&lt;=8.5,"B",IF(NOTAS!AN24&lt;=10,"E","Error")))))</f>
        <v/>
      </c>
      <c r="AO26" s="137" t="str">
        <f>IF(NOTAS!AO24="","",IF(NOTAS!AO24&lt;=4.5,"EC",IF(NOTAS!AO24&lt;=6.5,"R",IF(NOTAS!AO24&lt;=8.5,"B",IF(NOTAS!AO24&lt;=10,"E","Error")))))</f>
        <v/>
      </c>
      <c r="AP26" s="136" t="str">
        <f>IF(NOTAS!AP24="","",IF(NOTAS!AP24&lt;=4.5,"EC",IF(NOTAS!AP24&lt;=6.5,"R",IF(NOTAS!AP24&lt;=8.5,"B",IF(NOTAS!AP24&lt;=10,"E","Error")))))</f>
        <v/>
      </c>
      <c r="AQ26" s="155" t="str">
        <f>NOTAS!AR24</f>
        <v>****</v>
      </c>
      <c r="AR26" s="156" t="str">
        <f>NOTAS!AS24</f>
        <v>****</v>
      </c>
      <c r="AS26" s="157" t="str">
        <f>NOTAS!AT24</f>
        <v>****</v>
      </c>
      <c r="AT26" s="157" t="str">
        <f>NOTAS!AU24</f>
        <v>****</v>
      </c>
    </row>
    <row r="27" spans="1:46" ht="15.75" thickBot="1">
      <c r="A27" s="42">
        <f t="shared" si="0"/>
        <v>18</v>
      </c>
      <c r="B27" s="100" t="str">
        <f>IF(NOTAS!B25&lt;&gt;"",NOTAS!B25,"")</f>
        <v/>
      </c>
      <c r="C27" s="172" t="str">
        <f>IF(NOTAS!C25="","",IF(NOTAS!C25&lt;=4.5,"EC",IF(NOTAS!C25&lt;=6.5,"R",IF(NOTAS!C25&lt;=8.5,"B",IF(NOTAS!C25&lt;=10,"E","Error")))))</f>
        <v/>
      </c>
      <c r="D27" s="173" t="str">
        <f>IF(NOTAS!D25="","",IF(NOTAS!D25&lt;=4.5,"EC",IF(NOTAS!D25&lt;=6.5,"R",IF(NOTAS!D25&lt;=8.5,"B",IF(NOTAS!D25&lt;=10,"E","Error")))))</f>
        <v/>
      </c>
      <c r="E27" s="172" t="str">
        <f>IF(NOTAS!E25="","",IF(NOTAS!E25&lt;=4.5,"EC",IF(NOTAS!E25&lt;=6.5,"R",IF(NOTAS!E25&lt;=8.5,"B",IF(NOTAS!E25&lt;=10,"E","Error")))))</f>
        <v/>
      </c>
      <c r="F27" s="173" t="str">
        <f>IF(NOTAS!F25="","",IF(NOTAS!F25&lt;=4.5,"EC",IF(NOTAS!F25&lt;=6.5,"R",IF(NOTAS!F25&lt;=8.5,"B",IF(NOTAS!F25&lt;=10,"E","Error")))))</f>
        <v/>
      </c>
      <c r="G27" s="136" t="str">
        <f>IF(NOTAS!G25="","",IF(NOTAS!G25&lt;=4.5,"EC",IF(NOTAS!G25&lt;=6.5,"R",IF(NOTAS!G25&lt;=8.5,"B",IF(NOTAS!G25&lt;=10,"E","Error")))))</f>
        <v/>
      </c>
      <c r="H27" s="137" t="str">
        <f>IF(NOTAS!H25="","",IF(NOTAS!H25&lt;=4.5,"EC",IF(NOTAS!H25&lt;=6.5,"R",IF(NOTAS!H25&lt;=8.5,"B",IF(NOTAS!H25&lt;=10,"E","")))))</f>
        <v/>
      </c>
      <c r="I27" s="137" t="str">
        <f>IF(NOTAS!I25="","",IF(NOTAS!I25&lt;=4.5,"EC",IF(NOTAS!I25&lt;=6.5,"R",IF(NOTAS!I25&lt;=8.5,"B",IF(NOTAS!I25&lt;=10,"E","Error")))))</f>
        <v/>
      </c>
      <c r="J27" s="137" t="str">
        <f>IF(NOTAS!J25="","",IF(NOTAS!J25&lt;=4.5,"EC",IF(NOTAS!J25&lt;=6.5,"R",IF(NOTAS!J25&lt;=8.5,"B",IF(NOTAS!J25&lt;=10,"E","Error")))))</f>
        <v/>
      </c>
      <c r="K27" s="137" t="str">
        <f>IF(NOTAS!K25="","",IF(NOTAS!K25&lt;=4.5,"EC",IF(NOTAS!K25&lt;=6.5,"R",IF(NOTAS!K25&lt;=8.5,"B",IF(NOTAS!K25&lt;=10,"E","Error")))))</f>
        <v/>
      </c>
      <c r="L27" s="138" t="str">
        <f>IF(NOTAS!L25="","",IF(NOTAS!L25&lt;=4.5,"EC",IF(NOTAS!L25&lt;=6.5,"R",IF(NOTAS!L25&lt;=8.5,"B",IF(NOTAS!L25&lt;=10,"E","Error")))))</f>
        <v/>
      </c>
      <c r="M27" s="137" t="str">
        <f>IF(NOTAS!M25="","",IF(NOTAS!M25&lt;=4.5,"EC",IF(NOTAS!M25&lt;=6.5,"R",IF(NOTAS!M25&lt;=8.5,"B",IF(NOTAS!M25&lt;=10,"E","Error")))))</f>
        <v/>
      </c>
      <c r="N27" s="137" t="str">
        <f>IF(NOTAS!N25="","",IF(NOTAS!N25&lt;=4.5,"EC",IF(NOTAS!N25&lt;=6.5,"R",IF(NOTAS!N25&lt;=8.5,"B",IF(NOTAS!N25&lt;=10,"E","Error")))))</f>
        <v/>
      </c>
      <c r="O27" s="137" t="str">
        <f>IF(NOTAS!O25="","",IF(NOTAS!O25&lt;=4.5,"EC",IF(NOTAS!O25&lt;=6.5,"R",IF(NOTAS!O25&lt;=8.5,"B",IF(NOTAS!O25&lt;=10,"E","Error")))))</f>
        <v/>
      </c>
      <c r="P27" s="137" t="str">
        <f>IF(NOTAS!P25="","",IF(NOTAS!P25&lt;=4.5,"EC",IF(NOTAS!P25&lt;=6.5,"R",IF(NOTAS!P25&lt;=8.5,"B",IF(NOTAS!P25&lt;=10,"E","Error")))))</f>
        <v/>
      </c>
      <c r="Q27" s="139" t="str">
        <f>IF(NOTAS!Q25="","",IF(NOTAS!Q25&lt;=4.5,"EC",IF(NOTAS!Q25&lt;=6.5,"R",IF(NOTAS!Q25&lt;=8.5,"B",IF(NOTAS!Q25&lt;=10,"E","Error")))))</f>
        <v/>
      </c>
      <c r="R27" s="137" t="str">
        <f>IF(NOTAS!R25="","",IF(NOTAS!R25&lt;=4.5,"EC",IF(NOTAS!R25&lt;=6.5,"R",IF(NOTAS!R25&lt;=8.5,"B",IF(NOTAS!R25&lt;=10,"E","Error")))))</f>
        <v/>
      </c>
      <c r="S27" s="137" t="str">
        <f>IF(NOTAS!S25="","",IF(NOTAS!S25&lt;=4.5,"EC",IF(NOTAS!S25&lt;=6.5,"R",IF(NOTAS!S25&lt;=8.5,"B",IF(NOTAS!S25&lt;=10,"E","Error")))))</f>
        <v/>
      </c>
      <c r="T27" s="137" t="str">
        <f>IF(NOTAS!T25="","",IF(NOTAS!T25&lt;=4.5,"EC",IF(NOTAS!T25&lt;=6.5,"R",IF(NOTAS!T25&lt;=8.5,"B",IF(NOTAS!T25&lt;=10,"E","Error")))))</f>
        <v/>
      </c>
      <c r="U27" s="137" t="str">
        <f>IF(NOTAS!U25="","",IF(NOTAS!U25&lt;=4.5,"EC",IF(NOTAS!U25&lt;=6.5,"R",IF(NOTAS!U25&lt;=8.5,"B",IF(NOTAS!U25&lt;=10,"E","Error")))))</f>
        <v/>
      </c>
      <c r="V27" s="140" t="str">
        <f>IF(NOTAS!V25="","",IF(NOTAS!V25&lt;=4.5,"EC",IF(NOTAS!V25&lt;=6.5,"R",IF(NOTAS!V25&lt;=8.5,"B",IF(NOTAS!V25&lt;=10,"E","Error")))))</f>
        <v/>
      </c>
      <c r="W27" s="137" t="str">
        <f>IF(NOTAS!W25="","",IF(NOTAS!W25&lt;=4.5,"EC",IF(NOTAS!W25&lt;=6.5,"R",IF(NOTAS!W25&lt;=8.5,"B",IF(NOTAS!W25&lt;=10,"E","Error")))))</f>
        <v/>
      </c>
      <c r="X27" s="137" t="str">
        <f>IF(NOTAS!X25="","",IF(NOTAS!X25&lt;=4.5,"EC",IF(NOTAS!X25&lt;=6.5,"R",IF(NOTAS!X25&lt;=8.5,"B",IF(NOTAS!X25&lt;=10,"E","Error")))))</f>
        <v/>
      </c>
      <c r="Y27" s="137" t="str">
        <f>IF(NOTAS!Y25="","",IF(NOTAS!Y25&lt;=4.5,"EC",IF(NOTAS!Y25&lt;=6.5,"R",IF(NOTAS!Y25&lt;=8.5,"B",IF(NOTAS!Y25&lt;=10,"E","Error")))))</f>
        <v/>
      </c>
      <c r="Z27" s="137" t="str">
        <f>IF(NOTAS!Z25="","",IF(NOTAS!Z25&lt;=4.5,"EC",IF(NOTAS!Z25&lt;=6.5,"R",IF(NOTAS!Z25&lt;=8.5,"B",IF(NOTAS!Z25&lt;=10,"E","Error")))))</f>
        <v/>
      </c>
      <c r="AA27" s="141" t="str">
        <f>IF(NOTAS!AA25="","",IF(NOTAS!AA25&lt;=4.5,"EC",IF(NOTAS!AA25&lt;=6.5,"R",IF(NOTAS!AA25&lt;=8.5,"B",IF(NOTAS!AA25&lt;=10,"E","Error")))))</f>
        <v/>
      </c>
      <c r="AB27" s="137" t="str">
        <f>IF(NOTAS!AB25="","",IF(NOTAS!AB25&lt;=4.5,"EC",IF(NOTAS!AB25&lt;=6.5,"R",IF(NOTAS!AB25&lt;=8.5,"B",IF(NOTAS!AB25&lt;=10,"E","Error")))))</f>
        <v/>
      </c>
      <c r="AC27" s="137" t="str">
        <f>IF(NOTAS!AC25="","",IF(NOTAS!AC25&lt;=4.5,"EC",IF(NOTAS!AC25&lt;=6.5,"R",IF(NOTAS!AC25&lt;=8.5,"B",IF(NOTAS!AC25&lt;=10,"E","Error")))))</f>
        <v/>
      </c>
      <c r="AD27" s="137" t="str">
        <f>IF(NOTAS!AD25="","",IF(NOTAS!AD25&lt;=4.5,"EC",IF(NOTAS!AD25&lt;=6.5,"R",IF(NOTAS!AD25&lt;=8.5,"B",IF(NOTAS!AD25&lt;=10,"E","Error")))))</f>
        <v/>
      </c>
      <c r="AE27" s="137" t="str">
        <f>IF(NOTAS!AE25="","",IF(NOTAS!AE25&lt;=4.5,"EC",IF(NOTAS!AE25&lt;=6.5,"R",IF(NOTAS!AE25&lt;=8.5,"B",IF(NOTAS!AE25&lt;=10,"E","Error")))))</f>
        <v/>
      </c>
      <c r="AF27" s="142" t="str">
        <f>IF(NOTAS!AF25="","",IF(NOTAS!AF25&lt;=4.5,"EC",IF(NOTAS!AF25&lt;=6.5,"R",IF(NOTAS!AF25&lt;=8.5,"B",IF(NOTAS!AF25&lt;=10,"E","Error")))))</f>
        <v/>
      </c>
      <c r="AG27" s="137" t="str">
        <f>IF(NOTAS!AG25="","",IF(NOTAS!AG25&lt;=4.5,"EC",IF(NOTAS!AG25&lt;=6.5,"R",IF(NOTAS!AG25&lt;=8.5,"B",IF(NOTAS!AG25&lt;=10,"E","Error")))))</f>
        <v/>
      </c>
      <c r="AH27" s="137" t="str">
        <f>IF(NOTAS!AH25="","",IF(NOTAS!AH25&lt;=4.5,"EC",IF(NOTAS!AH25&lt;=6.5,"R",IF(NOTAS!AH25&lt;=8.5,"B",IF(NOTAS!AH25&lt;=10,"E","Error")))))</f>
        <v/>
      </c>
      <c r="AI27" s="137" t="str">
        <f>IF(NOTAS!AI25="","",IF(NOTAS!AI25&lt;=4.5,"EC",IF(NOTAS!AI25&lt;=6.5,"R",IF(NOTAS!AI25&lt;=8.5,"B",IF(NOTAS!AI25&lt;=10,"E","Error")))))</f>
        <v/>
      </c>
      <c r="AJ27" s="137" t="str">
        <f>IF(NOTAS!AJ25="","",IF(NOTAS!AJ25&lt;=4.5,"EC",IF(NOTAS!AJ25&lt;=6.5,"R",IF(NOTAS!AJ25&lt;=8.5,"B",IF(NOTAS!AJ25&lt;=10,"E","Error")))))</f>
        <v/>
      </c>
      <c r="AK27" s="136" t="str">
        <f>IF(NOTAS!AK25="","",IF(NOTAS!AK25&lt;=4.5,"EC",IF(NOTAS!AK25&lt;=6.5,"R",IF(NOTAS!AK25&lt;=8.5,"B",IF(NOTAS!AK25&lt;=10,"E","Error")))))</f>
        <v/>
      </c>
      <c r="AL27" s="137" t="str">
        <f>IF(NOTAS!AL25="","",IF(NOTAS!AL25&lt;=4.5,"EC",IF(NOTAS!AL25&lt;=6.5,"R",IF(NOTAS!AL25&lt;=8.5,"B",IF(NOTAS!AL25&lt;=10,"E","Error")))))</f>
        <v/>
      </c>
      <c r="AM27" s="137" t="str">
        <f>IF(NOTAS!AM25="","",IF(NOTAS!AM25&lt;=4.5,"EC",IF(NOTAS!AM25&lt;=6.5,"R",IF(NOTAS!AM25&lt;=8.5,"B",IF(NOTAS!AM25&lt;=10,"E","Error")))))</f>
        <v/>
      </c>
      <c r="AN27" s="137" t="str">
        <f>IF(NOTAS!AN25="","",IF(NOTAS!AN25&lt;=4.5,"EC",IF(NOTAS!AN25&lt;=6.5,"R",IF(NOTAS!AN25&lt;=8.5,"B",IF(NOTAS!AN25&lt;=10,"E","Error")))))</f>
        <v/>
      </c>
      <c r="AO27" s="137" t="str">
        <f>IF(NOTAS!AO25="","",IF(NOTAS!AO25&lt;=4.5,"EC",IF(NOTAS!AO25&lt;=6.5,"R",IF(NOTAS!AO25&lt;=8.5,"B",IF(NOTAS!AO25&lt;=10,"E","Error")))))</f>
        <v/>
      </c>
      <c r="AP27" s="136" t="str">
        <f>IF(NOTAS!AP25="","",IF(NOTAS!AP25&lt;=4.5,"EC",IF(NOTAS!AP25&lt;=6.5,"R",IF(NOTAS!AP25&lt;=8.5,"B",IF(NOTAS!AP25&lt;=10,"E","Error")))))</f>
        <v/>
      </c>
      <c r="AQ27" s="155" t="str">
        <f>NOTAS!AR25</f>
        <v>****</v>
      </c>
      <c r="AR27" s="156" t="str">
        <f>NOTAS!AS25</f>
        <v>****</v>
      </c>
      <c r="AS27" s="157" t="str">
        <f>NOTAS!AT25</f>
        <v>****</v>
      </c>
      <c r="AT27" s="157" t="str">
        <f>NOTAS!AU25</f>
        <v>****</v>
      </c>
    </row>
    <row r="28" spans="1:46" ht="15.75" thickBot="1">
      <c r="A28" s="42">
        <f t="shared" si="0"/>
        <v>19</v>
      </c>
      <c r="B28" s="100" t="str">
        <f>IF(NOTAS!B26&lt;&gt;"",NOTAS!B26,"")</f>
        <v/>
      </c>
      <c r="C28" s="169" t="str">
        <f>IF(NOTAS!C26="","",IF(NOTAS!C26&lt;=4.5,"EC",IF(NOTAS!C26&lt;=6.5,"R",IF(NOTAS!C26&lt;=8.5,"B",IF(NOTAS!C26&lt;=10,"E","Error")))))</f>
        <v/>
      </c>
      <c r="D28" s="170" t="str">
        <f>IF(NOTAS!D26="","",IF(NOTAS!D26&lt;=4.5,"EC",IF(NOTAS!D26&lt;=6.5,"R",IF(NOTAS!D26&lt;=8.5,"B",IF(NOTAS!D26&lt;=10,"E","Error")))))</f>
        <v/>
      </c>
      <c r="E28" s="169" t="str">
        <f>IF(NOTAS!E26="","",IF(NOTAS!E26&lt;=4.5,"EC",IF(NOTAS!E26&lt;=6.5,"R",IF(NOTAS!E26&lt;=8.5,"B",IF(NOTAS!E26&lt;=10,"E","Error")))))</f>
        <v/>
      </c>
      <c r="F28" s="171" t="str">
        <f>IF(NOTAS!F26="","",IF(NOTAS!F26&lt;=4.5,"EC",IF(NOTAS!F26&lt;=6.5,"R",IF(NOTAS!F26&lt;=8.5,"B",IF(NOTAS!F26&lt;=10,"E","Error")))))</f>
        <v/>
      </c>
      <c r="G28" s="136" t="str">
        <f>IF(NOTAS!G26="","",IF(NOTAS!G26&lt;=4.5,"EC",IF(NOTAS!G26&lt;=6.5,"R",IF(NOTAS!G26&lt;=8.5,"B",IF(NOTAS!G26&lt;=10,"E","Error")))))</f>
        <v/>
      </c>
      <c r="H28" s="137" t="str">
        <f>IF(NOTAS!H26="","",IF(NOTAS!H26&lt;=4.5,"EC",IF(NOTAS!H26&lt;=6.5,"R",IF(NOTAS!H26&lt;=8.5,"B",IF(NOTAS!H26&lt;=10,"E","")))))</f>
        <v/>
      </c>
      <c r="I28" s="137" t="str">
        <f>IF(NOTAS!I26="","",IF(NOTAS!I26&lt;=4.5,"EC",IF(NOTAS!I26&lt;=6.5,"R",IF(NOTAS!I26&lt;=8.5,"B",IF(NOTAS!I26&lt;=10,"E","Error")))))</f>
        <v/>
      </c>
      <c r="J28" s="137" t="str">
        <f>IF(NOTAS!J26="","",IF(NOTAS!J26&lt;=4.5,"EC",IF(NOTAS!J26&lt;=6.5,"R",IF(NOTAS!J26&lt;=8.5,"B",IF(NOTAS!J26&lt;=10,"E","Error")))))</f>
        <v/>
      </c>
      <c r="K28" s="137" t="str">
        <f>IF(NOTAS!K26="","",IF(NOTAS!K26&lt;=4.5,"EC",IF(NOTAS!K26&lt;=6.5,"R",IF(NOTAS!K26&lt;=8.5,"B",IF(NOTAS!K26&lt;=10,"E","Error")))))</f>
        <v/>
      </c>
      <c r="L28" s="138" t="str">
        <f>IF(NOTAS!L26="","",IF(NOTAS!L26&lt;=4.5,"EC",IF(NOTAS!L26&lt;=6.5,"R",IF(NOTAS!L26&lt;=8.5,"B",IF(NOTAS!L26&lt;=10,"E","Error")))))</f>
        <v/>
      </c>
      <c r="M28" s="137" t="str">
        <f>IF(NOTAS!M26="","",IF(NOTAS!M26&lt;=4.5,"EC",IF(NOTAS!M26&lt;=6.5,"R",IF(NOTAS!M26&lt;=8.5,"B",IF(NOTAS!M26&lt;=10,"E","Error")))))</f>
        <v/>
      </c>
      <c r="N28" s="137" t="str">
        <f>IF(NOTAS!N26="","",IF(NOTAS!N26&lt;=4.5,"EC",IF(NOTAS!N26&lt;=6.5,"R",IF(NOTAS!N26&lt;=8.5,"B",IF(NOTAS!N26&lt;=10,"E","Error")))))</f>
        <v/>
      </c>
      <c r="O28" s="137" t="str">
        <f>IF(NOTAS!O26="","",IF(NOTAS!O26&lt;=4.5,"EC",IF(NOTAS!O26&lt;=6.5,"R",IF(NOTAS!O26&lt;=8.5,"B",IF(NOTAS!O26&lt;=10,"E","Error")))))</f>
        <v/>
      </c>
      <c r="P28" s="137" t="str">
        <f>IF(NOTAS!P26="","",IF(NOTAS!P26&lt;=4.5,"EC",IF(NOTAS!P26&lt;=6.5,"R",IF(NOTAS!P26&lt;=8.5,"B",IF(NOTAS!P26&lt;=10,"E","Error")))))</f>
        <v/>
      </c>
      <c r="Q28" s="139" t="str">
        <f>IF(NOTAS!Q26="","",IF(NOTAS!Q26&lt;=4.5,"EC",IF(NOTAS!Q26&lt;=6.5,"R",IF(NOTAS!Q26&lt;=8.5,"B",IF(NOTAS!Q26&lt;=10,"E","Error")))))</f>
        <v/>
      </c>
      <c r="R28" s="137" t="str">
        <f>IF(NOTAS!R26="","",IF(NOTAS!R26&lt;=4.5,"EC",IF(NOTAS!R26&lt;=6.5,"R",IF(NOTAS!R26&lt;=8.5,"B",IF(NOTAS!R26&lt;=10,"E","Error")))))</f>
        <v/>
      </c>
      <c r="S28" s="137" t="str">
        <f>IF(NOTAS!S26="","",IF(NOTAS!S26&lt;=4.5,"EC",IF(NOTAS!S26&lt;=6.5,"R",IF(NOTAS!S26&lt;=8.5,"B",IF(NOTAS!S26&lt;=10,"E","Error")))))</f>
        <v/>
      </c>
      <c r="T28" s="137" t="str">
        <f>IF(NOTAS!T26="","",IF(NOTAS!T26&lt;=4.5,"EC",IF(NOTAS!T26&lt;=6.5,"R",IF(NOTAS!T26&lt;=8.5,"B",IF(NOTAS!T26&lt;=10,"E","Error")))))</f>
        <v/>
      </c>
      <c r="U28" s="137" t="str">
        <f>IF(NOTAS!U26="","",IF(NOTAS!U26&lt;=4.5,"EC",IF(NOTAS!U26&lt;=6.5,"R",IF(NOTAS!U26&lt;=8.5,"B",IF(NOTAS!U26&lt;=10,"E","Error")))))</f>
        <v/>
      </c>
      <c r="V28" s="140" t="str">
        <f>IF(NOTAS!V26="","",IF(NOTAS!V26&lt;=4.5,"EC",IF(NOTAS!V26&lt;=6.5,"R",IF(NOTAS!V26&lt;=8.5,"B",IF(NOTAS!V26&lt;=10,"E","Error")))))</f>
        <v/>
      </c>
      <c r="W28" s="137" t="str">
        <f>IF(NOTAS!W26="","",IF(NOTAS!W26&lt;=4.5,"EC",IF(NOTAS!W26&lt;=6.5,"R",IF(NOTAS!W26&lt;=8.5,"B",IF(NOTAS!W26&lt;=10,"E","Error")))))</f>
        <v/>
      </c>
      <c r="X28" s="137" t="str">
        <f>IF(NOTAS!X26="","",IF(NOTAS!X26&lt;=4.5,"EC",IF(NOTAS!X26&lt;=6.5,"R",IF(NOTAS!X26&lt;=8.5,"B",IF(NOTAS!X26&lt;=10,"E","Error")))))</f>
        <v/>
      </c>
      <c r="Y28" s="137" t="str">
        <f>IF(NOTAS!Y26="","",IF(NOTAS!Y26&lt;=4.5,"EC",IF(NOTAS!Y26&lt;=6.5,"R",IF(NOTAS!Y26&lt;=8.5,"B",IF(NOTAS!Y26&lt;=10,"E","Error")))))</f>
        <v/>
      </c>
      <c r="Z28" s="137" t="str">
        <f>IF(NOTAS!Z26="","",IF(NOTAS!Z26&lt;=4.5,"EC",IF(NOTAS!Z26&lt;=6.5,"R",IF(NOTAS!Z26&lt;=8.5,"B",IF(NOTAS!Z26&lt;=10,"E","Error")))))</f>
        <v/>
      </c>
      <c r="AA28" s="141" t="str">
        <f>IF(NOTAS!AA26="","",IF(NOTAS!AA26&lt;=4.5,"EC",IF(NOTAS!AA26&lt;=6.5,"R",IF(NOTAS!AA26&lt;=8.5,"B",IF(NOTAS!AA26&lt;=10,"E","Error")))))</f>
        <v/>
      </c>
      <c r="AB28" s="137" t="str">
        <f>IF(NOTAS!AB26="","",IF(NOTAS!AB26&lt;=4.5,"EC",IF(NOTAS!AB26&lt;=6.5,"R",IF(NOTAS!AB26&lt;=8.5,"B",IF(NOTAS!AB26&lt;=10,"E","Error")))))</f>
        <v/>
      </c>
      <c r="AC28" s="137" t="str">
        <f>IF(NOTAS!AC26="","",IF(NOTAS!AC26&lt;=4.5,"EC",IF(NOTAS!AC26&lt;=6.5,"R",IF(NOTAS!AC26&lt;=8.5,"B",IF(NOTAS!AC26&lt;=10,"E","Error")))))</f>
        <v/>
      </c>
      <c r="AD28" s="137" t="str">
        <f>IF(NOTAS!AD26="","",IF(NOTAS!AD26&lt;=4.5,"EC",IF(NOTAS!AD26&lt;=6.5,"R",IF(NOTAS!AD26&lt;=8.5,"B",IF(NOTAS!AD26&lt;=10,"E","Error")))))</f>
        <v/>
      </c>
      <c r="AE28" s="137" t="str">
        <f>IF(NOTAS!AE26="","",IF(NOTAS!AE26&lt;=4.5,"EC",IF(NOTAS!AE26&lt;=6.5,"R",IF(NOTAS!AE26&lt;=8.5,"B",IF(NOTAS!AE26&lt;=10,"E","Error")))))</f>
        <v/>
      </c>
      <c r="AF28" s="142" t="str">
        <f>IF(NOTAS!AF26="","",IF(NOTAS!AF26&lt;=4.5,"EC",IF(NOTAS!AF26&lt;=6.5,"R",IF(NOTAS!AF26&lt;=8.5,"B",IF(NOTAS!AF26&lt;=10,"E","Error")))))</f>
        <v/>
      </c>
      <c r="AG28" s="137" t="str">
        <f>IF(NOTAS!AG26="","",IF(NOTAS!AG26&lt;=4.5,"EC",IF(NOTAS!AG26&lt;=6.5,"R",IF(NOTAS!AG26&lt;=8.5,"B",IF(NOTAS!AG26&lt;=10,"E","Error")))))</f>
        <v/>
      </c>
      <c r="AH28" s="137" t="str">
        <f>IF(NOTAS!AH26="","",IF(NOTAS!AH26&lt;=4.5,"EC",IF(NOTAS!AH26&lt;=6.5,"R",IF(NOTAS!AH26&lt;=8.5,"B",IF(NOTAS!AH26&lt;=10,"E","Error")))))</f>
        <v/>
      </c>
      <c r="AI28" s="137" t="str">
        <f>IF(NOTAS!AI26="","",IF(NOTAS!AI26&lt;=4.5,"EC",IF(NOTAS!AI26&lt;=6.5,"R",IF(NOTAS!AI26&lt;=8.5,"B",IF(NOTAS!AI26&lt;=10,"E","Error")))))</f>
        <v/>
      </c>
      <c r="AJ28" s="137" t="str">
        <f>IF(NOTAS!AJ26="","",IF(NOTAS!AJ26&lt;=4.5,"EC",IF(NOTAS!AJ26&lt;=6.5,"R",IF(NOTAS!AJ26&lt;=8.5,"B",IF(NOTAS!AJ26&lt;=10,"E","Error")))))</f>
        <v/>
      </c>
      <c r="AK28" s="136" t="str">
        <f>IF(NOTAS!AK26="","",IF(NOTAS!AK26&lt;=4.5,"EC",IF(NOTAS!AK26&lt;=6.5,"R",IF(NOTAS!AK26&lt;=8.5,"B",IF(NOTAS!AK26&lt;=10,"E","Error")))))</f>
        <v/>
      </c>
      <c r="AL28" s="137" t="str">
        <f>IF(NOTAS!AL26="","",IF(NOTAS!AL26&lt;=4.5,"EC",IF(NOTAS!AL26&lt;=6.5,"R",IF(NOTAS!AL26&lt;=8.5,"B",IF(NOTAS!AL26&lt;=10,"E","Error")))))</f>
        <v/>
      </c>
      <c r="AM28" s="137" t="str">
        <f>IF(NOTAS!AM26="","",IF(NOTAS!AM26&lt;=4.5,"EC",IF(NOTAS!AM26&lt;=6.5,"R",IF(NOTAS!AM26&lt;=8.5,"B",IF(NOTAS!AM26&lt;=10,"E","Error")))))</f>
        <v/>
      </c>
      <c r="AN28" s="137" t="str">
        <f>IF(NOTAS!AN26="","",IF(NOTAS!AN26&lt;=4.5,"EC",IF(NOTAS!AN26&lt;=6.5,"R",IF(NOTAS!AN26&lt;=8.5,"B",IF(NOTAS!AN26&lt;=10,"E","Error")))))</f>
        <v/>
      </c>
      <c r="AO28" s="137" t="str">
        <f>IF(NOTAS!AO26="","",IF(NOTAS!AO26&lt;=4.5,"EC",IF(NOTAS!AO26&lt;=6.5,"R",IF(NOTAS!AO26&lt;=8.5,"B",IF(NOTAS!AO26&lt;=10,"E","Error")))))</f>
        <v/>
      </c>
      <c r="AP28" s="136" t="str">
        <f>IF(NOTAS!AP26="","",IF(NOTAS!AP26&lt;=4.5,"EC",IF(NOTAS!AP26&lt;=6.5,"R",IF(NOTAS!AP26&lt;=8.5,"B",IF(NOTAS!AP26&lt;=10,"E","Error")))))</f>
        <v/>
      </c>
      <c r="AQ28" s="155" t="str">
        <f>NOTAS!AR26</f>
        <v>****</v>
      </c>
      <c r="AR28" s="156" t="str">
        <f>NOTAS!AS26</f>
        <v>****</v>
      </c>
      <c r="AS28" s="157" t="str">
        <f>NOTAS!AT26</f>
        <v>****</v>
      </c>
      <c r="AT28" s="157" t="str">
        <f>NOTAS!AU26</f>
        <v>****</v>
      </c>
    </row>
    <row r="29" spans="1:46" ht="15.75" thickBot="1">
      <c r="A29" s="42">
        <f t="shared" si="0"/>
        <v>20</v>
      </c>
      <c r="B29" s="100" t="str">
        <f>IF(NOTAS!B27&lt;&gt;"",NOTAS!B27,"")</f>
        <v/>
      </c>
      <c r="C29" s="172" t="str">
        <f>IF(NOTAS!C27="","",IF(NOTAS!C27&lt;=4.5,"EC",IF(NOTAS!C27&lt;=6.5,"R",IF(NOTAS!C27&lt;=8.5,"B",IF(NOTAS!C27&lt;=10,"E","Error")))))</f>
        <v/>
      </c>
      <c r="D29" s="173" t="str">
        <f>IF(NOTAS!D27="","",IF(NOTAS!D27&lt;=4.5,"EC",IF(NOTAS!D27&lt;=6.5,"R",IF(NOTAS!D27&lt;=8.5,"B",IF(NOTAS!D27&lt;=10,"E","Error")))))</f>
        <v/>
      </c>
      <c r="E29" s="172" t="str">
        <f>IF(NOTAS!E27="","",IF(NOTAS!E27&lt;=4.5,"EC",IF(NOTAS!E27&lt;=6.5,"R",IF(NOTAS!E27&lt;=8.5,"B",IF(NOTAS!E27&lt;=10,"E","Error")))))</f>
        <v/>
      </c>
      <c r="F29" s="173" t="str">
        <f>IF(NOTAS!F27="","",IF(NOTAS!F27&lt;=4.5,"EC",IF(NOTAS!F27&lt;=6.5,"R",IF(NOTAS!F27&lt;=8.5,"B",IF(NOTAS!F27&lt;=10,"E","Error")))))</f>
        <v/>
      </c>
      <c r="G29" s="174" t="str">
        <f>IF(NOTAS!G27="","",IF(NOTAS!G27&lt;=4.5,"EC",IF(NOTAS!G27&lt;=6.5,"R",IF(NOTAS!G27&lt;=8.5,"B",IF(NOTAS!G27&lt;=10,"E","Error")))))</f>
        <v/>
      </c>
      <c r="H29" s="137" t="str">
        <f>IF(NOTAS!H27="","",IF(NOTAS!H27&lt;=4.5,"EC",IF(NOTAS!H27&lt;=6.5,"R",IF(NOTAS!H27&lt;=8.5,"B",IF(NOTAS!H27&lt;=10,"E","")))))</f>
        <v/>
      </c>
      <c r="I29" s="137" t="str">
        <f>IF(NOTAS!I27="","",IF(NOTAS!I27&lt;=4.5,"EC",IF(NOTAS!I27&lt;=6.5,"R",IF(NOTAS!I27&lt;=8.5,"B",IF(NOTAS!I27&lt;=10,"E","Error")))))</f>
        <v/>
      </c>
      <c r="J29" s="137" t="str">
        <f>IF(NOTAS!J27="","",IF(NOTAS!J27&lt;=4.5,"EC",IF(NOTAS!J27&lt;=6.5,"R",IF(NOTAS!J27&lt;=8.5,"B",IF(NOTAS!J27&lt;=10,"E","Error")))))</f>
        <v/>
      </c>
      <c r="K29" s="137" t="str">
        <f>IF(NOTAS!K27="","",IF(NOTAS!K27&lt;=4.5,"EC",IF(NOTAS!K27&lt;=6.5,"R",IF(NOTAS!K27&lt;=8.5,"B",IF(NOTAS!K27&lt;=10,"E","Error")))))</f>
        <v/>
      </c>
      <c r="L29" s="138" t="str">
        <f>IF(NOTAS!L27="","",IF(NOTAS!L27&lt;=4.5,"EC",IF(NOTAS!L27&lt;=6.5,"R",IF(NOTAS!L27&lt;=8.5,"B",IF(NOTAS!L27&lt;=10,"E","Error")))))</f>
        <v/>
      </c>
      <c r="M29" s="137" t="str">
        <f>IF(NOTAS!M27="","",IF(NOTAS!M27&lt;=4.5,"EC",IF(NOTAS!M27&lt;=6.5,"R",IF(NOTAS!M27&lt;=8.5,"B",IF(NOTAS!M27&lt;=10,"E","Error")))))</f>
        <v/>
      </c>
      <c r="N29" s="137" t="str">
        <f>IF(NOTAS!N27="","",IF(NOTAS!N27&lt;=4.5,"EC",IF(NOTAS!N27&lt;=6.5,"R",IF(NOTAS!N27&lt;=8.5,"B",IF(NOTAS!N27&lt;=10,"E","Error")))))</f>
        <v/>
      </c>
      <c r="O29" s="137" t="str">
        <f>IF(NOTAS!O27="","",IF(NOTAS!O27&lt;=4.5,"EC",IF(NOTAS!O27&lt;=6.5,"R",IF(NOTAS!O27&lt;=8.5,"B",IF(NOTAS!O27&lt;=10,"E","Error")))))</f>
        <v/>
      </c>
      <c r="P29" s="137" t="str">
        <f>IF(NOTAS!P27="","",IF(NOTAS!P27&lt;=4.5,"EC",IF(NOTAS!P27&lt;=6.5,"R",IF(NOTAS!P27&lt;=8.5,"B",IF(NOTAS!P27&lt;=10,"E","Error")))))</f>
        <v/>
      </c>
      <c r="Q29" s="139" t="str">
        <f>IF(NOTAS!Q27="","",IF(NOTAS!Q27&lt;=4.5,"EC",IF(NOTAS!Q27&lt;=6.5,"R",IF(NOTAS!Q27&lt;=8.5,"B",IF(NOTAS!Q27&lt;=10,"E","Error")))))</f>
        <v/>
      </c>
      <c r="R29" s="137" t="str">
        <f>IF(NOTAS!R27="","",IF(NOTAS!R27&lt;=4.5,"EC",IF(NOTAS!R27&lt;=6.5,"R",IF(NOTAS!R27&lt;=8.5,"B",IF(NOTAS!R27&lt;=10,"E","Error")))))</f>
        <v/>
      </c>
      <c r="S29" s="137" t="str">
        <f>IF(NOTAS!S27="","",IF(NOTAS!S27&lt;=4.5,"EC",IF(NOTAS!S27&lt;=6.5,"R",IF(NOTAS!S27&lt;=8.5,"B",IF(NOTAS!S27&lt;=10,"E","Error")))))</f>
        <v/>
      </c>
      <c r="T29" s="137" t="str">
        <f>IF(NOTAS!T27="","",IF(NOTAS!T27&lt;=4.5,"EC",IF(NOTAS!T27&lt;=6.5,"R",IF(NOTAS!T27&lt;=8.5,"B",IF(NOTAS!T27&lt;=10,"E","Error")))))</f>
        <v/>
      </c>
      <c r="U29" s="137" t="str">
        <f>IF(NOTAS!U27="","",IF(NOTAS!U27&lt;=4.5,"EC",IF(NOTAS!U27&lt;=6.5,"R",IF(NOTAS!U27&lt;=8.5,"B",IF(NOTAS!U27&lt;=10,"E","Error")))))</f>
        <v/>
      </c>
      <c r="V29" s="140" t="str">
        <f>IF(NOTAS!V27="","",IF(NOTAS!V27&lt;=4.5,"EC",IF(NOTAS!V27&lt;=6.5,"R",IF(NOTAS!V27&lt;=8.5,"B",IF(NOTAS!V27&lt;=10,"E","Error")))))</f>
        <v/>
      </c>
      <c r="W29" s="137" t="str">
        <f>IF(NOTAS!W27="","",IF(NOTAS!W27&lt;=4.5,"EC",IF(NOTAS!W27&lt;=6.5,"R",IF(NOTAS!W27&lt;=8.5,"B",IF(NOTAS!W27&lt;=10,"E","Error")))))</f>
        <v/>
      </c>
      <c r="X29" s="137" t="str">
        <f>IF(NOTAS!X27="","",IF(NOTAS!X27&lt;=4.5,"EC",IF(NOTAS!X27&lt;=6.5,"R",IF(NOTAS!X27&lt;=8.5,"B",IF(NOTAS!X27&lt;=10,"E","Error")))))</f>
        <v/>
      </c>
      <c r="Y29" s="137" t="str">
        <f>IF(NOTAS!Y27="","",IF(NOTAS!Y27&lt;=4.5,"EC",IF(NOTAS!Y27&lt;=6.5,"R",IF(NOTAS!Y27&lt;=8.5,"B",IF(NOTAS!Y27&lt;=10,"E","Error")))))</f>
        <v/>
      </c>
      <c r="Z29" s="137" t="str">
        <f>IF(NOTAS!Z27="","",IF(NOTAS!Z27&lt;=4.5,"EC",IF(NOTAS!Z27&lt;=6.5,"R",IF(NOTAS!Z27&lt;=8.5,"B",IF(NOTAS!Z27&lt;=10,"E","Error")))))</f>
        <v/>
      </c>
      <c r="AA29" s="141" t="str">
        <f>IF(NOTAS!AA27="","",IF(NOTAS!AA27&lt;=4.5,"EC",IF(NOTAS!AA27&lt;=6.5,"R",IF(NOTAS!AA27&lt;=8.5,"B",IF(NOTAS!AA27&lt;=10,"E","Error")))))</f>
        <v/>
      </c>
      <c r="AB29" s="137" t="str">
        <f>IF(NOTAS!AB27="","",IF(NOTAS!AB27&lt;=4.5,"EC",IF(NOTAS!AB27&lt;=6.5,"R",IF(NOTAS!AB27&lt;=8.5,"B",IF(NOTAS!AB27&lt;=10,"E","Error")))))</f>
        <v/>
      </c>
      <c r="AC29" s="137" t="str">
        <f>IF(NOTAS!AC27="","",IF(NOTAS!AC27&lt;=4.5,"EC",IF(NOTAS!AC27&lt;=6.5,"R",IF(NOTAS!AC27&lt;=8.5,"B",IF(NOTAS!AC27&lt;=10,"E","Error")))))</f>
        <v/>
      </c>
      <c r="AD29" s="137" t="str">
        <f>IF(NOTAS!AD27="","",IF(NOTAS!AD27&lt;=4.5,"EC",IF(NOTAS!AD27&lt;=6.5,"R",IF(NOTAS!AD27&lt;=8.5,"B",IF(NOTAS!AD27&lt;=10,"E","Error")))))</f>
        <v/>
      </c>
      <c r="AE29" s="137" t="str">
        <f>IF(NOTAS!AE27="","",IF(NOTAS!AE27&lt;=4.5,"EC",IF(NOTAS!AE27&lt;=6.5,"R",IF(NOTAS!AE27&lt;=8.5,"B",IF(NOTAS!AE27&lt;=10,"E","Error")))))</f>
        <v/>
      </c>
      <c r="AF29" s="142" t="str">
        <f>IF(NOTAS!AF27="","",IF(NOTAS!AF27&lt;=4.5,"EC",IF(NOTAS!AF27&lt;=6.5,"R",IF(NOTAS!AF27&lt;=8.5,"B",IF(NOTAS!AF27&lt;=10,"E","Error")))))</f>
        <v/>
      </c>
      <c r="AG29" s="137" t="str">
        <f>IF(NOTAS!AG27="","",IF(NOTAS!AG27&lt;=4.5,"EC",IF(NOTAS!AG27&lt;=6.5,"R",IF(NOTAS!AG27&lt;=8.5,"B",IF(NOTAS!AG27&lt;=10,"E","Error")))))</f>
        <v/>
      </c>
      <c r="AH29" s="137" t="str">
        <f>IF(NOTAS!AH27="","",IF(NOTAS!AH27&lt;=4.5,"EC",IF(NOTAS!AH27&lt;=6.5,"R",IF(NOTAS!AH27&lt;=8.5,"B",IF(NOTAS!AH27&lt;=10,"E","Error")))))</f>
        <v/>
      </c>
      <c r="AI29" s="137" t="str">
        <f>IF(NOTAS!AI27="","",IF(NOTAS!AI27&lt;=4.5,"EC",IF(NOTAS!AI27&lt;=6.5,"R",IF(NOTAS!AI27&lt;=8.5,"B",IF(NOTAS!AI27&lt;=10,"E","Error")))))</f>
        <v/>
      </c>
      <c r="AJ29" s="137" t="str">
        <f>IF(NOTAS!AJ27="","",IF(NOTAS!AJ27&lt;=4.5,"EC",IF(NOTAS!AJ27&lt;=6.5,"R",IF(NOTAS!AJ27&lt;=8.5,"B",IF(NOTAS!AJ27&lt;=10,"E","Error")))))</f>
        <v/>
      </c>
      <c r="AK29" s="136" t="str">
        <f>IF(NOTAS!AK27="","",IF(NOTAS!AK27&lt;=4.5,"EC",IF(NOTAS!AK27&lt;=6.5,"R",IF(NOTAS!AK27&lt;=8.5,"B",IF(NOTAS!AK27&lt;=10,"E","Error")))))</f>
        <v/>
      </c>
      <c r="AL29" s="137" t="str">
        <f>IF(NOTAS!AL27="","",IF(NOTAS!AL27&lt;=4.5,"EC",IF(NOTAS!AL27&lt;=6.5,"R",IF(NOTAS!AL27&lt;=8.5,"B",IF(NOTAS!AL27&lt;=10,"E","Error")))))</f>
        <v/>
      </c>
      <c r="AM29" s="137" t="str">
        <f>IF(NOTAS!AM27="","",IF(NOTAS!AM27&lt;=4.5,"EC",IF(NOTAS!AM27&lt;=6.5,"R",IF(NOTAS!AM27&lt;=8.5,"B",IF(NOTAS!AM27&lt;=10,"E","Error")))))</f>
        <v/>
      </c>
      <c r="AN29" s="137" t="str">
        <f>IF(NOTAS!AN27="","",IF(NOTAS!AN27&lt;=4.5,"EC",IF(NOTAS!AN27&lt;=6.5,"R",IF(NOTAS!AN27&lt;=8.5,"B",IF(NOTAS!AN27&lt;=10,"E","Error")))))</f>
        <v/>
      </c>
      <c r="AO29" s="137" t="str">
        <f>IF(NOTAS!AO27="","",IF(NOTAS!AO27&lt;=4.5,"EC",IF(NOTAS!AO27&lt;=6.5,"R",IF(NOTAS!AO27&lt;=8.5,"B",IF(NOTAS!AO27&lt;=10,"E","Error")))))</f>
        <v/>
      </c>
      <c r="AP29" s="136" t="str">
        <f>IF(NOTAS!AP27="","",IF(NOTAS!AP27&lt;=4.5,"EC",IF(NOTAS!AP27&lt;=6.5,"R",IF(NOTAS!AP27&lt;=8.5,"B",IF(NOTAS!AP27&lt;=10,"E","Error")))))</f>
        <v/>
      </c>
      <c r="AQ29" s="155" t="str">
        <f>NOTAS!AR27</f>
        <v>****</v>
      </c>
      <c r="AR29" s="156" t="str">
        <f>NOTAS!AS27</f>
        <v>****</v>
      </c>
      <c r="AS29" s="157" t="str">
        <f>NOTAS!AT27</f>
        <v>****</v>
      </c>
      <c r="AT29" s="157" t="str">
        <f>NOTAS!AU27</f>
        <v>****</v>
      </c>
    </row>
    <row r="30" spans="1:46" ht="15.75" thickBot="1">
      <c r="A30" s="42">
        <f t="shared" si="0"/>
        <v>21</v>
      </c>
      <c r="B30" s="100" t="str">
        <f>IF(NOTAS!B28&lt;&gt;"",NOTAS!B28,"")</f>
        <v/>
      </c>
      <c r="C30" s="169" t="str">
        <f>IF(NOTAS!C28="","",IF(NOTAS!C28&lt;=4.5,"EC",IF(NOTAS!C28&lt;=6.5,"R",IF(NOTAS!C28&lt;=8.5,"B",IF(NOTAS!C28&lt;=10,"E","Error")))))</f>
        <v/>
      </c>
      <c r="D30" s="170" t="str">
        <f>IF(NOTAS!D28="","",IF(NOTAS!D28&lt;=4.5,"EC",IF(NOTAS!D28&lt;=6.5,"R",IF(NOTAS!D28&lt;=8.5,"B",IF(NOTAS!D28&lt;=10,"E","Error")))))</f>
        <v/>
      </c>
      <c r="E30" s="169" t="str">
        <f>IF(NOTAS!E28="","",IF(NOTAS!E28&lt;=4.5,"EC",IF(NOTAS!E28&lt;=6.5,"R",IF(NOTAS!E28&lt;=8.5,"B",IF(NOTAS!E28&lt;=10,"E","Error")))))</f>
        <v/>
      </c>
      <c r="F30" s="170" t="str">
        <f>IF(NOTAS!F28="","",IF(NOTAS!F28&lt;=4.5,"EC",IF(NOTAS!F28&lt;=6.5,"R",IF(NOTAS!F28&lt;=8.5,"B",IF(NOTAS!F28&lt;=10,"E","Error")))))</f>
        <v/>
      </c>
      <c r="G30" s="176" t="str">
        <f>IF(NOTAS!G28="","",IF(NOTAS!G28&lt;=4.5,"EC",IF(NOTAS!G28&lt;=6.5,"R",IF(NOTAS!G28&lt;=8.5,"B",IF(NOTAS!G28&lt;=10,"E","Error")))))</f>
        <v/>
      </c>
      <c r="H30" s="137" t="str">
        <f>IF(NOTAS!H28="","",IF(NOTAS!H28&lt;=4.5,"EC",IF(NOTAS!H28&lt;=6.5,"R",IF(NOTAS!H28&lt;=8.5,"B",IF(NOTAS!H28&lt;=10,"E","")))))</f>
        <v/>
      </c>
      <c r="I30" s="137" t="str">
        <f>IF(NOTAS!I28="","",IF(NOTAS!I28&lt;=4.5,"EC",IF(NOTAS!I28&lt;=6.5,"R",IF(NOTAS!I28&lt;=8.5,"B",IF(NOTAS!I28&lt;=10,"E","Error")))))</f>
        <v/>
      </c>
      <c r="J30" s="137" t="str">
        <f>IF(NOTAS!J28="","",IF(NOTAS!J28&lt;=4.5,"EC",IF(NOTAS!J28&lt;=6.5,"R",IF(NOTAS!J28&lt;=8.5,"B",IF(NOTAS!J28&lt;=10,"E","Error")))))</f>
        <v/>
      </c>
      <c r="K30" s="137" t="str">
        <f>IF(NOTAS!K28="","",IF(NOTAS!K28&lt;=4.5,"EC",IF(NOTAS!K28&lt;=6.5,"R",IF(NOTAS!K28&lt;=8.5,"B",IF(NOTAS!K28&lt;=10,"E","Error")))))</f>
        <v/>
      </c>
      <c r="L30" s="138" t="str">
        <f>IF(NOTAS!L28="","",IF(NOTAS!L28&lt;=4.5,"EC",IF(NOTAS!L28&lt;=6.5,"R",IF(NOTAS!L28&lt;=8.5,"B",IF(NOTAS!L28&lt;=10,"E","Error")))))</f>
        <v/>
      </c>
      <c r="M30" s="137" t="str">
        <f>IF(NOTAS!M28="","",IF(NOTAS!M28&lt;=4.5,"EC",IF(NOTAS!M28&lt;=6.5,"R",IF(NOTAS!M28&lt;=8.5,"B",IF(NOTAS!M28&lt;=10,"E","Error")))))</f>
        <v/>
      </c>
      <c r="N30" s="137" t="str">
        <f>IF(NOTAS!N28="","",IF(NOTAS!N28&lt;=4.5,"EC",IF(NOTAS!N28&lt;=6.5,"R",IF(NOTAS!N28&lt;=8.5,"B",IF(NOTAS!N28&lt;=10,"E","Error")))))</f>
        <v/>
      </c>
      <c r="O30" s="137" t="str">
        <f>IF(NOTAS!O28="","",IF(NOTAS!O28&lt;=4.5,"EC",IF(NOTAS!O28&lt;=6.5,"R",IF(NOTAS!O28&lt;=8.5,"B",IF(NOTAS!O28&lt;=10,"E","Error")))))</f>
        <v/>
      </c>
      <c r="P30" s="137" t="str">
        <f>IF(NOTAS!P28="","",IF(NOTAS!P28&lt;=4.5,"EC",IF(NOTAS!P28&lt;=6.5,"R",IF(NOTAS!P28&lt;=8.5,"B",IF(NOTAS!P28&lt;=10,"E","Error")))))</f>
        <v/>
      </c>
      <c r="Q30" s="139" t="str">
        <f>IF(NOTAS!Q28="","",IF(NOTAS!Q28&lt;=4.5,"EC",IF(NOTAS!Q28&lt;=6.5,"R",IF(NOTAS!Q28&lt;=8.5,"B",IF(NOTAS!Q28&lt;=10,"E","Error")))))</f>
        <v/>
      </c>
      <c r="R30" s="137" t="str">
        <f>IF(NOTAS!R28="","",IF(NOTAS!R28&lt;=4.5,"EC",IF(NOTAS!R28&lt;=6.5,"R",IF(NOTAS!R28&lt;=8.5,"B",IF(NOTAS!R28&lt;=10,"E","Error")))))</f>
        <v/>
      </c>
      <c r="S30" s="137" t="str">
        <f>IF(NOTAS!S28="","",IF(NOTAS!S28&lt;=4.5,"EC",IF(NOTAS!S28&lt;=6.5,"R",IF(NOTAS!S28&lt;=8.5,"B",IF(NOTAS!S28&lt;=10,"E","Error")))))</f>
        <v/>
      </c>
      <c r="T30" s="137" t="str">
        <f>IF(NOTAS!T28="","",IF(NOTAS!T28&lt;=4.5,"EC",IF(NOTAS!T28&lt;=6.5,"R",IF(NOTAS!T28&lt;=8.5,"B",IF(NOTAS!T28&lt;=10,"E","Error")))))</f>
        <v/>
      </c>
      <c r="U30" s="137" t="str">
        <f>IF(NOTAS!U28="","",IF(NOTAS!U28&lt;=4.5,"EC",IF(NOTAS!U28&lt;=6.5,"R",IF(NOTAS!U28&lt;=8.5,"B",IF(NOTAS!U28&lt;=10,"E","Error")))))</f>
        <v/>
      </c>
      <c r="V30" s="140" t="str">
        <f>IF(NOTAS!V28="","",IF(NOTAS!V28&lt;=4.5,"EC",IF(NOTAS!V28&lt;=6.5,"R",IF(NOTAS!V28&lt;=8.5,"B",IF(NOTAS!V28&lt;=10,"E","Error")))))</f>
        <v/>
      </c>
      <c r="W30" s="137" t="str">
        <f>IF(NOTAS!W28="","",IF(NOTAS!W28&lt;=4.5,"EC",IF(NOTAS!W28&lt;=6.5,"R",IF(NOTAS!W28&lt;=8.5,"B",IF(NOTAS!W28&lt;=10,"E","Error")))))</f>
        <v/>
      </c>
      <c r="X30" s="137" t="str">
        <f>IF(NOTAS!X28="","",IF(NOTAS!X28&lt;=4.5,"EC",IF(NOTAS!X28&lt;=6.5,"R",IF(NOTAS!X28&lt;=8.5,"B",IF(NOTAS!X28&lt;=10,"E","Error")))))</f>
        <v/>
      </c>
      <c r="Y30" s="137" t="str">
        <f>IF(NOTAS!Y28="","",IF(NOTAS!Y28&lt;=4.5,"EC",IF(NOTAS!Y28&lt;=6.5,"R",IF(NOTAS!Y28&lt;=8.5,"B",IF(NOTAS!Y28&lt;=10,"E","Error")))))</f>
        <v/>
      </c>
      <c r="Z30" s="137" t="str">
        <f>IF(NOTAS!Z28="","",IF(NOTAS!Z28&lt;=4.5,"EC",IF(NOTAS!Z28&lt;=6.5,"R",IF(NOTAS!Z28&lt;=8.5,"B",IF(NOTAS!Z28&lt;=10,"E","Error")))))</f>
        <v/>
      </c>
      <c r="AA30" s="141" t="str">
        <f>IF(NOTAS!AA28="","",IF(NOTAS!AA28&lt;=4.5,"EC",IF(NOTAS!AA28&lt;=6.5,"R",IF(NOTAS!AA28&lt;=8.5,"B",IF(NOTAS!AA28&lt;=10,"E","Error")))))</f>
        <v/>
      </c>
      <c r="AB30" s="137" t="str">
        <f>IF(NOTAS!AB28="","",IF(NOTAS!AB28&lt;=4.5,"EC",IF(NOTAS!AB28&lt;=6.5,"R",IF(NOTAS!AB28&lt;=8.5,"B",IF(NOTAS!AB28&lt;=10,"E","Error")))))</f>
        <v/>
      </c>
      <c r="AC30" s="137" t="str">
        <f>IF(NOTAS!AC28="","",IF(NOTAS!AC28&lt;=4.5,"EC",IF(NOTAS!AC28&lt;=6.5,"R",IF(NOTAS!AC28&lt;=8.5,"B",IF(NOTAS!AC28&lt;=10,"E","Error")))))</f>
        <v/>
      </c>
      <c r="AD30" s="137" t="str">
        <f>IF(NOTAS!AD28="","",IF(NOTAS!AD28&lt;=4.5,"EC",IF(NOTAS!AD28&lt;=6.5,"R",IF(NOTAS!AD28&lt;=8.5,"B",IF(NOTAS!AD28&lt;=10,"E","Error")))))</f>
        <v/>
      </c>
      <c r="AE30" s="137" t="str">
        <f>IF(NOTAS!AE28="","",IF(NOTAS!AE28&lt;=4.5,"EC",IF(NOTAS!AE28&lt;=6.5,"R",IF(NOTAS!AE28&lt;=8.5,"B",IF(NOTAS!AE28&lt;=10,"E","Error")))))</f>
        <v/>
      </c>
      <c r="AF30" s="142" t="str">
        <f>IF(NOTAS!AF28="","",IF(NOTAS!AF28&lt;=4.5,"EC",IF(NOTAS!AF28&lt;=6.5,"R",IF(NOTAS!AF28&lt;=8.5,"B",IF(NOTAS!AF28&lt;=10,"E","Error")))))</f>
        <v/>
      </c>
      <c r="AG30" s="137" t="str">
        <f>IF(NOTAS!AG28="","",IF(NOTAS!AG28&lt;=4.5,"EC",IF(NOTAS!AG28&lt;=6.5,"R",IF(NOTAS!AG28&lt;=8.5,"B",IF(NOTAS!AG28&lt;=10,"E","Error")))))</f>
        <v/>
      </c>
      <c r="AH30" s="137" t="str">
        <f>IF(NOTAS!AH28="","",IF(NOTAS!AH28&lt;=4.5,"EC",IF(NOTAS!AH28&lt;=6.5,"R",IF(NOTAS!AH28&lt;=8.5,"B",IF(NOTAS!AH28&lt;=10,"E","Error")))))</f>
        <v/>
      </c>
      <c r="AI30" s="137" t="str">
        <f>IF(NOTAS!AI28="","",IF(NOTAS!AI28&lt;=4.5,"EC",IF(NOTAS!AI28&lt;=6.5,"R",IF(NOTAS!AI28&lt;=8.5,"B",IF(NOTAS!AI28&lt;=10,"E","Error")))))</f>
        <v/>
      </c>
      <c r="AJ30" s="137" t="str">
        <f>IF(NOTAS!AJ28="","",IF(NOTAS!AJ28&lt;=4.5,"EC",IF(NOTAS!AJ28&lt;=6.5,"R",IF(NOTAS!AJ28&lt;=8.5,"B",IF(NOTAS!AJ28&lt;=10,"E","Error")))))</f>
        <v/>
      </c>
      <c r="AK30" s="136" t="str">
        <f>IF(NOTAS!AK28="","",IF(NOTAS!AK28&lt;=4.5,"EC",IF(NOTAS!AK28&lt;=6.5,"R",IF(NOTAS!AK28&lt;=8.5,"B",IF(NOTAS!AK28&lt;=10,"E","Error")))))</f>
        <v/>
      </c>
      <c r="AL30" s="137" t="str">
        <f>IF(NOTAS!AL28="","",IF(NOTAS!AL28&lt;=4.5,"EC",IF(NOTAS!AL28&lt;=6.5,"R",IF(NOTAS!AL28&lt;=8.5,"B",IF(NOTAS!AL28&lt;=10,"E","Error")))))</f>
        <v/>
      </c>
      <c r="AM30" s="137" t="str">
        <f>IF(NOTAS!AM28="","",IF(NOTAS!AM28&lt;=4.5,"EC",IF(NOTAS!AM28&lt;=6.5,"R",IF(NOTAS!AM28&lt;=8.5,"B",IF(NOTAS!AM28&lt;=10,"E","Error")))))</f>
        <v/>
      </c>
      <c r="AN30" s="137" t="str">
        <f>IF(NOTAS!AN28="","",IF(NOTAS!AN28&lt;=4.5,"EC",IF(NOTAS!AN28&lt;=6.5,"R",IF(NOTAS!AN28&lt;=8.5,"B",IF(NOTAS!AN28&lt;=10,"E","Error")))))</f>
        <v/>
      </c>
      <c r="AO30" s="137" t="str">
        <f>IF(NOTAS!AO28="","",IF(NOTAS!AO28&lt;=4.5,"EC",IF(NOTAS!AO28&lt;=6.5,"R",IF(NOTAS!AO28&lt;=8.5,"B",IF(NOTAS!AO28&lt;=10,"E","Error")))))</f>
        <v/>
      </c>
      <c r="AP30" s="136" t="str">
        <f>IF(NOTAS!AP28="","",IF(NOTAS!AP28&lt;=4.5,"EC",IF(NOTAS!AP28&lt;=6.5,"R",IF(NOTAS!AP28&lt;=8.5,"B",IF(NOTAS!AP28&lt;=10,"E","Error")))))</f>
        <v/>
      </c>
      <c r="AQ30" s="155" t="str">
        <f>NOTAS!AR28</f>
        <v>****</v>
      </c>
      <c r="AR30" s="156" t="str">
        <f>NOTAS!AS28</f>
        <v>****</v>
      </c>
      <c r="AS30" s="157" t="str">
        <f>NOTAS!AT28</f>
        <v>****</v>
      </c>
      <c r="AT30" s="157" t="str">
        <f>NOTAS!AU28</f>
        <v>****</v>
      </c>
    </row>
    <row r="31" spans="1:46" ht="15.75" thickBot="1">
      <c r="A31" s="42">
        <f t="shared" si="0"/>
        <v>22</v>
      </c>
      <c r="B31" s="177" t="str">
        <f>IF(NOTAS!B29&lt;&gt;"",NOTAS!B29,"")</f>
        <v/>
      </c>
      <c r="C31" s="172" t="str">
        <f>IF(NOTAS!C29="","",IF(NOTAS!C29&lt;=4.5,"EC",IF(NOTAS!C29&lt;=6.5,"R",IF(NOTAS!C29&lt;=8.5,"B",IF(NOTAS!C29&lt;=10,"E","Error")))))</f>
        <v/>
      </c>
      <c r="D31" s="173" t="str">
        <f>IF(NOTAS!D29="","",IF(NOTAS!D29&lt;=4.5,"EC",IF(NOTAS!D29&lt;=6.5,"R",IF(NOTAS!D29&lt;=8.5,"B",IF(NOTAS!D29&lt;=10,"E","Error")))))</f>
        <v/>
      </c>
      <c r="E31" s="172" t="str">
        <f>IF(NOTAS!E29="","",IF(NOTAS!E29&lt;=4.5,"EC",IF(NOTAS!E29&lt;=6.5,"R",IF(NOTAS!E29&lt;=8.5,"B",IF(NOTAS!E29&lt;=10,"E","Error")))))</f>
        <v/>
      </c>
      <c r="F31" s="173" t="str">
        <f>IF(NOTAS!F29="","",IF(NOTAS!F29&lt;=4.5,"EC",IF(NOTAS!F29&lt;=6.5,"R",IF(NOTAS!F29&lt;=8.5,"B",IF(NOTAS!F29&lt;=10,"E","Error")))))</f>
        <v/>
      </c>
      <c r="G31" s="175" t="str">
        <f>IF(NOTAS!G29="","",IF(NOTAS!G29&lt;=4.5,"EC",IF(NOTAS!G29&lt;=6.5,"R",IF(NOTAS!G29&lt;=8.5,"B",IF(NOTAS!G29&lt;=10,"E","Error")))))</f>
        <v/>
      </c>
      <c r="H31" s="137" t="str">
        <f>IF(NOTAS!H29="","",IF(NOTAS!H29&lt;=4.5,"EC",IF(NOTAS!H29&lt;=6.5,"R",IF(NOTAS!H29&lt;=8.5,"B",IF(NOTAS!H29&lt;=10,"E","")))))</f>
        <v/>
      </c>
      <c r="I31" s="137" t="str">
        <f>IF(NOTAS!I29="","",IF(NOTAS!I29&lt;=4.5,"EC",IF(NOTAS!I29&lt;=6.5,"R",IF(NOTAS!I29&lt;=8.5,"B",IF(NOTAS!I29&lt;=10,"E","Error")))))</f>
        <v/>
      </c>
      <c r="J31" s="137" t="str">
        <f>IF(NOTAS!J29="","",IF(NOTAS!J29&lt;=4.5,"EC",IF(NOTAS!J29&lt;=6.5,"R",IF(NOTAS!J29&lt;=8.5,"B",IF(NOTAS!J29&lt;=10,"E","Error")))))</f>
        <v/>
      </c>
      <c r="K31" s="137" t="str">
        <f>IF(NOTAS!K29="","",IF(NOTAS!K29&lt;=4.5,"EC",IF(NOTAS!K29&lt;=6.5,"R",IF(NOTAS!K29&lt;=8.5,"B",IF(NOTAS!K29&lt;=10,"E","Error")))))</f>
        <v/>
      </c>
      <c r="L31" s="138" t="str">
        <f>IF(NOTAS!L29="","",IF(NOTAS!L29&lt;=4.5,"EC",IF(NOTAS!L29&lt;=6.5,"R",IF(NOTAS!L29&lt;=8.5,"B",IF(NOTAS!L29&lt;=10,"E","Error")))))</f>
        <v/>
      </c>
      <c r="M31" s="137" t="str">
        <f>IF(NOTAS!M29="","",IF(NOTAS!M29&lt;=4.5,"EC",IF(NOTAS!M29&lt;=6.5,"R",IF(NOTAS!M29&lt;=8.5,"B",IF(NOTAS!M29&lt;=10,"E","Error")))))</f>
        <v/>
      </c>
      <c r="N31" s="137" t="str">
        <f>IF(NOTAS!N29="","",IF(NOTAS!N29&lt;=4.5,"EC",IF(NOTAS!N29&lt;=6.5,"R",IF(NOTAS!N29&lt;=8.5,"B",IF(NOTAS!N29&lt;=10,"E","Error")))))</f>
        <v/>
      </c>
      <c r="O31" s="137" t="str">
        <f>IF(NOTAS!O29="","",IF(NOTAS!O29&lt;=4.5,"EC",IF(NOTAS!O29&lt;=6.5,"R",IF(NOTAS!O29&lt;=8.5,"B",IF(NOTAS!O29&lt;=10,"E","Error")))))</f>
        <v/>
      </c>
      <c r="P31" s="137" t="str">
        <f>IF(NOTAS!P29="","",IF(NOTAS!P29&lt;=4.5,"EC",IF(NOTAS!P29&lt;=6.5,"R",IF(NOTAS!P29&lt;=8.5,"B",IF(NOTAS!P29&lt;=10,"E","Error")))))</f>
        <v/>
      </c>
      <c r="Q31" s="139" t="str">
        <f>IF(NOTAS!Q29="","",IF(NOTAS!Q29&lt;=4.5,"EC",IF(NOTAS!Q29&lt;=6.5,"R",IF(NOTAS!Q29&lt;=8.5,"B",IF(NOTAS!Q29&lt;=10,"E","Error")))))</f>
        <v/>
      </c>
      <c r="R31" s="137" t="str">
        <f>IF(NOTAS!R29="","",IF(NOTAS!R29&lt;=4.5,"EC",IF(NOTAS!R29&lt;=6.5,"R",IF(NOTAS!R29&lt;=8.5,"B",IF(NOTAS!R29&lt;=10,"E","Error")))))</f>
        <v/>
      </c>
      <c r="S31" s="137" t="str">
        <f>IF(NOTAS!S29="","",IF(NOTAS!S29&lt;=4.5,"EC",IF(NOTAS!S29&lt;=6.5,"R",IF(NOTAS!S29&lt;=8.5,"B",IF(NOTAS!S29&lt;=10,"E","Error")))))</f>
        <v/>
      </c>
      <c r="T31" s="137" t="str">
        <f>IF(NOTAS!T29="","",IF(NOTAS!T29&lt;=4.5,"EC",IF(NOTAS!T29&lt;=6.5,"R",IF(NOTAS!T29&lt;=8.5,"B",IF(NOTAS!T29&lt;=10,"E","Error")))))</f>
        <v/>
      </c>
      <c r="U31" s="137" t="str">
        <f>IF(NOTAS!U29="","",IF(NOTAS!U29&lt;=4.5,"EC",IF(NOTAS!U29&lt;=6.5,"R",IF(NOTAS!U29&lt;=8.5,"B",IF(NOTAS!U29&lt;=10,"E","Error")))))</f>
        <v/>
      </c>
      <c r="V31" s="140" t="str">
        <f>IF(NOTAS!V29="","",IF(NOTAS!V29&lt;=4.5,"EC",IF(NOTAS!V29&lt;=6.5,"R",IF(NOTAS!V29&lt;=8.5,"B",IF(NOTAS!V29&lt;=10,"E","Error")))))</f>
        <v/>
      </c>
      <c r="W31" s="137" t="str">
        <f>IF(NOTAS!W29="","",IF(NOTAS!W29&lt;=4.5,"EC",IF(NOTAS!W29&lt;=6.5,"R",IF(NOTAS!W29&lt;=8.5,"B",IF(NOTAS!W29&lt;=10,"E","Error")))))</f>
        <v/>
      </c>
      <c r="X31" s="137" t="str">
        <f>IF(NOTAS!X29="","",IF(NOTAS!X29&lt;=4.5,"EC",IF(NOTAS!X29&lt;=6.5,"R",IF(NOTAS!X29&lt;=8.5,"B",IF(NOTAS!X29&lt;=10,"E","Error")))))</f>
        <v/>
      </c>
      <c r="Y31" s="137" t="str">
        <f>IF(NOTAS!Y29="","",IF(NOTAS!Y29&lt;=4.5,"EC",IF(NOTAS!Y29&lt;=6.5,"R",IF(NOTAS!Y29&lt;=8.5,"B",IF(NOTAS!Y29&lt;=10,"E","Error")))))</f>
        <v/>
      </c>
      <c r="Z31" s="137" t="str">
        <f>IF(NOTAS!Z29="","",IF(NOTAS!Z29&lt;=4.5,"EC",IF(NOTAS!Z29&lt;=6.5,"R",IF(NOTAS!Z29&lt;=8.5,"B",IF(NOTAS!Z29&lt;=10,"E","Error")))))</f>
        <v/>
      </c>
      <c r="AA31" s="141" t="str">
        <f>IF(NOTAS!AA29="","",IF(NOTAS!AA29&lt;=4.5,"EC",IF(NOTAS!AA29&lt;=6.5,"R",IF(NOTAS!AA29&lt;=8.5,"B",IF(NOTAS!AA29&lt;=10,"E","Error")))))</f>
        <v/>
      </c>
      <c r="AB31" s="137" t="str">
        <f>IF(NOTAS!AB29="","",IF(NOTAS!AB29&lt;=4.5,"EC",IF(NOTAS!AB29&lt;=6.5,"R",IF(NOTAS!AB29&lt;=8.5,"B",IF(NOTAS!AB29&lt;=10,"E","Error")))))</f>
        <v/>
      </c>
      <c r="AC31" s="137" t="str">
        <f>IF(NOTAS!AC29="","",IF(NOTAS!AC29&lt;=4.5,"EC",IF(NOTAS!AC29&lt;=6.5,"R",IF(NOTAS!AC29&lt;=8.5,"B",IF(NOTAS!AC29&lt;=10,"E","Error")))))</f>
        <v/>
      </c>
      <c r="AD31" s="137" t="str">
        <f>IF(NOTAS!AD29="","",IF(NOTAS!AD29&lt;=4.5,"EC",IF(NOTAS!AD29&lt;=6.5,"R",IF(NOTAS!AD29&lt;=8.5,"B",IF(NOTAS!AD29&lt;=10,"E","Error")))))</f>
        <v/>
      </c>
      <c r="AE31" s="137" t="str">
        <f>IF(NOTAS!AE29="","",IF(NOTAS!AE29&lt;=4.5,"EC",IF(NOTAS!AE29&lt;=6.5,"R",IF(NOTAS!AE29&lt;=8.5,"B",IF(NOTAS!AE29&lt;=10,"E","Error")))))</f>
        <v/>
      </c>
      <c r="AF31" s="142" t="str">
        <f>IF(NOTAS!AF29="","",IF(NOTAS!AF29&lt;=4.5,"EC",IF(NOTAS!AF29&lt;=6.5,"R",IF(NOTAS!AF29&lt;=8.5,"B",IF(NOTAS!AF29&lt;=10,"E","Error")))))</f>
        <v/>
      </c>
      <c r="AG31" s="137" t="str">
        <f>IF(NOTAS!AG29="","",IF(NOTAS!AG29&lt;=4.5,"EC",IF(NOTAS!AG29&lt;=6.5,"R",IF(NOTAS!AG29&lt;=8.5,"B",IF(NOTAS!AG29&lt;=10,"E","Error")))))</f>
        <v/>
      </c>
      <c r="AH31" s="137" t="str">
        <f>IF(NOTAS!AH29="","",IF(NOTAS!AH29&lt;=4.5,"EC",IF(NOTAS!AH29&lt;=6.5,"R",IF(NOTAS!AH29&lt;=8.5,"B",IF(NOTAS!AH29&lt;=10,"E","Error")))))</f>
        <v/>
      </c>
      <c r="AI31" s="137" t="str">
        <f>IF(NOTAS!AI29="","",IF(NOTAS!AI29&lt;=4.5,"EC",IF(NOTAS!AI29&lt;=6.5,"R",IF(NOTAS!AI29&lt;=8.5,"B",IF(NOTAS!AI29&lt;=10,"E","Error")))))</f>
        <v/>
      </c>
      <c r="AJ31" s="137" t="str">
        <f>IF(NOTAS!AJ29="","",IF(NOTAS!AJ29&lt;=4.5,"EC",IF(NOTAS!AJ29&lt;=6.5,"R",IF(NOTAS!AJ29&lt;=8.5,"B",IF(NOTAS!AJ29&lt;=10,"E","Error")))))</f>
        <v/>
      </c>
      <c r="AK31" s="136" t="str">
        <f>IF(NOTAS!AK29="","",IF(NOTAS!AK29&lt;=4.5,"EC",IF(NOTAS!AK29&lt;=6.5,"R",IF(NOTAS!AK29&lt;=8.5,"B",IF(NOTAS!AK29&lt;=10,"E","Error")))))</f>
        <v/>
      </c>
      <c r="AL31" s="137" t="str">
        <f>IF(NOTAS!AL29="","",IF(NOTAS!AL29&lt;=4.5,"EC",IF(NOTAS!AL29&lt;=6.5,"R",IF(NOTAS!AL29&lt;=8.5,"B",IF(NOTAS!AL29&lt;=10,"E","Error")))))</f>
        <v/>
      </c>
      <c r="AM31" s="137" t="str">
        <f>IF(NOTAS!AM29="","",IF(NOTAS!AM29&lt;=4.5,"EC",IF(NOTAS!AM29&lt;=6.5,"R",IF(NOTAS!AM29&lt;=8.5,"B",IF(NOTAS!AM29&lt;=10,"E","Error")))))</f>
        <v/>
      </c>
      <c r="AN31" s="137" t="str">
        <f>IF(NOTAS!AN29="","",IF(NOTAS!AN29&lt;=4.5,"EC",IF(NOTAS!AN29&lt;=6.5,"R",IF(NOTAS!AN29&lt;=8.5,"B",IF(NOTAS!AN29&lt;=10,"E","Error")))))</f>
        <v/>
      </c>
      <c r="AO31" s="137" t="str">
        <f>IF(NOTAS!AO29="","",IF(NOTAS!AO29&lt;=4.5,"EC",IF(NOTAS!AO29&lt;=6.5,"R",IF(NOTAS!AO29&lt;=8.5,"B",IF(NOTAS!AO29&lt;=10,"E","Error")))))</f>
        <v/>
      </c>
      <c r="AP31" s="136" t="str">
        <f>IF(NOTAS!AP29="","",IF(NOTAS!AP29&lt;=4.5,"EC",IF(NOTAS!AP29&lt;=6.5,"R",IF(NOTAS!AP29&lt;=8.5,"B",IF(NOTAS!AP29&lt;=10,"E","Error")))))</f>
        <v/>
      </c>
      <c r="AQ31" s="155" t="str">
        <f>NOTAS!AR29</f>
        <v>****</v>
      </c>
      <c r="AR31" s="156" t="str">
        <f>NOTAS!AS29</f>
        <v>****</v>
      </c>
      <c r="AS31" s="157" t="str">
        <f>NOTAS!AT29</f>
        <v>****</v>
      </c>
      <c r="AT31" s="157" t="str">
        <f>NOTAS!AU29</f>
        <v>****</v>
      </c>
    </row>
    <row r="32" spans="1:46" ht="15.75" thickBot="1">
      <c r="A32" s="42">
        <f t="shared" si="0"/>
        <v>23</v>
      </c>
      <c r="B32" s="179" t="str">
        <f>IF(NOTAS!B30&lt;&gt;"",NOTAS!B30,"")</f>
        <v/>
      </c>
      <c r="C32" s="169" t="str">
        <f>IF(NOTAS!C30="","",IF(NOTAS!C30&lt;=4.5,"EC",IF(NOTAS!C30&lt;=6.5,"R",IF(NOTAS!C30&lt;=8.5,"B",IF(NOTAS!C30&lt;=10,"E","Error")))))</f>
        <v/>
      </c>
      <c r="D32" s="170" t="str">
        <f>IF(NOTAS!D30="","",IF(NOTAS!D30&lt;=4.5,"EC",IF(NOTAS!D30&lt;=6.5,"R",IF(NOTAS!D30&lt;=8.5,"B",IF(NOTAS!D30&lt;=10,"E","Error")))))</f>
        <v/>
      </c>
      <c r="E32" s="169" t="str">
        <f>IF(NOTAS!E30="","",IF(NOTAS!E30&lt;=4.5,"EC",IF(NOTAS!E30&lt;=6.5,"R",IF(NOTAS!E30&lt;=8.5,"B",IF(NOTAS!E30&lt;=10,"E","Error")))))</f>
        <v/>
      </c>
      <c r="F32" s="171" t="str">
        <f>IF(NOTAS!F30="","",IF(NOTAS!F30&lt;=4.5,"EC",IF(NOTAS!F30&lt;=6.5,"R",IF(NOTAS!F30&lt;=8.5,"B",IF(NOTAS!F30&lt;=10,"E","Error")))))</f>
        <v/>
      </c>
      <c r="G32" s="136" t="str">
        <f>IF(NOTAS!G30="","",IF(NOTAS!G30&lt;=4.5,"EC",IF(NOTAS!G30&lt;=6.5,"R",IF(NOTAS!G30&lt;=8.5,"B",IF(NOTAS!G30&lt;=10,"E","Error")))))</f>
        <v/>
      </c>
      <c r="H32" s="137" t="str">
        <f>IF(NOTAS!H30="","",IF(NOTAS!H30&lt;=4.5,"EC",IF(NOTAS!H30&lt;=6.5,"R",IF(NOTAS!H30&lt;=8.5,"B",IF(NOTAS!H30&lt;=10,"E","")))))</f>
        <v/>
      </c>
      <c r="I32" s="137" t="str">
        <f>IF(NOTAS!I30="","",IF(NOTAS!I30&lt;=4.5,"EC",IF(NOTAS!I30&lt;=6.5,"R",IF(NOTAS!I30&lt;=8.5,"B",IF(NOTAS!I30&lt;=10,"E","Error")))))</f>
        <v/>
      </c>
      <c r="J32" s="137" t="str">
        <f>IF(NOTAS!J30="","",IF(NOTAS!J30&lt;=4.5,"EC",IF(NOTAS!J30&lt;=6.5,"R",IF(NOTAS!J30&lt;=8.5,"B",IF(NOTAS!J30&lt;=10,"E","Error")))))</f>
        <v/>
      </c>
      <c r="K32" s="137" t="str">
        <f>IF(NOTAS!K30="","",IF(NOTAS!K30&lt;=4.5,"EC",IF(NOTAS!K30&lt;=6.5,"R",IF(NOTAS!K30&lt;=8.5,"B",IF(NOTAS!K30&lt;=10,"E","Error")))))</f>
        <v/>
      </c>
      <c r="L32" s="138" t="str">
        <f>IF(NOTAS!L30="","",IF(NOTAS!L30&lt;=4.5,"EC",IF(NOTAS!L30&lt;=6.5,"R",IF(NOTAS!L30&lt;=8.5,"B",IF(NOTAS!L30&lt;=10,"E","Error")))))</f>
        <v/>
      </c>
      <c r="M32" s="137" t="str">
        <f>IF(NOTAS!M30="","",IF(NOTAS!M30&lt;=4.5,"EC",IF(NOTAS!M30&lt;=6.5,"R",IF(NOTAS!M30&lt;=8.5,"B",IF(NOTAS!M30&lt;=10,"E","Error")))))</f>
        <v/>
      </c>
      <c r="N32" s="137" t="str">
        <f>IF(NOTAS!N30="","",IF(NOTAS!N30&lt;=4.5,"EC",IF(NOTAS!N30&lt;=6.5,"R",IF(NOTAS!N30&lt;=8.5,"B",IF(NOTAS!N30&lt;=10,"E","Error")))))</f>
        <v/>
      </c>
      <c r="O32" s="137" t="str">
        <f>IF(NOTAS!O30="","",IF(NOTAS!O30&lt;=4.5,"EC",IF(NOTAS!O30&lt;=6.5,"R",IF(NOTAS!O30&lt;=8.5,"B",IF(NOTAS!O30&lt;=10,"E","Error")))))</f>
        <v/>
      </c>
      <c r="P32" s="137" t="str">
        <f>IF(NOTAS!P30="","",IF(NOTAS!P30&lt;=4.5,"EC",IF(NOTAS!P30&lt;=6.5,"R",IF(NOTAS!P30&lt;=8.5,"B",IF(NOTAS!P30&lt;=10,"E","Error")))))</f>
        <v/>
      </c>
      <c r="Q32" s="139" t="str">
        <f>IF(NOTAS!Q30="","",IF(NOTAS!Q30&lt;=4.5,"EC",IF(NOTAS!Q30&lt;=6.5,"R",IF(NOTAS!Q30&lt;=8.5,"B",IF(NOTAS!Q30&lt;=10,"E","Error")))))</f>
        <v/>
      </c>
      <c r="R32" s="137" t="str">
        <f>IF(NOTAS!R30="","",IF(NOTAS!R30&lt;=4.5,"EC",IF(NOTAS!R30&lt;=6.5,"R",IF(NOTAS!R30&lt;=8.5,"B",IF(NOTAS!R30&lt;=10,"E","Error")))))</f>
        <v/>
      </c>
      <c r="S32" s="137" t="str">
        <f>IF(NOTAS!S30="","",IF(NOTAS!S30&lt;=4.5,"EC",IF(NOTAS!S30&lt;=6.5,"R",IF(NOTAS!S30&lt;=8.5,"B",IF(NOTAS!S30&lt;=10,"E","Error")))))</f>
        <v/>
      </c>
      <c r="T32" s="137" t="str">
        <f>IF(NOTAS!T30="","",IF(NOTAS!T30&lt;=4.5,"EC",IF(NOTAS!T30&lt;=6.5,"R",IF(NOTAS!T30&lt;=8.5,"B",IF(NOTAS!T30&lt;=10,"E","Error")))))</f>
        <v/>
      </c>
      <c r="U32" s="137" t="str">
        <f>IF(NOTAS!U30="","",IF(NOTAS!U30&lt;=4.5,"EC",IF(NOTAS!U30&lt;=6.5,"R",IF(NOTAS!U30&lt;=8.5,"B",IF(NOTAS!U30&lt;=10,"E","Error")))))</f>
        <v/>
      </c>
      <c r="V32" s="140" t="str">
        <f>IF(NOTAS!V30="","",IF(NOTAS!V30&lt;=4.5,"EC",IF(NOTAS!V30&lt;=6.5,"R",IF(NOTAS!V30&lt;=8.5,"B",IF(NOTAS!V30&lt;=10,"E","Error")))))</f>
        <v/>
      </c>
      <c r="W32" s="137" t="str">
        <f>IF(NOTAS!W30="","",IF(NOTAS!W30&lt;=4.5,"EC",IF(NOTAS!W30&lt;=6.5,"R",IF(NOTAS!W30&lt;=8.5,"B",IF(NOTAS!W30&lt;=10,"E","Error")))))</f>
        <v/>
      </c>
      <c r="X32" s="137" t="str">
        <f>IF(NOTAS!X30="","",IF(NOTAS!X30&lt;=4.5,"EC",IF(NOTAS!X30&lt;=6.5,"R",IF(NOTAS!X30&lt;=8.5,"B",IF(NOTAS!X30&lt;=10,"E","Error")))))</f>
        <v/>
      </c>
      <c r="Y32" s="137" t="str">
        <f>IF(NOTAS!Y30="","",IF(NOTAS!Y30&lt;=4.5,"EC",IF(NOTAS!Y30&lt;=6.5,"R",IF(NOTAS!Y30&lt;=8.5,"B",IF(NOTAS!Y30&lt;=10,"E","Error")))))</f>
        <v/>
      </c>
      <c r="Z32" s="137" t="str">
        <f>IF(NOTAS!Z30="","",IF(NOTAS!Z30&lt;=4.5,"EC",IF(NOTAS!Z30&lt;=6.5,"R",IF(NOTAS!Z30&lt;=8.5,"B",IF(NOTAS!Z30&lt;=10,"E","Error")))))</f>
        <v/>
      </c>
      <c r="AA32" s="141" t="str">
        <f>IF(NOTAS!AA30="","",IF(NOTAS!AA30&lt;=4.5,"EC",IF(NOTAS!AA30&lt;=6.5,"R",IF(NOTAS!AA30&lt;=8.5,"B",IF(NOTAS!AA30&lt;=10,"E","Error")))))</f>
        <v/>
      </c>
      <c r="AB32" s="137" t="str">
        <f>IF(NOTAS!AB30="","",IF(NOTAS!AB30&lt;=4.5,"EC",IF(NOTAS!AB30&lt;=6.5,"R",IF(NOTAS!AB30&lt;=8.5,"B",IF(NOTAS!AB30&lt;=10,"E","Error")))))</f>
        <v/>
      </c>
      <c r="AC32" s="137" t="str">
        <f>IF(NOTAS!AC30="","",IF(NOTAS!AC30&lt;=4.5,"EC",IF(NOTAS!AC30&lt;=6.5,"R",IF(NOTAS!AC30&lt;=8.5,"B",IF(NOTAS!AC30&lt;=10,"E","Error")))))</f>
        <v/>
      </c>
      <c r="AD32" s="137" t="str">
        <f>IF(NOTAS!AD30="","",IF(NOTAS!AD30&lt;=4.5,"EC",IF(NOTAS!AD30&lt;=6.5,"R",IF(NOTAS!AD30&lt;=8.5,"B",IF(NOTAS!AD30&lt;=10,"E","Error")))))</f>
        <v/>
      </c>
      <c r="AE32" s="137" t="str">
        <f>IF(NOTAS!AE30="","",IF(NOTAS!AE30&lt;=4.5,"EC",IF(NOTAS!AE30&lt;=6.5,"R",IF(NOTAS!AE30&lt;=8.5,"B",IF(NOTAS!AE30&lt;=10,"E","Error")))))</f>
        <v/>
      </c>
      <c r="AF32" s="142" t="str">
        <f>IF(NOTAS!AF30="","",IF(NOTAS!AF30&lt;=4.5,"EC",IF(NOTAS!AF30&lt;=6.5,"R",IF(NOTAS!AF30&lt;=8.5,"B",IF(NOTAS!AF30&lt;=10,"E","Error")))))</f>
        <v/>
      </c>
      <c r="AG32" s="137" t="str">
        <f>IF(NOTAS!AG30="","",IF(NOTAS!AG30&lt;=4.5,"EC",IF(NOTAS!AG30&lt;=6.5,"R",IF(NOTAS!AG30&lt;=8.5,"B",IF(NOTAS!AG30&lt;=10,"E","Error")))))</f>
        <v/>
      </c>
      <c r="AH32" s="137" t="str">
        <f>IF(NOTAS!AH30="","",IF(NOTAS!AH30&lt;=4.5,"EC",IF(NOTAS!AH30&lt;=6.5,"R",IF(NOTAS!AH30&lt;=8.5,"B",IF(NOTAS!AH30&lt;=10,"E","Error")))))</f>
        <v/>
      </c>
      <c r="AI32" s="137" t="str">
        <f>IF(NOTAS!AI30="","",IF(NOTAS!AI30&lt;=4.5,"EC",IF(NOTAS!AI30&lt;=6.5,"R",IF(NOTAS!AI30&lt;=8.5,"B",IF(NOTAS!AI30&lt;=10,"E","Error")))))</f>
        <v/>
      </c>
      <c r="AJ32" s="137" t="str">
        <f>IF(NOTAS!AJ30="","",IF(NOTAS!AJ30&lt;=4.5,"EC",IF(NOTAS!AJ30&lt;=6.5,"R",IF(NOTAS!AJ30&lt;=8.5,"B",IF(NOTAS!AJ30&lt;=10,"E","Error")))))</f>
        <v/>
      </c>
      <c r="AK32" s="136" t="str">
        <f>IF(NOTAS!AK30="","",IF(NOTAS!AK30&lt;=4.5,"EC",IF(NOTAS!AK30&lt;=6.5,"R",IF(NOTAS!AK30&lt;=8.5,"B",IF(NOTAS!AK30&lt;=10,"E","Error")))))</f>
        <v/>
      </c>
      <c r="AL32" s="137" t="str">
        <f>IF(NOTAS!AL30="","",IF(NOTAS!AL30&lt;=4.5,"EC",IF(NOTAS!AL30&lt;=6.5,"R",IF(NOTAS!AL30&lt;=8.5,"B",IF(NOTAS!AL30&lt;=10,"E","Error")))))</f>
        <v/>
      </c>
      <c r="AM32" s="137" t="str">
        <f>IF(NOTAS!AM30="","",IF(NOTAS!AM30&lt;=4.5,"EC",IF(NOTAS!AM30&lt;=6.5,"R",IF(NOTAS!AM30&lt;=8.5,"B",IF(NOTAS!AM30&lt;=10,"E","Error")))))</f>
        <v/>
      </c>
      <c r="AN32" s="137" t="str">
        <f>IF(NOTAS!AN30="","",IF(NOTAS!AN30&lt;=4.5,"EC",IF(NOTAS!AN30&lt;=6.5,"R",IF(NOTAS!AN30&lt;=8.5,"B",IF(NOTAS!AN30&lt;=10,"E","Error")))))</f>
        <v/>
      </c>
      <c r="AO32" s="137" t="str">
        <f>IF(NOTAS!AO30="","",IF(NOTAS!AO30&lt;=4.5,"EC",IF(NOTAS!AO30&lt;=6.5,"R",IF(NOTAS!AO30&lt;=8.5,"B",IF(NOTAS!AO30&lt;=10,"E","Error")))))</f>
        <v/>
      </c>
      <c r="AP32" s="136" t="str">
        <f>IF(NOTAS!AP30="","",IF(NOTAS!AP30&lt;=4.5,"EC",IF(NOTAS!AP30&lt;=6.5,"R",IF(NOTAS!AP30&lt;=8.5,"B",IF(NOTAS!AP30&lt;=10,"E","Error")))))</f>
        <v/>
      </c>
      <c r="AQ32" s="155" t="str">
        <f>NOTAS!AR30</f>
        <v>****</v>
      </c>
      <c r="AR32" s="156" t="str">
        <f>NOTAS!AS30</f>
        <v>****</v>
      </c>
      <c r="AS32" s="157" t="str">
        <f>NOTAS!AT30</f>
        <v>****</v>
      </c>
      <c r="AT32" s="157" t="str">
        <f>NOTAS!AU30</f>
        <v>****</v>
      </c>
    </row>
    <row r="33" spans="1:46" ht="15.75" thickBot="1">
      <c r="A33" s="42">
        <f t="shared" si="0"/>
        <v>24</v>
      </c>
      <c r="B33" s="178" t="str">
        <f>IF(NOTAS!B31&lt;&gt;"",NOTAS!B31,"")</f>
        <v/>
      </c>
      <c r="C33" s="172" t="str">
        <f>IF(NOTAS!C31="","",IF(NOTAS!C31&lt;=4.5,"EC",IF(NOTAS!C31&lt;=6.5,"R",IF(NOTAS!C31&lt;=8.5,"B",IF(NOTAS!C31&lt;=10,"E","Error")))))</f>
        <v/>
      </c>
      <c r="D33" s="173" t="str">
        <f>IF(NOTAS!D31="","",IF(NOTAS!D31&lt;=4.5,"EC",IF(NOTAS!D31&lt;=6.5,"R",IF(NOTAS!D31&lt;=8.5,"B",IF(NOTAS!D31&lt;=10,"E","Error")))))</f>
        <v/>
      </c>
      <c r="E33" s="172" t="str">
        <f>IF(NOTAS!E31="","",IF(NOTAS!E31&lt;=4.5,"EC",IF(NOTAS!E31&lt;=6.5,"R",IF(NOTAS!E31&lt;=8.5,"B",IF(NOTAS!E31&lt;=10,"E","Error")))))</f>
        <v/>
      </c>
      <c r="F33" s="173" t="str">
        <f>IF(NOTAS!F31="","",IF(NOTAS!F31&lt;=4.5,"EC",IF(NOTAS!F31&lt;=6.5,"R",IF(NOTAS!F31&lt;=8.5,"B",IF(NOTAS!F31&lt;=10,"E","Error")))))</f>
        <v/>
      </c>
      <c r="G33" s="136" t="str">
        <f>IF(NOTAS!G31="","",IF(NOTAS!G31&lt;=4.5,"EC",IF(NOTAS!G31&lt;=6.5,"R",IF(NOTAS!G31&lt;=8.5,"B",IF(NOTAS!G31&lt;=10,"E","Error")))))</f>
        <v/>
      </c>
      <c r="H33" s="137" t="str">
        <f>IF(NOTAS!H31="","",IF(NOTAS!H31&lt;=4.5,"EC",IF(NOTAS!H31&lt;=6.5,"R",IF(NOTAS!H31&lt;=8.5,"B",IF(NOTAS!H31&lt;=10,"E","")))))</f>
        <v/>
      </c>
      <c r="I33" s="137" t="str">
        <f>IF(NOTAS!I31="","",IF(NOTAS!I31&lt;=4.5,"EC",IF(NOTAS!I31&lt;=6.5,"R",IF(NOTAS!I31&lt;=8.5,"B",IF(NOTAS!I31&lt;=10,"E","Error")))))</f>
        <v/>
      </c>
      <c r="J33" s="137" t="str">
        <f>IF(NOTAS!J31="","",IF(NOTAS!J31&lt;=4.5,"EC",IF(NOTAS!J31&lt;=6.5,"R",IF(NOTAS!J31&lt;=8.5,"B",IF(NOTAS!J31&lt;=10,"E","Error")))))</f>
        <v/>
      </c>
      <c r="K33" s="137" t="str">
        <f>IF(NOTAS!K31="","",IF(NOTAS!K31&lt;=4.5,"EC",IF(NOTAS!K31&lt;=6.5,"R",IF(NOTAS!K31&lt;=8.5,"B",IF(NOTAS!K31&lt;=10,"E","Error")))))</f>
        <v/>
      </c>
      <c r="L33" s="138" t="str">
        <f>IF(NOTAS!L31="","",IF(NOTAS!L31&lt;=4.5,"EC",IF(NOTAS!L31&lt;=6.5,"R",IF(NOTAS!L31&lt;=8.5,"B",IF(NOTAS!L31&lt;=10,"E","Error")))))</f>
        <v/>
      </c>
      <c r="M33" s="137" t="str">
        <f>IF(NOTAS!M31="","",IF(NOTAS!M31&lt;=4.5,"EC",IF(NOTAS!M31&lt;=6.5,"R",IF(NOTAS!M31&lt;=8.5,"B",IF(NOTAS!M31&lt;=10,"E","Error")))))</f>
        <v/>
      </c>
      <c r="N33" s="137" t="str">
        <f>IF(NOTAS!N31="","",IF(NOTAS!N31&lt;=4.5,"EC",IF(NOTAS!N31&lt;=6.5,"R",IF(NOTAS!N31&lt;=8.5,"B",IF(NOTAS!N31&lt;=10,"E","Error")))))</f>
        <v/>
      </c>
      <c r="O33" s="137" t="str">
        <f>IF(NOTAS!O31="","",IF(NOTAS!O31&lt;=4.5,"EC",IF(NOTAS!O31&lt;=6.5,"R",IF(NOTAS!O31&lt;=8.5,"B",IF(NOTAS!O31&lt;=10,"E","Error")))))</f>
        <v/>
      </c>
      <c r="P33" s="137" t="str">
        <f>IF(NOTAS!P31="","",IF(NOTAS!P31&lt;=4.5,"EC",IF(NOTAS!P31&lt;=6.5,"R",IF(NOTAS!P31&lt;=8.5,"B",IF(NOTAS!P31&lt;=10,"E","Error")))))</f>
        <v/>
      </c>
      <c r="Q33" s="139" t="str">
        <f>IF(NOTAS!Q31="","",IF(NOTAS!Q31&lt;=4.5,"EC",IF(NOTAS!Q31&lt;=6.5,"R",IF(NOTAS!Q31&lt;=8.5,"B",IF(NOTAS!Q31&lt;=10,"E","Error")))))</f>
        <v/>
      </c>
      <c r="R33" s="137" t="str">
        <f>IF(NOTAS!R31="","",IF(NOTAS!R31&lt;=4.5,"EC",IF(NOTAS!R31&lt;=6.5,"R",IF(NOTAS!R31&lt;=8.5,"B",IF(NOTAS!R31&lt;=10,"E","Error")))))</f>
        <v/>
      </c>
      <c r="S33" s="137" t="str">
        <f>IF(NOTAS!S31="","",IF(NOTAS!S31&lt;=4.5,"EC",IF(NOTAS!S31&lt;=6.5,"R",IF(NOTAS!S31&lt;=8.5,"B",IF(NOTAS!S31&lt;=10,"E","Error")))))</f>
        <v/>
      </c>
      <c r="T33" s="137" t="str">
        <f>IF(NOTAS!T31="","",IF(NOTAS!T31&lt;=4.5,"EC",IF(NOTAS!T31&lt;=6.5,"R",IF(NOTAS!T31&lt;=8.5,"B",IF(NOTAS!T31&lt;=10,"E","Error")))))</f>
        <v/>
      </c>
      <c r="U33" s="137" t="str">
        <f>IF(NOTAS!U31="","",IF(NOTAS!U31&lt;=4.5,"EC",IF(NOTAS!U31&lt;=6.5,"R",IF(NOTAS!U31&lt;=8.5,"B",IF(NOTAS!U31&lt;=10,"E","Error")))))</f>
        <v/>
      </c>
      <c r="V33" s="140" t="str">
        <f>IF(NOTAS!V31="","",IF(NOTAS!V31&lt;=4.5,"EC",IF(NOTAS!V31&lt;=6.5,"R",IF(NOTAS!V31&lt;=8.5,"B",IF(NOTAS!V31&lt;=10,"E","Error")))))</f>
        <v/>
      </c>
      <c r="W33" s="137" t="str">
        <f>IF(NOTAS!W31="","",IF(NOTAS!W31&lt;=4.5,"EC",IF(NOTAS!W31&lt;=6.5,"R",IF(NOTAS!W31&lt;=8.5,"B",IF(NOTAS!W31&lt;=10,"E","Error")))))</f>
        <v/>
      </c>
      <c r="X33" s="137" t="str">
        <f>IF(NOTAS!X31="","",IF(NOTAS!X31&lt;=4.5,"EC",IF(NOTAS!X31&lt;=6.5,"R",IF(NOTAS!X31&lt;=8.5,"B",IF(NOTAS!X31&lt;=10,"E","Error")))))</f>
        <v/>
      </c>
      <c r="Y33" s="137" t="str">
        <f>IF(NOTAS!Y31="","",IF(NOTAS!Y31&lt;=4.5,"EC",IF(NOTAS!Y31&lt;=6.5,"R",IF(NOTAS!Y31&lt;=8.5,"B",IF(NOTAS!Y31&lt;=10,"E","Error")))))</f>
        <v/>
      </c>
      <c r="Z33" s="137" t="str">
        <f>IF(NOTAS!Z31="","",IF(NOTAS!Z31&lt;=4.5,"EC",IF(NOTAS!Z31&lt;=6.5,"R",IF(NOTAS!Z31&lt;=8.5,"B",IF(NOTAS!Z31&lt;=10,"E","Error")))))</f>
        <v/>
      </c>
      <c r="AA33" s="141" t="str">
        <f>IF(NOTAS!AA31="","",IF(NOTAS!AA31&lt;=4.5,"EC",IF(NOTAS!AA31&lt;=6.5,"R",IF(NOTAS!AA31&lt;=8.5,"B",IF(NOTAS!AA31&lt;=10,"E","Error")))))</f>
        <v/>
      </c>
      <c r="AB33" s="137" t="str">
        <f>IF(NOTAS!AB31="","",IF(NOTAS!AB31&lt;=4.5,"EC",IF(NOTAS!AB31&lt;=6.5,"R",IF(NOTAS!AB31&lt;=8.5,"B",IF(NOTAS!AB31&lt;=10,"E","Error")))))</f>
        <v/>
      </c>
      <c r="AC33" s="137" t="str">
        <f>IF(NOTAS!AC31="","",IF(NOTAS!AC31&lt;=4.5,"EC",IF(NOTAS!AC31&lt;=6.5,"R",IF(NOTAS!AC31&lt;=8.5,"B",IF(NOTAS!AC31&lt;=10,"E","Error")))))</f>
        <v/>
      </c>
      <c r="AD33" s="137" t="str">
        <f>IF(NOTAS!AD31="","",IF(NOTAS!AD31&lt;=4.5,"EC",IF(NOTAS!AD31&lt;=6.5,"R",IF(NOTAS!AD31&lt;=8.5,"B",IF(NOTAS!AD31&lt;=10,"E","Error")))))</f>
        <v/>
      </c>
      <c r="AE33" s="137" t="str">
        <f>IF(NOTAS!AE31="","",IF(NOTAS!AE31&lt;=4.5,"EC",IF(NOTAS!AE31&lt;=6.5,"R",IF(NOTAS!AE31&lt;=8.5,"B",IF(NOTAS!AE31&lt;=10,"E","Error")))))</f>
        <v/>
      </c>
      <c r="AF33" s="142" t="str">
        <f>IF(NOTAS!AF31="","",IF(NOTAS!AF31&lt;=4.5,"EC",IF(NOTAS!AF31&lt;=6.5,"R",IF(NOTAS!AF31&lt;=8.5,"B",IF(NOTAS!AF31&lt;=10,"E","Error")))))</f>
        <v/>
      </c>
      <c r="AG33" s="137" t="str">
        <f>IF(NOTAS!AG31="","",IF(NOTAS!AG31&lt;=4.5,"EC",IF(NOTAS!AG31&lt;=6.5,"R",IF(NOTAS!AG31&lt;=8.5,"B",IF(NOTAS!AG31&lt;=10,"E","Error")))))</f>
        <v/>
      </c>
      <c r="AH33" s="137" t="str">
        <f>IF(NOTAS!AH31="","",IF(NOTAS!AH31&lt;=4.5,"EC",IF(NOTAS!AH31&lt;=6.5,"R",IF(NOTAS!AH31&lt;=8.5,"B",IF(NOTAS!AH31&lt;=10,"E","Error")))))</f>
        <v/>
      </c>
      <c r="AI33" s="137" t="str">
        <f>IF(NOTAS!AI31="","",IF(NOTAS!AI31&lt;=4.5,"EC",IF(NOTAS!AI31&lt;=6.5,"R",IF(NOTAS!AI31&lt;=8.5,"B",IF(NOTAS!AI31&lt;=10,"E","Error")))))</f>
        <v/>
      </c>
      <c r="AJ33" s="137" t="str">
        <f>IF(NOTAS!AJ31="","",IF(NOTAS!AJ31&lt;=4.5,"EC",IF(NOTAS!AJ31&lt;=6.5,"R",IF(NOTAS!AJ31&lt;=8.5,"B",IF(NOTAS!AJ31&lt;=10,"E","Error")))))</f>
        <v/>
      </c>
      <c r="AK33" s="136" t="str">
        <f>IF(NOTAS!AK31="","",IF(NOTAS!AK31&lt;=4.5,"EC",IF(NOTAS!AK31&lt;=6.5,"R",IF(NOTAS!AK31&lt;=8.5,"B",IF(NOTAS!AK31&lt;=10,"E","Error")))))</f>
        <v/>
      </c>
      <c r="AL33" s="137" t="str">
        <f>IF(NOTAS!AL31="","",IF(NOTAS!AL31&lt;=4.5,"EC",IF(NOTAS!AL31&lt;=6.5,"R",IF(NOTAS!AL31&lt;=8.5,"B",IF(NOTAS!AL31&lt;=10,"E","Error")))))</f>
        <v/>
      </c>
      <c r="AM33" s="137" t="str">
        <f>IF(NOTAS!AM31="","",IF(NOTAS!AM31&lt;=4.5,"EC",IF(NOTAS!AM31&lt;=6.5,"R",IF(NOTAS!AM31&lt;=8.5,"B",IF(NOTAS!AM31&lt;=10,"E","Error")))))</f>
        <v/>
      </c>
      <c r="AN33" s="137" t="str">
        <f>IF(NOTAS!AN31="","",IF(NOTAS!AN31&lt;=4.5,"EC",IF(NOTAS!AN31&lt;=6.5,"R",IF(NOTAS!AN31&lt;=8.5,"B",IF(NOTAS!AN31&lt;=10,"E","Error")))))</f>
        <v/>
      </c>
      <c r="AO33" s="137" t="str">
        <f>IF(NOTAS!AO31="","",IF(NOTAS!AO31&lt;=4.5,"EC",IF(NOTAS!AO31&lt;=6.5,"R",IF(NOTAS!AO31&lt;=8.5,"B",IF(NOTAS!AO31&lt;=10,"E","Error")))))</f>
        <v/>
      </c>
      <c r="AP33" s="136" t="str">
        <f>IF(NOTAS!AP31="","",IF(NOTAS!AP31&lt;=4.5,"EC",IF(NOTAS!AP31&lt;=6.5,"R",IF(NOTAS!AP31&lt;=8.5,"B",IF(NOTAS!AP31&lt;=10,"E","Error")))))</f>
        <v/>
      </c>
      <c r="AQ33" s="155" t="str">
        <f>NOTAS!AR31</f>
        <v>****</v>
      </c>
      <c r="AR33" s="156" t="str">
        <f>NOTAS!AS31</f>
        <v>****</v>
      </c>
      <c r="AS33" s="157" t="str">
        <f>NOTAS!AT31</f>
        <v>****</v>
      </c>
      <c r="AT33" s="157" t="str">
        <f>NOTAS!AU31</f>
        <v>****</v>
      </c>
    </row>
    <row r="34" spans="1:46" ht="15.75" thickBot="1">
      <c r="A34" s="42">
        <f t="shared" si="0"/>
        <v>25</v>
      </c>
      <c r="B34" s="100" t="str">
        <f>IF(NOTAS!B32&lt;&gt;"",NOTAS!B32,"")</f>
        <v/>
      </c>
      <c r="C34" s="169" t="str">
        <f>IF(NOTAS!C32="","",IF(NOTAS!C32&lt;=4.5,"EC",IF(NOTAS!C32&lt;=6.5,"R",IF(NOTAS!C32&lt;=8.5,"B",IF(NOTAS!C32&lt;=10,"E","Error")))))</f>
        <v/>
      </c>
      <c r="D34" s="170" t="str">
        <f>IF(NOTAS!D32="","",IF(NOTAS!D32&lt;=4.5,"EC",IF(NOTAS!D32&lt;=6.5,"R",IF(NOTAS!D32&lt;=8.5,"B",IF(NOTAS!D32&lt;=10,"E","Error")))))</f>
        <v/>
      </c>
      <c r="E34" s="169" t="str">
        <f>IF(NOTAS!E32="","",IF(NOTAS!E32&lt;=4.5,"EC",IF(NOTAS!E32&lt;=6.5,"R",IF(NOTAS!E32&lt;=8.5,"B",IF(NOTAS!E32&lt;=10,"E","Error")))))</f>
        <v/>
      </c>
      <c r="F34" s="171" t="str">
        <f>IF(NOTAS!F32="","",IF(NOTAS!F32&lt;=4.5,"EC",IF(NOTAS!F32&lt;=6.5,"R",IF(NOTAS!F32&lt;=8.5,"B",IF(NOTAS!F32&lt;=10,"E","Error")))))</f>
        <v/>
      </c>
      <c r="G34" s="136" t="str">
        <f>IF(NOTAS!G32="","",IF(NOTAS!G32&lt;=4.5,"EC",IF(NOTAS!G32&lt;=6.5,"R",IF(NOTAS!G32&lt;=8.5,"B",IF(NOTAS!G32&lt;=10,"E","Error")))))</f>
        <v/>
      </c>
      <c r="H34" s="137" t="str">
        <f>IF(NOTAS!H32="","",IF(NOTAS!H32&lt;=4.5,"EC",IF(NOTAS!H32&lt;=6.5,"R",IF(NOTAS!H32&lt;=8.5,"B",IF(NOTAS!H32&lt;=10,"E","")))))</f>
        <v/>
      </c>
      <c r="I34" s="137" t="str">
        <f>IF(NOTAS!I32="","",IF(NOTAS!I32&lt;=4.5,"EC",IF(NOTAS!I32&lt;=6.5,"R",IF(NOTAS!I32&lt;=8.5,"B",IF(NOTAS!I32&lt;=10,"E","Error")))))</f>
        <v/>
      </c>
      <c r="J34" s="137" t="str">
        <f>IF(NOTAS!J32="","",IF(NOTAS!J32&lt;=4.5,"EC",IF(NOTAS!J32&lt;=6.5,"R",IF(NOTAS!J32&lt;=8.5,"B",IF(NOTAS!J32&lt;=10,"E","Error")))))</f>
        <v/>
      </c>
      <c r="K34" s="137" t="str">
        <f>IF(NOTAS!K32="","",IF(NOTAS!K32&lt;=4.5,"EC",IF(NOTAS!K32&lt;=6.5,"R",IF(NOTAS!K32&lt;=8.5,"B",IF(NOTAS!K32&lt;=10,"E","Error")))))</f>
        <v/>
      </c>
      <c r="L34" s="138" t="str">
        <f>IF(NOTAS!L32="","",IF(NOTAS!L32&lt;=4.5,"EC",IF(NOTAS!L32&lt;=6.5,"R",IF(NOTAS!L32&lt;=8.5,"B",IF(NOTAS!L32&lt;=10,"E","Error")))))</f>
        <v/>
      </c>
      <c r="M34" s="137" t="str">
        <f>IF(NOTAS!M32="","",IF(NOTAS!M32&lt;=4.5,"EC",IF(NOTAS!M32&lt;=6.5,"R",IF(NOTAS!M32&lt;=8.5,"B",IF(NOTAS!M32&lt;=10,"E","Error")))))</f>
        <v/>
      </c>
      <c r="N34" s="137" t="str">
        <f>IF(NOTAS!N32="","",IF(NOTAS!N32&lt;=4.5,"EC",IF(NOTAS!N32&lt;=6.5,"R",IF(NOTAS!N32&lt;=8.5,"B",IF(NOTAS!N32&lt;=10,"E","Error")))))</f>
        <v/>
      </c>
      <c r="O34" s="137" t="str">
        <f>IF(NOTAS!O32="","",IF(NOTAS!O32&lt;=4.5,"EC",IF(NOTAS!O32&lt;=6.5,"R",IF(NOTAS!O32&lt;=8.5,"B",IF(NOTAS!O32&lt;=10,"E","Error")))))</f>
        <v/>
      </c>
      <c r="P34" s="137" t="str">
        <f>IF(NOTAS!P32="","",IF(NOTAS!P32&lt;=4.5,"EC",IF(NOTAS!P32&lt;=6.5,"R",IF(NOTAS!P32&lt;=8.5,"B",IF(NOTAS!P32&lt;=10,"E","Error")))))</f>
        <v/>
      </c>
      <c r="Q34" s="139" t="str">
        <f>IF(NOTAS!Q32="","",IF(NOTAS!Q32&lt;=4.5,"EC",IF(NOTAS!Q32&lt;=6.5,"R",IF(NOTAS!Q32&lt;=8.5,"B",IF(NOTAS!Q32&lt;=10,"E","Error")))))</f>
        <v/>
      </c>
      <c r="R34" s="137" t="str">
        <f>IF(NOTAS!R32="","",IF(NOTAS!R32&lt;=4.5,"EC",IF(NOTAS!R32&lt;=6.5,"R",IF(NOTAS!R32&lt;=8.5,"B",IF(NOTAS!R32&lt;=10,"E","Error")))))</f>
        <v/>
      </c>
      <c r="S34" s="137" t="str">
        <f>IF(NOTAS!S32="","",IF(NOTAS!S32&lt;=4.5,"EC",IF(NOTAS!S32&lt;=6.5,"R",IF(NOTAS!S32&lt;=8.5,"B",IF(NOTAS!S32&lt;=10,"E","Error")))))</f>
        <v/>
      </c>
      <c r="T34" s="137" t="str">
        <f>IF(NOTAS!T32="","",IF(NOTAS!T32&lt;=4.5,"EC",IF(NOTAS!T32&lt;=6.5,"R",IF(NOTAS!T32&lt;=8.5,"B",IF(NOTAS!T32&lt;=10,"E","Error")))))</f>
        <v/>
      </c>
      <c r="U34" s="137" t="str">
        <f>IF(NOTAS!U32="","",IF(NOTAS!U32&lt;=4.5,"EC",IF(NOTAS!U32&lt;=6.5,"R",IF(NOTAS!U32&lt;=8.5,"B",IF(NOTAS!U32&lt;=10,"E","Error")))))</f>
        <v/>
      </c>
      <c r="V34" s="140" t="str">
        <f>IF(NOTAS!V32="","",IF(NOTAS!V32&lt;=4.5,"EC",IF(NOTAS!V32&lt;=6.5,"R",IF(NOTAS!V32&lt;=8.5,"B",IF(NOTAS!V32&lt;=10,"E","Error")))))</f>
        <v/>
      </c>
      <c r="W34" s="137" t="str">
        <f>IF(NOTAS!W32="","",IF(NOTAS!W32&lt;=4.5,"EC",IF(NOTAS!W32&lt;=6.5,"R",IF(NOTAS!W32&lt;=8.5,"B",IF(NOTAS!W32&lt;=10,"E","Error")))))</f>
        <v/>
      </c>
      <c r="X34" s="137" t="str">
        <f>IF(NOTAS!X32="","",IF(NOTAS!X32&lt;=4.5,"EC",IF(NOTAS!X32&lt;=6.5,"R",IF(NOTAS!X32&lt;=8.5,"B",IF(NOTAS!X32&lt;=10,"E","Error")))))</f>
        <v/>
      </c>
      <c r="Y34" s="137" t="str">
        <f>IF(NOTAS!Y32="","",IF(NOTAS!Y32&lt;=4.5,"EC",IF(NOTAS!Y32&lt;=6.5,"R",IF(NOTAS!Y32&lt;=8.5,"B",IF(NOTAS!Y32&lt;=10,"E","Error")))))</f>
        <v/>
      </c>
      <c r="Z34" s="137" t="str">
        <f>IF(NOTAS!Z32="","",IF(NOTAS!Z32&lt;=4.5,"EC",IF(NOTAS!Z32&lt;=6.5,"R",IF(NOTAS!Z32&lt;=8.5,"B",IF(NOTAS!Z32&lt;=10,"E","Error")))))</f>
        <v/>
      </c>
      <c r="AA34" s="141" t="str">
        <f>IF(NOTAS!AA32="","",IF(NOTAS!AA32&lt;=4.5,"EC",IF(NOTAS!AA32&lt;=6.5,"R",IF(NOTAS!AA32&lt;=8.5,"B",IF(NOTAS!AA32&lt;=10,"E","Error")))))</f>
        <v/>
      </c>
      <c r="AB34" s="137" t="str">
        <f>IF(NOTAS!AB32="","",IF(NOTAS!AB32&lt;=4.5,"EC",IF(NOTAS!AB32&lt;=6.5,"R",IF(NOTAS!AB32&lt;=8.5,"B",IF(NOTAS!AB32&lt;=10,"E","Error")))))</f>
        <v/>
      </c>
      <c r="AC34" s="137" t="str">
        <f>IF(NOTAS!AC32="","",IF(NOTAS!AC32&lt;=4.5,"EC",IF(NOTAS!AC32&lt;=6.5,"R",IF(NOTAS!AC32&lt;=8.5,"B",IF(NOTAS!AC32&lt;=10,"E","Error")))))</f>
        <v/>
      </c>
      <c r="AD34" s="137" t="str">
        <f>IF(NOTAS!AD32="","",IF(NOTAS!AD32&lt;=4.5,"EC",IF(NOTAS!AD32&lt;=6.5,"R",IF(NOTAS!AD32&lt;=8.5,"B",IF(NOTAS!AD32&lt;=10,"E","Error")))))</f>
        <v/>
      </c>
      <c r="AE34" s="137" t="str">
        <f>IF(NOTAS!AE32="","",IF(NOTAS!AE32&lt;=4.5,"EC",IF(NOTAS!AE32&lt;=6.5,"R",IF(NOTAS!AE32&lt;=8.5,"B",IF(NOTAS!AE32&lt;=10,"E","Error")))))</f>
        <v/>
      </c>
      <c r="AF34" s="142" t="str">
        <f>IF(NOTAS!AF32="","",IF(NOTAS!AF32&lt;=4.5,"EC",IF(NOTAS!AF32&lt;=6.5,"R",IF(NOTAS!AF32&lt;=8.5,"B",IF(NOTAS!AF32&lt;=10,"E","Error")))))</f>
        <v/>
      </c>
      <c r="AG34" s="137" t="str">
        <f>IF(NOTAS!AG32="","",IF(NOTAS!AG32&lt;=4.5,"EC",IF(NOTAS!AG32&lt;=6.5,"R",IF(NOTAS!AG32&lt;=8.5,"B",IF(NOTAS!AG32&lt;=10,"E","Error")))))</f>
        <v/>
      </c>
      <c r="AH34" s="137" t="str">
        <f>IF(NOTAS!AH32="","",IF(NOTAS!AH32&lt;=4.5,"EC",IF(NOTAS!AH32&lt;=6.5,"R",IF(NOTAS!AH32&lt;=8.5,"B",IF(NOTAS!AH32&lt;=10,"E","Error")))))</f>
        <v/>
      </c>
      <c r="AI34" s="137" t="str">
        <f>IF(NOTAS!AI32="","",IF(NOTAS!AI32&lt;=4.5,"EC",IF(NOTAS!AI32&lt;=6.5,"R",IF(NOTAS!AI32&lt;=8.5,"B",IF(NOTAS!AI32&lt;=10,"E","Error")))))</f>
        <v/>
      </c>
      <c r="AJ34" s="137" t="str">
        <f>IF(NOTAS!AJ32="","",IF(NOTAS!AJ32&lt;=4.5,"EC",IF(NOTAS!AJ32&lt;=6.5,"R",IF(NOTAS!AJ32&lt;=8.5,"B",IF(NOTAS!AJ32&lt;=10,"E","Error")))))</f>
        <v/>
      </c>
      <c r="AK34" s="136" t="str">
        <f>IF(NOTAS!AK32="","",IF(NOTAS!AK32&lt;=4.5,"EC",IF(NOTAS!AK32&lt;=6.5,"R",IF(NOTAS!AK32&lt;=8.5,"B",IF(NOTAS!AK32&lt;=10,"E","Error")))))</f>
        <v/>
      </c>
      <c r="AL34" s="137" t="str">
        <f>IF(NOTAS!AL32="","",IF(NOTAS!AL32&lt;=4.5,"EC",IF(NOTAS!AL32&lt;=6.5,"R",IF(NOTAS!AL32&lt;=8.5,"B",IF(NOTAS!AL32&lt;=10,"E","Error")))))</f>
        <v/>
      </c>
      <c r="AM34" s="137" t="str">
        <f>IF(NOTAS!AM32="","",IF(NOTAS!AM32&lt;=4.5,"EC",IF(NOTAS!AM32&lt;=6.5,"R",IF(NOTAS!AM32&lt;=8.5,"B",IF(NOTAS!AM32&lt;=10,"E","Error")))))</f>
        <v/>
      </c>
      <c r="AN34" s="137" t="str">
        <f>IF(NOTAS!AN32="","",IF(NOTAS!AN32&lt;=4.5,"EC",IF(NOTAS!AN32&lt;=6.5,"R",IF(NOTAS!AN32&lt;=8.5,"B",IF(NOTAS!AN32&lt;=10,"E","Error")))))</f>
        <v/>
      </c>
      <c r="AO34" s="137" t="str">
        <f>IF(NOTAS!AO32="","",IF(NOTAS!AO32&lt;=4.5,"EC",IF(NOTAS!AO32&lt;=6.5,"R",IF(NOTAS!AO32&lt;=8.5,"B",IF(NOTAS!AO32&lt;=10,"E","Error")))))</f>
        <v/>
      </c>
      <c r="AP34" s="136" t="str">
        <f>IF(NOTAS!AP32="","",IF(NOTAS!AP32&lt;=4.5,"EC",IF(NOTAS!AP32&lt;=6.5,"R",IF(NOTAS!AP32&lt;=8.5,"B",IF(NOTAS!AP32&lt;=10,"E","Error")))))</f>
        <v/>
      </c>
      <c r="AQ34" s="155" t="str">
        <f>NOTAS!AR32</f>
        <v>****</v>
      </c>
      <c r="AR34" s="156" t="str">
        <f>NOTAS!AS32</f>
        <v>****</v>
      </c>
      <c r="AS34" s="157" t="str">
        <f>NOTAS!AT32</f>
        <v>****</v>
      </c>
      <c r="AT34" s="157" t="str">
        <f>NOTAS!AU32</f>
        <v>****</v>
      </c>
    </row>
    <row r="35" spans="1:46" ht="15.75" thickBot="1">
      <c r="A35" s="42">
        <f t="shared" si="0"/>
        <v>26</v>
      </c>
      <c r="B35" s="100" t="str">
        <f>IF(NOTAS!B33&lt;&gt;"",NOTAS!B33,"")</f>
        <v/>
      </c>
      <c r="C35" s="172" t="str">
        <f>IF(NOTAS!C33="","",IF(NOTAS!C33&lt;=4.5,"EC",IF(NOTAS!C33&lt;=6.5,"R",IF(NOTAS!C33&lt;=8.5,"B",IF(NOTAS!C33&lt;=10,"E","Error")))))</f>
        <v/>
      </c>
      <c r="D35" s="173" t="str">
        <f>IF(NOTAS!D33="","",IF(NOTAS!D33&lt;=4.5,"EC",IF(NOTAS!D33&lt;=6.5,"R",IF(NOTAS!D33&lt;=8.5,"B",IF(NOTAS!D33&lt;=10,"E","Error")))))</f>
        <v/>
      </c>
      <c r="E35" s="172" t="str">
        <f>IF(NOTAS!E33="","",IF(NOTAS!E33&lt;=4.5,"EC",IF(NOTAS!E33&lt;=6.5,"R",IF(NOTAS!E33&lt;=8.5,"B",IF(NOTAS!E33&lt;=10,"E","Error")))))</f>
        <v/>
      </c>
      <c r="F35" s="173" t="str">
        <f>IF(NOTAS!F33="","",IF(NOTAS!F33&lt;=4.5,"EC",IF(NOTAS!F33&lt;=6.5,"R",IF(NOTAS!F33&lt;=8.5,"B",IF(NOTAS!F33&lt;=10,"E","Error")))))</f>
        <v/>
      </c>
      <c r="G35" s="136" t="str">
        <f>IF(NOTAS!G33="","",IF(NOTAS!G33&lt;=4.5,"EC",IF(NOTAS!G33&lt;=6.5,"R",IF(NOTAS!G33&lt;=8.5,"B",IF(NOTAS!G33&lt;=10,"E","Error")))))</f>
        <v/>
      </c>
      <c r="H35" s="137" t="str">
        <f>IF(NOTAS!H33="","",IF(NOTAS!H33&lt;=4.5,"EC",IF(NOTAS!H33&lt;=6.5,"R",IF(NOTAS!H33&lt;=8.5,"B",IF(NOTAS!H33&lt;=10,"E","")))))</f>
        <v/>
      </c>
      <c r="I35" s="137" t="str">
        <f>IF(NOTAS!I33="","",IF(NOTAS!I33&lt;=4.5,"EC",IF(NOTAS!I33&lt;=6.5,"R",IF(NOTAS!I33&lt;=8.5,"B",IF(NOTAS!I33&lt;=10,"E","Error")))))</f>
        <v/>
      </c>
      <c r="J35" s="137" t="str">
        <f>IF(NOTAS!J33="","",IF(NOTAS!J33&lt;=4.5,"EC",IF(NOTAS!J33&lt;=6.5,"R",IF(NOTAS!J33&lt;=8.5,"B",IF(NOTAS!J33&lt;=10,"E","Error")))))</f>
        <v/>
      </c>
      <c r="K35" s="137" t="str">
        <f>IF(NOTAS!K33="","",IF(NOTAS!K33&lt;=4.5,"EC",IF(NOTAS!K33&lt;=6.5,"R",IF(NOTAS!K33&lt;=8.5,"B",IF(NOTAS!K33&lt;=10,"E","Error")))))</f>
        <v/>
      </c>
      <c r="L35" s="138" t="str">
        <f>IF(NOTAS!L33="","",IF(NOTAS!L33&lt;=4.5,"EC",IF(NOTAS!L33&lt;=6.5,"R",IF(NOTAS!L33&lt;=8.5,"B",IF(NOTAS!L33&lt;=10,"E","Error")))))</f>
        <v/>
      </c>
      <c r="M35" s="137" t="str">
        <f>IF(NOTAS!M33="","",IF(NOTAS!M33&lt;=4.5,"EC",IF(NOTAS!M33&lt;=6.5,"R",IF(NOTAS!M33&lt;=8.5,"B",IF(NOTAS!M33&lt;=10,"E","Error")))))</f>
        <v/>
      </c>
      <c r="N35" s="137" t="str">
        <f>IF(NOTAS!N33="","",IF(NOTAS!N33&lt;=4.5,"EC",IF(NOTAS!N33&lt;=6.5,"R",IF(NOTAS!N33&lt;=8.5,"B",IF(NOTAS!N33&lt;=10,"E","Error")))))</f>
        <v/>
      </c>
      <c r="O35" s="137" t="str">
        <f>IF(NOTAS!O33="","",IF(NOTAS!O33&lt;=4.5,"EC",IF(NOTAS!O33&lt;=6.5,"R",IF(NOTAS!O33&lt;=8.5,"B",IF(NOTAS!O33&lt;=10,"E","Error")))))</f>
        <v/>
      </c>
      <c r="P35" s="137" t="str">
        <f>IF(NOTAS!P33="","",IF(NOTAS!P33&lt;=4.5,"EC",IF(NOTAS!P33&lt;=6.5,"R",IF(NOTAS!P33&lt;=8.5,"B",IF(NOTAS!P33&lt;=10,"E","Error")))))</f>
        <v/>
      </c>
      <c r="Q35" s="139" t="str">
        <f>IF(NOTAS!Q33="","",IF(NOTAS!Q33&lt;=4.5,"EC",IF(NOTAS!Q33&lt;=6.5,"R",IF(NOTAS!Q33&lt;=8.5,"B",IF(NOTAS!Q33&lt;=10,"E","Error")))))</f>
        <v/>
      </c>
      <c r="R35" s="137" t="str">
        <f>IF(NOTAS!R33="","",IF(NOTAS!R33&lt;=4.5,"EC",IF(NOTAS!R33&lt;=6.5,"R",IF(NOTAS!R33&lt;=8.5,"B",IF(NOTAS!R33&lt;=10,"E","Error")))))</f>
        <v/>
      </c>
      <c r="S35" s="137" t="str">
        <f>IF(NOTAS!S33="","",IF(NOTAS!S33&lt;=4.5,"EC",IF(NOTAS!S33&lt;=6.5,"R",IF(NOTAS!S33&lt;=8.5,"B",IF(NOTAS!S33&lt;=10,"E","Error")))))</f>
        <v/>
      </c>
      <c r="T35" s="137" t="str">
        <f>IF(NOTAS!T33="","",IF(NOTAS!T33&lt;=4.5,"EC",IF(NOTAS!T33&lt;=6.5,"R",IF(NOTAS!T33&lt;=8.5,"B",IF(NOTAS!T33&lt;=10,"E","Error")))))</f>
        <v/>
      </c>
      <c r="U35" s="137" t="str">
        <f>IF(NOTAS!U33="","",IF(NOTAS!U33&lt;=4.5,"EC",IF(NOTAS!U33&lt;=6.5,"R",IF(NOTAS!U33&lt;=8.5,"B",IF(NOTAS!U33&lt;=10,"E","Error")))))</f>
        <v/>
      </c>
      <c r="V35" s="140" t="str">
        <f>IF(NOTAS!V33="","",IF(NOTAS!V33&lt;=4.5,"EC",IF(NOTAS!V33&lt;=6.5,"R",IF(NOTAS!V33&lt;=8.5,"B",IF(NOTAS!V33&lt;=10,"E","Error")))))</f>
        <v/>
      </c>
      <c r="W35" s="137" t="str">
        <f>IF(NOTAS!W33="","",IF(NOTAS!W33&lt;=4.5,"EC",IF(NOTAS!W33&lt;=6.5,"R",IF(NOTAS!W33&lt;=8.5,"B",IF(NOTAS!W33&lt;=10,"E","Error")))))</f>
        <v/>
      </c>
      <c r="X35" s="137" t="str">
        <f>IF(NOTAS!X33="","",IF(NOTAS!X33&lt;=4.5,"EC",IF(NOTAS!X33&lt;=6.5,"R",IF(NOTAS!X33&lt;=8.5,"B",IF(NOTAS!X33&lt;=10,"E","Error")))))</f>
        <v/>
      </c>
      <c r="Y35" s="137" t="str">
        <f>IF(NOTAS!Y33="","",IF(NOTAS!Y33&lt;=4.5,"EC",IF(NOTAS!Y33&lt;=6.5,"R",IF(NOTAS!Y33&lt;=8.5,"B",IF(NOTAS!Y33&lt;=10,"E","Error")))))</f>
        <v/>
      </c>
      <c r="Z35" s="137" t="str">
        <f>IF(NOTAS!Z33="","",IF(NOTAS!Z33&lt;=4.5,"EC",IF(NOTAS!Z33&lt;=6.5,"R",IF(NOTAS!Z33&lt;=8.5,"B",IF(NOTAS!Z33&lt;=10,"E","Error")))))</f>
        <v/>
      </c>
      <c r="AA35" s="141" t="str">
        <f>IF(NOTAS!AA33="","",IF(NOTAS!AA33&lt;=4.5,"EC",IF(NOTAS!AA33&lt;=6.5,"R",IF(NOTAS!AA33&lt;=8.5,"B",IF(NOTAS!AA33&lt;=10,"E","Error")))))</f>
        <v/>
      </c>
      <c r="AB35" s="137" t="str">
        <f>IF(NOTAS!AB33="","",IF(NOTAS!AB33&lt;=4.5,"EC",IF(NOTAS!AB33&lt;=6.5,"R",IF(NOTAS!AB33&lt;=8.5,"B",IF(NOTAS!AB33&lt;=10,"E","Error")))))</f>
        <v/>
      </c>
      <c r="AC35" s="137" t="str">
        <f>IF(NOTAS!AC33="","",IF(NOTAS!AC33&lt;=4.5,"EC",IF(NOTAS!AC33&lt;=6.5,"R",IF(NOTAS!AC33&lt;=8.5,"B",IF(NOTAS!AC33&lt;=10,"E","Error")))))</f>
        <v/>
      </c>
      <c r="AD35" s="137" t="str">
        <f>IF(NOTAS!AD33="","",IF(NOTAS!AD33&lt;=4.5,"EC",IF(NOTAS!AD33&lt;=6.5,"R",IF(NOTAS!AD33&lt;=8.5,"B",IF(NOTAS!AD33&lt;=10,"E","Error")))))</f>
        <v/>
      </c>
      <c r="AE35" s="137" t="str">
        <f>IF(NOTAS!AE33="","",IF(NOTAS!AE33&lt;=4.5,"EC",IF(NOTAS!AE33&lt;=6.5,"R",IF(NOTAS!AE33&lt;=8.5,"B",IF(NOTAS!AE33&lt;=10,"E","Error")))))</f>
        <v/>
      </c>
      <c r="AF35" s="142" t="str">
        <f>IF(NOTAS!AF33="","",IF(NOTAS!AF33&lt;=4.5,"EC",IF(NOTAS!AF33&lt;=6.5,"R",IF(NOTAS!AF33&lt;=8.5,"B",IF(NOTAS!AF33&lt;=10,"E","Error")))))</f>
        <v/>
      </c>
      <c r="AG35" s="137" t="str">
        <f>IF(NOTAS!AG33="","",IF(NOTAS!AG33&lt;=4.5,"EC",IF(NOTAS!AG33&lt;=6.5,"R",IF(NOTAS!AG33&lt;=8.5,"B",IF(NOTAS!AG33&lt;=10,"E","Error")))))</f>
        <v/>
      </c>
      <c r="AH35" s="137" t="str">
        <f>IF(NOTAS!AH33="","",IF(NOTAS!AH33&lt;=4.5,"EC",IF(NOTAS!AH33&lt;=6.5,"R",IF(NOTAS!AH33&lt;=8.5,"B",IF(NOTAS!AH33&lt;=10,"E","Error")))))</f>
        <v/>
      </c>
      <c r="AI35" s="137" t="str">
        <f>IF(NOTAS!AI33="","",IF(NOTAS!AI33&lt;=4.5,"EC",IF(NOTAS!AI33&lt;=6.5,"R",IF(NOTAS!AI33&lt;=8.5,"B",IF(NOTAS!AI33&lt;=10,"E","Error")))))</f>
        <v/>
      </c>
      <c r="AJ35" s="137" t="str">
        <f>IF(NOTAS!AJ33="","",IF(NOTAS!AJ33&lt;=4.5,"EC",IF(NOTAS!AJ33&lt;=6.5,"R",IF(NOTAS!AJ33&lt;=8.5,"B",IF(NOTAS!AJ33&lt;=10,"E","Error")))))</f>
        <v/>
      </c>
      <c r="AK35" s="136" t="str">
        <f>IF(NOTAS!AK33="","",IF(NOTAS!AK33&lt;=4.5,"EC",IF(NOTAS!AK33&lt;=6.5,"R",IF(NOTAS!AK33&lt;=8.5,"B",IF(NOTAS!AK33&lt;=10,"E","Error")))))</f>
        <v/>
      </c>
      <c r="AL35" s="137" t="str">
        <f>IF(NOTAS!AL33="","",IF(NOTAS!AL33&lt;=4.5,"EC",IF(NOTAS!AL33&lt;=6.5,"R",IF(NOTAS!AL33&lt;=8.5,"B",IF(NOTAS!AL33&lt;=10,"E","Error")))))</f>
        <v/>
      </c>
      <c r="AM35" s="137" t="str">
        <f>IF(NOTAS!AM33="","",IF(NOTAS!AM33&lt;=4.5,"EC",IF(NOTAS!AM33&lt;=6.5,"R",IF(NOTAS!AM33&lt;=8.5,"B",IF(NOTAS!AM33&lt;=10,"E","Error")))))</f>
        <v/>
      </c>
      <c r="AN35" s="137" t="str">
        <f>IF(NOTAS!AN33="","",IF(NOTAS!AN33&lt;=4.5,"EC",IF(NOTAS!AN33&lt;=6.5,"R",IF(NOTAS!AN33&lt;=8.5,"B",IF(NOTAS!AN33&lt;=10,"E","Error")))))</f>
        <v/>
      </c>
      <c r="AO35" s="137" t="str">
        <f>IF(NOTAS!AO33="","",IF(NOTAS!AO33&lt;=4.5,"EC",IF(NOTAS!AO33&lt;=6.5,"R",IF(NOTAS!AO33&lt;=8.5,"B",IF(NOTAS!AO33&lt;=10,"E","Error")))))</f>
        <v/>
      </c>
      <c r="AP35" s="136" t="str">
        <f>IF(NOTAS!AP33="","",IF(NOTAS!AP33&lt;=4.5,"EC",IF(NOTAS!AP33&lt;=6.5,"R",IF(NOTAS!AP33&lt;=8.5,"B",IF(NOTAS!AP33&lt;=10,"E","Error")))))</f>
        <v/>
      </c>
      <c r="AQ35" s="155" t="str">
        <f>NOTAS!AR33</f>
        <v>****</v>
      </c>
      <c r="AR35" s="156" t="str">
        <f>NOTAS!AS33</f>
        <v>****</v>
      </c>
      <c r="AS35" s="157" t="str">
        <f>NOTAS!AT33</f>
        <v>****</v>
      </c>
      <c r="AT35" s="157" t="str">
        <f>NOTAS!AU33</f>
        <v>****</v>
      </c>
    </row>
    <row r="36" spans="1:46" ht="15.75" thickBot="1">
      <c r="A36" s="42">
        <f t="shared" si="0"/>
        <v>27</v>
      </c>
      <c r="B36" s="100" t="str">
        <f>IF(NOTAS!B34&lt;&gt;"",NOTAS!B34,"")</f>
        <v/>
      </c>
      <c r="C36" s="169" t="str">
        <f>IF(NOTAS!C34="","",IF(NOTAS!C34&lt;=4.5,"EC",IF(NOTAS!C34&lt;=6.5,"R",IF(NOTAS!C34&lt;=8.5,"B",IF(NOTAS!C34&lt;=10,"E","Error")))))</f>
        <v/>
      </c>
      <c r="D36" s="170" t="str">
        <f>IF(NOTAS!D34="","",IF(NOTAS!D34&lt;=4.5,"EC",IF(NOTAS!D34&lt;=6.5,"R",IF(NOTAS!D34&lt;=8.5,"B",IF(NOTAS!D34&lt;=10,"E","Error")))))</f>
        <v/>
      </c>
      <c r="E36" s="169" t="str">
        <f>IF(NOTAS!E34="","",IF(NOTAS!E34&lt;=4.5,"EC",IF(NOTAS!E34&lt;=6.5,"R",IF(NOTAS!E34&lt;=8.5,"B",IF(NOTAS!E34&lt;=10,"E","Error")))))</f>
        <v/>
      </c>
      <c r="F36" s="171" t="str">
        <f>IF(NOTAS!F34="","",IF(NOTAS!F34&lt;=4.5,"EC",IF(NOTAS!F34&lt;=6.5,"R",IF(NOTAS!F34&lt;=8.5,"B",IF(NOTAS!F34&lt;=10,"E","Error")))))</f>
        <v/>
      </c>
      <c r="G36" s="136" t="str">
        <f>IF(NOTAS!G34="","",IF(NOTAS!G34&lt;=4.5,"EC",IF(NOTAS!G34&lt;=6.5,"R",IF(NOTAS!G34&lt;=8.5,"B",IF(NOTAS!G34&lt;=10,"E","Error")))))</f>
        <v/>
      </c>
      <c r="H36" s="137" t="str">
        <f>IF(NOTAS!H34="","",IF(NOTAS!H34&lt;=4.5,"EC",IF(NOTAS!H34&lt;=6.5,"R",IF(NOTAS!H34&lt;=8.5,"B",IF(NOTAS!H34&lt;=10,"E","")))))</f>
        <v/>
      </c>
      <c r="I36" s="137" t="str">
        <f>IF(NOTAS!I34="","",IF(NOTAS!I34&lt;=4.5,"EC",IF(NOTAS!I34&lt;=6.5,"R",IF(NOTAS!I34&lt;=8.5,"B",IF(NOTAS!I34&lt;=10,"E","Error")))))</f>
        <v/>
      </c>
      <c r="J36" s="137" t="str">
        <f>IF(NOTAS!J34="","",IF(NOTAS!J34&lt;=4.5,"EC",IF(NOTAS!J34&lt;=6.5,"R",IF(NOTAS!J34&lt;=8.5,"B",IF(NOTAS!J34&lt;=10,"E","Error")))))</f>
        <v/>
      </c>
      <c r="K36" s="137" t="str">
        <f>IF(NOTAS!K34="","",IF(NOTAS!K34&lt;=4.5,"EC",IF(NOTAS!K34&lt;=6.5,"R",IF(NOTAS!K34&lt;=8.5,"B",IF(NOTAS!K34&lt;=10,"E","Error")))))</f>
        <v/>
      </c>
      <c r="L36" s="138" t="str">
        <f>IF(NOTAS!L34="","",IF(NOTAS!L34&lt;=4.5,"EC",IF(NOTAS!L34&lt;=6.5,"R",IF(NOTAS!L34&lt;=8.5,"B",IF(NOTAS!L34&lt;=10,"E","Error")))))</f>
        <v/>
      </c>
      <c r="M36" s="137" t="str">
        <f>IF(NOTAS!M34="","",IF(NOTAS!M34&lt;=4.5,"EC",IF(NOTAS!M34&lt;=6.5,"R",IF(NOTAS!M34&lt;=8.5,"B",IF(NOTAS!M34&lt;=10,"E","Error")))))</f>
        <v/>
      </c>
      <c r="N36" s="137" t="str">
        <f>IF(NOTAS!N34="","",IF(NOTAS!N34&lt;=4.5,"EC",IF(NOTAS!N34&lt;=6.5,"R",IF(NOTAS!N34&lt;=8.5,"B",IF(NOTAS!N34&lt;=10,"E","Error")))))</f>
        <v/>
      </c>
      <c r="O36" s="137" t="str">
        <f>IF(NOTAS!O34="","",IF(NOTAS!O34&lt;=4.5,"EC",IF(NOTAS!O34&lt;=6.5,"R",IF(NOTAS!O34&lt;=8.5,"B",IF(NOTAS!O34&lt;=10,"E","Error")))))</f>
        <v/>
      </c>
      <c r="P36" s="137" t="str">
        <f>IF(NOTAS!P34="","",IF(NOTAS!P34&lt;=4.5,"EC",IF(NOTAS!P34&lt;=6.5,"R",IF(NOTAS!P34&lt;=8.5,"B",IF(NOTAS!P34&lt;=10,"E","Error")))))</f>
        <v/>
      </c>
      <c r="Q36" s="139" t="str">
        <f>IF(NOTAS!Q34="","",IF(NOTAS!Q34&lt;=4.5,"EC",IF(NOTAS!Q34&lt;=6.5,"R",IF(NOTAS!Q34&lt;=8.5,"B",IF(NOTAS!Q34&lt;=10,"E","Error")))))</f>
        <v/>
      </c>
      <c r="R36" s="137" t="str">
        <f>IF(NOTAS!R34="","",IF(NOTAS!R34&lt;=4.5,"EC",IF(NOTAS!R34&lt;=6.5,"R",IF(NOTAS!R34&lt;=8.5,"B",IF(NOTAS!R34&lt;=10,"E","Error")))))</f>
        <v/>
      </c>
      <c r="S36" s="137" t="str">
        <f>IF(NOTAS!S34="","",IF(NOTAS!S34&lt;=4.5,"EC",IF(NOTAS!S34&lt;=6.5,"R",IF(NOTAS!S34&lt;=8.5,"B",IF(NOTAS!S34&lt;=10,"E","Error")))))</f>
        <v/>
      </c>
      <c r="T36" s="137" t="str">
        <f>IF(NOTAS!T34="","",IF(NOTAS!T34&lt;=4.5,"EC",IF(NOTAS!T34&lt;=6.5,"R",IF(NOTAS!T34&lt;=8.5,"B",IF(NOTAS!T34&lt;=10,"E","Error")))))</f>
        <v/>
      </c>
      <c r="U36" s="137" t="str">
        <f>IF(NOTAS!U34="","",IF(NOTAS!U34&lt;=4.5,"EC",IF(NOTAS!U34&lt;=6.5,"R",IF(NOTAS!U34&lt;=8.5,"B",IF(NOTAS!U34&lt;=10,"E","Error")))))</f>
        <v/>
      </c>
      <c r="V36" s="140" t="str">
        <f>IF(NOTAS!V34="","",IF(NOTAS!V34&lt;=4.5,"EC",IF(NOTAS!V34&lt;=6.5,"R",IF(NOTAS!V34&lt;=8.5,"B",IF(NOTAS!V34&lt;=10,"E","Error")))))</f>
        <v/>
      </c>
      <c r="W36" s="137" t="str">
        <f>IF(NOTAS!W34="","",IF(NOTAS!W34&lt;=4.5,"EC",IF(NOTAS!W34&lt;=6.5,"R",IF(NOTAS!W34&lt;=8.5,"B",IF(NOTAS!W34&lt;=10,"E","Error")))))</f>
        <v/>
      </c>
      <c r="X36" s="137" t="str">
        <f>IF(NOTAS!X34="","",IF(NOTAS!X34&lt;=4.5,"EC",IF(NOTAS!X34&lt;=6.5,"R",IF(NOTAS!X34&lt;=8.5,"B",IF(NOTAS!X34&lt;=10,"E","Error")))))</f>
        <v/>
      </c>
      <c r="Y36" s="137" t="str">
        <f>IF(NOTAS!Y34="","",IF(NOTAS!Y34&lt;=4.5,"EC",IF(NOTAS!Y34&lt;=6.5,"R",IF(NOTAS!Y34&lt;=8.5,"B",IF(NOTAS!Y34&lt;=10,"E","Error")))))</f>
        <v/>
      </c>
      <c r="Z36" s="137" t="str">
        <f>IF(NOTAS!Z34="","",IF(NOTAS!Z34&lt;=4.5,"EC",IF(NOTAS!Z34&lt;=6.5,"R",IF(NOTAS!Z34&lt;=8.5,"B",IF(NOTAS!Z34&lt;=10,"E","Error")))))</f>
        <v/>
      </c>
      <c r="AA36" s="141" t="str">
        <f>IF(NOTAS!AA34="","",IF(NOTAS!AA34&lt;=4.5,"EC",IF(NOTAS!AA34&lt;=6.5,"R",IF(NOTAS!AA34&lt;=8.5,"B",IF(NOTAS!AA34&lt;=10,"E","Error")))))</f>
        <v/>
      </c>
      <c r="AB36" s="137" t="str">
        <f>IF(NOTAS!AB34="","",IF(NOTAS!AB34&lt;=4.5,"EC",IF(NOTAS!AB34&lt;=6.5,"R",IF(NOTAS!AB34&lt;=8.5,"B",IF(NOTAS!AB34&lt;=10,"E","Error")))))</f>
        <v/>
      </c>
      <c r="AC36" s="137" t="str">
        <f>IF(NOTAS!AC34="","",IF(NOTAS!AC34&lt;=4.5,"EC",IF(NOTAS!AC34&lt;=6.5,"R",IF(NOTAS!AC34&lt;=8.5,"B",IF(NOTAS!AC34&lt;=10,"E","Error")))))</f>
        <v/>
      </c>
      <c r="AD36" s="137" t="str">
        <f>IF(NOTAS!AD34="","",IF(NOTAS!AD34&lt;=4.5,"EC",IF(NOTAS!AD34&lt;=6.5,"R",IF(NOTAS!AD34&lt;=8.5,"B",IF(NOTAS!AD34&lt;=10,"E","Error")))))</f>
        <v/>
      </c>
      <c r="AE36" s="137" t="str">
        <f>IF(NOTAS!AE34="","",IF(NOTAS!AE34&lt;=4.5,"EC",IF(NOTAS!AE34&lt;=6.5,"R",IF(NOTAS!AE34&lt;=8.5,"B",IF(NOTAS!AE34&lt;=10,"E","Error")))))</f>
        <v/>
      </c>
      <c r="AF36" s="142" t="str">
        <f>IF(NOTAS!AF34="","",IF(NOTAS!AF34&lt;=4.5,"EC",IF(NOTAS!AF34&lt;=6.5,"R",IF(NOTAS!AF34&lt;=8.5,"B",IF(NOTAS!AF34&lt;=10,"E","Error")))))</f>
        <v/>
      </c>
      <c r="AG36" s="137" t="str">
        <f>IF(NOTAS!AG34="","",IF(NOTAS!AG34&lt;=4.5,"EC",IF(NOTAS!AG34&lt;=6.5,"R",IF(NOTAS!AG34&lt;=8.5,"B",IF(NOTAS!AG34&lt;=10,"E","Error")))))</f>
        <v/>
      </c>
      <c r="AH36" s="137" t="str">
        <f>IF(NOTAS!AH34="","",IF(NOTAS!AH34&lt;=4.5,"EC",IF(NOTAS!AH34&lt;=6.5,"R",IF(NOTAS!AH34&lt;=8.5,"B",IF(NOTAS!AH34&lt;=10,"E","Error")))))</f>
        <v/>
      </c>
      <c r="AI36" s="137" t="str">
        <f>IF(NOTAS!AI34="","",IF(NOTAS!AI34&lt;=4.5,"EC",IF(NOTAS!AI34&lt;=6.5,"R",IF(NOTAS!AI34&lt;=8.5,"B",IF(NOTAS!AI34&lt;=10,"E","Error")))))</f>
        <v/>
      </c>
      <c r="AJ36" s="137" t="str">
        <f>IF(NOTAS!AJ34="","",IF(NOTAS!AJ34&lt;=4.5,"EC",IF(NOTAS!AJ34&lt;=6.5,"R",IF(NOTAS!AJ34&lt;=8.5,"B",IF(NOTAS!AJ34&lt;=10,"E","Error")))))</f>
        <v/>
      </c>
      <c r="AK36" s="136" t="str">
        <f>IF(NOTAS!AK34="","",IF(NOTAS!AK34&lt;=4.5,"EC",IF(NOTAS!AK34&lt;=6.5,"R",IF(NOTAS!AK34&lt;=8.5,"B",IF(NOTAS!AK34&lt;=10,"E","Error")))))</f>
        <v/>
      </c>
      <c r="AL36" s="137" t="str">
        <f>IF(NOTAS!AL34="","",IF(NOTAS!AL34&lt;=4.5,"EC",IF(NOTAS!AL34&lt;=6.5,"R",IF(NOTAS!AL34&lt;=8.5,"B",IF(NOTAS!AL34&lt;=10,"E","Error")))))</f>
        <v/>
      </c>
      <c r="AM36" s="137" t="str">
        <f>IF(NOTAS!AM34="","",IF(NOTAS!AM34&lt;=4.5,"EC",IF(NOTAS!AM34&lt;=6.5,"R",IF(NOTAS!AM34&lt;=8.5,"B",IF(NOTAS!AM34&lt;=10,"E","Error")))))</f>
        <v/>
      </c>
      <c r="AN36" s="137" t="str">
        <f>IF(NOTAS!AN34="","",IF(NOTAS!AN34&lt;=4.5,"EC",IF(NOTAS!AN34&lt;=6.5,"R",IF(NOTAS!AN34&lt;=8.5,"B",IF(NOTAS!AN34&lt;=10,"E","Error")))))</f>
        <v/>
      </c>
      <c r="AO36" s="137" t="str">
        <f>IF(NOTAS!AO34="","",IF(NOTAS!AO34&lt;=4.5,"EC",IF(NOTAS!AO34&lt;=6.5,"R",IF(NOTAS!AO34&lt;=8.5,"B",IF(NOTAS!AO34&lt;=10,"E","Error")))))</f>
        <v/>
      </c>
      <c r="AP36" s="136" t="str">
        <f>IF(NOTAS!AP34="","",IF(NOTAS!AP34&lt;=4.5,"EC",IF(NOTAS!AP34&lt;=6.5,"R",IF(NOTAS!AP34&lt;=8.5,"B",IF(NOTAS!AP34&lt;=10,"E","Error")))))</f>
        <v/>
      </c>
      <c r="AQ36" s="155" t="str">
        <f>NOTAS!AR34</f>
        <v>****</v>
      </c>
      <c r="AR36" s="156" t="str">
        <f>NOTAS!AS34</f>
        <v>****</v>
      </c>
      <c r="AS36" s="157" t="str">
        <f>NOTAS!AT34</f>
        <v>****</v>
      </c>
      <c r="AT36" s="157" t="str">
        <f>NOTAS!AU34</f>
        <v>****</v>
      </c>
    </row>
    <row r="37" spans="1:46" ht="15.75" thickBot="1">
      <c r="A37" s="42">
        <f t="shared" si="0"/>
        <v>28</v>
      </c>
      <c r="B37" s="100" t="str">
        <f>IF(NOTAS!B35&lt;&gt;"",NOTAS!B35,"")</f>
        <v/>
      </c>
      <c r="C37" s="172" t="str">
        <f>IF(NOTAS!C35="","",IF(NOTAS!C35&lt;=4.5,"EC",IF(NOTAS!C35&lt;=6.5,"R",IF(NOTAS!C35&lt;=8.5,"B",IF(NOTAS!C35&lt;=10,"E","Error")))))</f>
        <v/>
      </c>
      <c r="D37" s="173" t="str">
        <f>IF(NOTAS!D35="","",IF(NOTAS!D35&lt;=4.5,"EC",IF(NOTAS!D35&lt;=6.5,"R",IF(NOTAS!D35&lt;=8.5,"B",IF(NOTAS!D35&lt;=10,"E","Error")))))</f>
        <v/>
      </c>
      <c r="E37" s="172" t="str">
        <f>IF(NOTAS!E35="","",IF(NOTAS!E35&lt;=4.5,"EC",IF(NOTAS!E35&lt;=6.5,"R",IF(NOTAS!E35&lt;=8.5,"B",IF(NOTAS!E35&lt;=10,"E","Error")))))</f>
        <v/>
      </c>
      <c r="F37" s="173" t="str">
        <f>IF(NOTAS!F35="","",IF(NOTAS!F35&lt;=4.5,"EC",IF(NOTAS!F35&lt;=6.5,"R",IF(NOTAS!F35&lt;=8.5,"B",IF(NOTAS!F35&lt;=10,"E","Error")))))</f>
        <v/>
      </c>
      <c r="G37" s="136" t="str">
        <f>IF(NOTAS!G35="","",IF(NOTAS!G35&lt;=4.5,"EC",IF(NOTAS!G35&lt;=6.5,"R",IF(NOTAS!G35&lt;=8.5,"B",IF(NOTAS!G35&lt;=10,"E","Error")))))</f>
        <v/>
      </c>
      <c r="H37" s="137" t="str">
        <f>IF(NOTAS!H35="","",IF(NOTAS!H35&lt;=4.5,"EC",IF(NOTAS!H35&lt;=6.5,"R",IF(NOTAS!H35&lt;=8.5,"B",IF(NOTAS!H35&lt;=10,"E","")))))</f>
        <v/>
      </c>
      <c r="I37" s="137" t="str">
        <f>IF(NOTAS!I35="","",IF(NOTAS!I35&lt;=4.5,"EC",IF(NOTAS!I35&lt;=6.5,"R",IF(NOTAS!I35&lt;=8.5,"B",IF(NOTAS!I35&lt;=10,"E","Error")))))</f>
        <v/>
      </c>
      <c r="J37" s="137" t="str">
        <f>IF(NOTAS!J35="","",IF(NOTAS!J35&lt;=4.5,"EC",IF(NOTAS!J35&lt;=6.5,"R",IF(NOTAS!J35&lt;=8.5,"B",IF(NOTAS!J35&lt;=10,"E","Error")))))</f>
        <v/>
      </c>
      <c r="K37" s="137" t="str">
        <f>IF(NOTAS!K35="","",IF(NOTAS!K35&lt;=4.5,"EC",IF(NOTAS!K35&lt;=6.5,"R",IF(NOTAS!K35&lt;=8.5,"B",IF(NOTAS!K35&lt;=10,"E","Error")))))</f>
        <v/>
      </c>
      <c r="L37" s="138" t="str">
        <f>IF(NOTAS!L35="","",IF(NOTAS!L35&lt;=4.5,"EC",IF(NOTAS!L35&lt;=6.5,"R",IF(NOTAS!L35&lt;=8.5,"B",IF(NOTAS!L35&lt;=10,"E","Error")))))</f>
        <v/>
      </c>
      <c r="M37" s="137" t="str">
        <f>IF(NOTAS!M35="","",IF(NOTAS!M35&lt;=4.5,"EC",IF(NOTAS!M35&lt;=6.5,"R",IF(NOTAS!M35&lt;=8.5,"B",IF(NOTAS!M35&lt;=10,"E","Error")))))</f>
        <v/>
      </c>
      <c r="N37" s="137" t="str">
        <f>IF(NOTAS!N35="","",IF(NOTAS!N35&lt;=4.5,"EC",IF(NOTAS!N35&lt;=6.5,"R",IF(NOTAS!N35&lt;=8.5,"B",IF(NOTAS!N35&lt;=10,"E","Error")))))</f>
        <v/>
      </c>
      <c r="O37" s="137" t="str">
        <f>IF(NOTAS!O35="","",IF(NOTAS!O35&lt;=4.5,"EC",IF(NOTAS!O35&lt;=6.5,"R",IF(NOTAS!O35&lt;=8.5,"B",IF(NOTAS!O35&lt;=10,"E","Error")))))</f>
        <v/>
      </c>
      <c r="P37" s="137" t="str">
        <f>IF(NOTAS!P35="","",IF(NOTAS!P35&lt;=4.5,"EC",IF(NOTAS!P35&lt;=6.5,"R",IF(NOTAS!P35&lt;=8.5,"B",IF(NOTAS!P35&lt;=10,"E","Error")))))</f>
        <v/>
      </c>
      <c r="Q37" s="139" t="str">
        <f>IF(NOTAS!Q35="","",IF(NOTAS!Q35&lt;=4.5,"EC",IF(NOTAS!Q35&lt;=6.5,"R",IF(NOTAS!Q35&lt;=8.5,"B",IF(NOTAS!Q35&lt;=10,"E","Error")))))</f>
        <v/>
      </c>
      <c r="R37" s="137" t="str">
        <f>IF(NOTAS!R35="","",IF(NOTAS!R35&lt;=4.5,"EC",IF(NOTAS!R35&lt;=6.5,"R",IF(NOTAS!R35&lt;=8.5,"B",IF(NOTAS!R35&lt;=10,"E","Error")))))</f>
        <v/>
      </c>
      <c r="S37" s="137" t="str">
        <f>IF(NOTAS!S35="","",IF(NOTAS!S35&lt;=4.5,"EC",IF(NOTAS!S35&lt;=6.5,"R",IF(NOTAS!S35&lt;=8.5,"B",IF(NOTAS!S35&lt;=10,"E","Error")))))</f>
        <v/>
      </c>
      <c r="T37" s="137" t="str">
        <f>IF(NOTAS!T35="","",IF(NOTAS!T35&lt;=4.5,"EC",IF(NOTAS!T35&lt;=6.5,"R",IF(NOTAS!T35&lt;=8.5,"B",IF(NOTAS!T35&lt;=10,"E","Error")))))</f>
        <v/>
      </c>
      <c r="U37" s="137" t="str">
        <f>IF(NOTAS!U35="","",IF(NOTAS!U35&lt;=4.5,"EC",IF(NOTAS!U35&lt;=6.5,"R",IF(NOTAS!U35&lt;=8.5,"B",IF(NOTAS!U35&lt;=10,"E","Error")))))</f>
        <v/>
      </c>
      <c r="V37" s="140" t="str">
        <f>IF(NOTAS!V35="","",IF(NOTAS!V35&lt;=4.5,"EC",IF(NOTAS!V35&lt;=6.5,"R",IF(NOTAS!V35&lt;=8.5,"B",IF(NOTAS!V35&lt;=10,"E","Error")))))</f>
        <v/>
      </c>
      <c r="W37" s="137" t="str">
        <f>IF(NOTAS!W35="","",IF(NOTAS!W35&lt;=4.5,"EC",IF(NOTAS!W35&lt;=6.5,"R",IF(NOTAS!W35&lt;=8.5,"B",IF(NOTAS!W35&lt;=10,"E","Error")))))</f>
        <v/>
      </c>
      <c r="X37" s="137" t="str">
        <f>IF(NOTAS!X35="","",IF(NOTAS!X35&lt;=4.5,"EC",IF(NOTAS!X35&lt;=6.5,"R",IF(NOTAS!X35&lt;=8.5,"B",IF(NOTAS!X35&lt;=10,"E","Error")))))</f>
        <v/>
      </c>
      <c r="Y37" s="137" t="str">
        <f>IF(NOTAS!Y35="","",IF(NOTAS!Y35&lt;=4.5,"EC",IF(NOTAS!Y35&lt;=6.5,"R",IF(NOTAS!Y35&lt;=8.5,"B",IF(NOTAS!Y35&lt;=10,"E","Error")))))</f>
        <v/>
      </c>
      <c r="Z37" s="137" t="str">
        <f>IF(NOTAS!Z35="","",IF(NOTAS!Z35&lt;=4.5,"EC",IF(NOTAS!Z35&lt;=6.5,"R",IF(NOTAS!Z35&lt;=8.5,"B",IF(NOTAS!Z35&lt;=10,"E","Error")))))</f>
        <v/>
      </c>
      <c r="AA37" s="141" t="str">
        <f>IF(NOTAS!AA35="","",IF(NOTAS!AA35&lt;=4.5,"EC",IF(NOTAS!AA35&lt;=6.5,"R",IF(NOTAS!AA35&lt;=8.5,"B",IF(NOTAS!AA35&lt;=10,"E","Error")))))</f>
        <v/>
      </c>
      <c r="AB37" s="137" t="str">
        <f>IF(NOTAS!AB35="","",IF(NOTAS!AB35&lt;=4.5,"EC",IF(NOTAS!AB35&lt;=6.5,"R",IF(NOTAS!AB35&lt;=8.5,"B",IF(NOTAS!AB35&lt;=10,"E","Error")))))</f>
        <v/>
      </c>
      <c r="AC37" s="137" t="str">
        <f>IF(NOTAS!AC35="","",IF(NOTAS!AC35&lt;=4.5,"EC",IF(NOTAS!AC35&lt;=6.5,"R",IF(NOTAS!AC35&lt;=8.5,"B",IF(NOTAS!AC35&lt;=10,"E","Error")))))</f>
        <v/>
      </c>
      <c r="AD37" s="137" t="str">
        <f>IF(NOTAS!AD35="","",IF(NOTAS!AD35&lt;=4.5,"EC",IF(NOTAS!AD35&lt;=6.5,"R",IF(NOTAS!AD35&lt;=8.5,"B",IF(NOTAS!AD35&lt;=10,"E","Error")))))</f>
        <v/>
      </c>
      <c r="AE37" s="137" t="str">
        <f>IF(NOTAS!AE35="","",IF(NOTAS!AE35&lt;=4.5,"EC",IF(NOTAS!AE35&lt;=6.5,"R",IF(NOTAS!AE35&lt;=8.5,"B",IF(NOTAS!AE35&lt;=10,"E","Error")))))</f>
        <v/>
      </c>
      <c r="AF37" s="142" t="str">
        <f>IF(NOTAS!AF35="","",IF(NOTAS!AF35&lt;=4.5,"EC",IF(NOTAS!AF35&lt;=6.5,"R",IF(NOTAS!AF35&lt;=8.5,"B",IF(NOTAS!AF35&lt;=10,"E","Error")))))</f>
        <v/>
      </c>
      <c r="AG37" s="137" t="str">
        <f>IF(NOTAS!AG35="","",IF(NOTAS!AG35&lt;=4.5,"EC",IF(NOTAS!AG35&lt;=6.5,"R",IF(NOTAS!AG35&lt;=8.5,"B",IF(NOTAS!AG35&lt;=10,"E","Error")))))</f>
        <v/>
      </c>
      <c r="AH37" s="137" t="str">
        <f>IF(NOTAS!AH35="","",IF(NOTAS!AH35&lt;=4.5,"EC",IF(NOTAS!AH35&lt;=6.5,"R",IF(NOTAS!AH35&lt;=8.5,"B",IF(NOTAS!AH35&lt;=10,"E","Error")))))</f>
        <v/>
      </c>
      <c r="AI37" s="137" t="str">
        <f>IF(NOTAS!AI35="","",IF(NOTAS!AI35&lt;=4.5,"EC",IF(NOTAS!AI35&lt;=6.5,"R",IF(NOTAS!AI35&lt;=8.5,"B",IF(NOTAS!AI35&lt;=10,"E","Error")))))</f>
        <v/>
      </c>
      <c r="AJ37" s="137" t="str">
        <f>IF(NOTAS!AJ35="","",IF(NOTAS!AJ35&lt;=4.5,"EC",IF(NOTAS!AJ35&lt;=6.5,"R",IF(NOTAS!AJ35&lt;=8.5,"B",IF(NOTAS!AJ35&lt;=10,"E","Error")))))</f>
        <v/>
      </c>
      <c r="AK37" s="136" t="str">
        <f>IF(NOTAS!AK35="","",IF(NOTAS!AK35&lt;=4.5,"EC",IF(NOTAS!AK35&lt;=6.5,"R",IF(NOTAS!AK35&lt;=8.5,"B",IF(NOTAS!AK35&lt;=10,"E","Error")))))</f>
        <v/>
      </c>
      <c r="AL37" s="137" t="str">
        <f>IF(NOTAS!AL35="","",IF(NOTAS!AL35&lt;=4.5,"EC",IF(NOTAS!AL35&lt;=6.5,"R",IF(NOTAS!AL35&lt;=8.5,"B",IF(NOTAS!AL35&lt;=10,"E","Error")))))</f>
        <v/>
      </c>
      <c r="AM37" s="137" t="str">
        <f>IF(NOTAS!AM35="","",IF(NOTAS!AM35&lt;=4.5,"EC",IF(NOTAS!AM35&lt;=6.5,"R",IF(NOTAS!AM35&lt;=8.5,"B",IF(NOTAS!AM35&lt;=10,"E","Error")))))</f>
        <v/>
      </c>
      <c r="AN37" s="137" t="str">
        <f>IF(NOTAS!AN35="","",IF(NOTAS!AN35&lt;=4.5,"EC",IF(NOTAS!AN35&lt;=6.5,"R",IF(NOTAS!AN35&lt;=8.5,"B",IF(NOTAS!AN35&lt;=10,"E","Error")))))</f>
        <v/>
      </c>
      <c r="AO37" s="137" t="str">
        <f>IF(NOTAS!AO35="","",IF(NOTAS!AO35&lt;=4.5,"EC",IF(NOTAS!AO35&lt;=6.5,"R",IF(NOTAS!AO35&lt;=8.5,"B",IF(NOTAS!AO35&lt;=10,"E","Error")))))</f>
        <v/>
      </c>
      <c r="AP37" s="136" t="str">
        <f>IF(NOTAS!AP35="","",IF(NOTAS!AP35&lt;=4.5,"EC",IF(NOTAS!AP35&lt;=6.5,"R",IF(NOTAS!AP35&lt;=8.5,"B",IF(NOTAS!AP35&lt;=10,"E","Error")))))</f>
        <v/>
      </c>
      <c r="AQ37" s="155" t="str">
        <f>NOTAS!AR35</f>
        <v>****</v>
      </c>
      <c r="AR37" s="156" t="str">
        <f>NOTAS!AS35</f>
        <v>****</v>
      </c>
      <c r="AS37" s="157" t="str">
        <f>NOTAS!AT35</f>
        <v>****</v>
      </c>
      <c r="AT37" s="157" t="str">
        <f>NOTAS!AU35</f>
        <v>****</v>
      </c>
    </row>
    <row r="38" spans="1:46" ht="15.75" thickBot="1">
      <c r="A38" s="42">
        <f t="shared" si="0"/>
        <v>29</v>
      </c>
      <c r="B38" s="100" t="str">
        <f>IF(NOTAS!B36&lt;&gt;"",NOTAS!B36,"")</f>
        <v/>
      </c>
      <c r="C38" s="169" t="str">
        <f>IF(NOTAS!C36="","",IF(NOTAS!C36&lt;=4.5,"EC",IF(NOTAS!C36&lt;=6.5,"R",IF(NOTAS!C36&lt;=8.5,"B",IF(NOTAS!C36&lt;=10,"E","Error")))))</f>
        <v/>
      </c>
      <c r="D38" s="170" t="str">
        <f>IF(NOTAS!D36="","",IF(NOTAS!D36&lt;=4.5,"EC",IF(NOTAS!D36&lt;=6.5,"R",IF(NOTAS!D36&lt;=8.5,"B",IF(NOTAS!D36&lt;=10,"E","Error")))))</f>
        <v/>
      </c>
      <c r="E38" s="169" t="str">
        <f>IF(NOTAS!E36="","",IF(NOTAS!E36&lt;=4.5,"EC",IF(NOTAS!E36&lt;=6.5,"R",IF(NOTAS!E36&lt;=8.5,"B",IF(NOTAS!E36&lt;=10,"E","Error")))))</f>
        <v/>
      </c>
      <c r="F38" s="171" t="str">
        <f>IF(NOTAS!F36="","",IF(NOTAS!F36&lt;=4.5,"EC",IF(NOTAS!F36&lt;=6.5,"R",IF(NOTAS!F36&lt;=8.5,"B",IF(NOTAS!F36&lt;=10,"E","Error")))))</f>
        <v/>
      </c>
      <c r="G38" s="136" t="str">
        <f>IF(NOTAS!G36="","",IF(NOTAS!G36&lt;=4.5,"EC",IF(NOTAS!G36&lt;=6.5,"R",IF(NOTAS!G36&lt;=8.5,"B",IF(NOTAS!G36&lt;=10,"E","Error")))))</f>
        <v/>
      </c>
      <c r="H38" s="137" t="str">
        <f>IF(NOTAS!H36="","",IF(NOTAS!H36&lt;=4.5,"EC",IF(NOTAS!H36&lt;=6.5,"R",IF(NOTAS!H36&lt;=8.5,"B",IF(NOTAS!H36&lt;=10,"E","")))))</f>
        <v/>
      </c>
      <c r="I38" s="137" t="str">
        <f>IF(NOTAS!I36="","",IF(NOTAS!I36&lt;=4.5,"EC",IF(NOTAS!I36&lt;=6.5,"R",IF(NOTAS!I36&lt;=8.5,"B",IF(NOTAS!I36&lt;=10,"E","Error")))))</f>
        <v/>
      </c>
      <c r="J38" s="137" t="str">
        <f>IF(NOTAS!J36="","",IF(NOTAS!J36&lt;=4.5,"EC",IF(NOTAS!J36&lt;=6.5,"R",IF(NOTAS!J36&lt;=8.5,"B",IF(NOTAS!J36&lt;=10,"E","Error")))))</f>
        <v/>
      </c>
      <c r="K38" s="137" t="str">
        <f>IF(NOTAS!K36="","",IF(NOTAS!K36&lt;=4.5,"EC",IF(NOTAS!K36&lt;=6.5,"R",IF(NOTAS!K36&lt;=8.5,"B",IF(NOTAS!K36&lt;=10,"E","Error")))))</f>
        <v/>
      </c>
      <c r="L38" s="138" t="str">
        <f>IF(NOTAS!L36="","",IF(NOTAS!L36&lt;=4.5,"EC",IF(NOTAS!L36&lt;=6.5,"R",IF(NOTAS!L36&lt;=8.5,"B",IF(NOTAS!L36&lt;=10,"E","Error")))))</f>
        <v/>
      </c>
      <c r="M38" s="137" t="str">
        <f>IF(NOTAS!M36="","",IF(NOTAS!M36&lt;=4.5,"EC",IF(NOTAS!M36&lt;=6.5,"R",IF(NOTAS!M36&lt;=8.5,"B",IF(NOTAS!M36&lt;=10,"E","Error")))))</f>
        <v/>
      </c>
      <c r="N38" s="137" t="str">
        <f>IF(NOTAS!N36="","",IF(NOTAS!N36&lt;=4.5,"EC",IF(NOTAS!N36&lt;=6.5,"R",IF(NOTAS!N36&lt;=8.5,"B",IF(NOTAS!N36&lt;=10,"E","Error")))))</f>
        <v/>
      </c>
      <c r="O38" s="137" t="str">
        <f>IF(NOTAS!O36="","",IF(NOTAS!O36&lt;=4.5,"EC",IF(NOTAS!O36&lt;=6.5,"R",IF(NOTAS!O36&lt;=8.5,"B",IF(NOTAS!O36&lt;=10,"E","Error")))))</f>
        <v/>
      </c>
      <c r="P38" s="137" t="str">
        <f>IF(NOTAS!P36="","",IF(NOTAS!P36&lt;=4.5,"EC",IF(NOTAS!P36&lt;=6.5,"R",IF(NOTAS!P36&lt;=8.5,"B",IF(NOTAS!P36&lt;=10,"E","Error")))))</f>
        <v/>
      </c>
      <c r="Q38" s="139" t="str">
        <f>IF(NOTAS!Q36="","",IF(NOTAS!Q36&lt;=4.5,"EC",IF(NOTAS!Q36&lt;=6.5,"R",IF(NOTAS!Q36&lt;=8.5,"B",IF(NOTAS!Q36&lt;=10,"E","Error")))))</f>
        <v/>
      </c>
      <c r="R38" s="137" t="str">
        <f>IF(NOTAS!R36="","",IF(NOTAS!R36&lt;=4.5,"EC",IF(NOTAS!R36&lt;=6.5,"R",IF(NOTAS!R36&lt;=8.5,"B",IF(NOTAS!R36&lt;=10,"E","Error")))))</f>
        <v/>
      </c>
      <c r="S38" s="137" t="str">
        <f>IF(NOTAS!S36="","",IF(NOTAS!S36&lt;=4.5,"EC",IF(NOTAS!S36&lt;=6.5,"R",IF(NOTAS!S36&lt;=8.5,"B",IF(NOTAS!S36&lt;=10,"E","Error")))))</f>
        <v/>
      </c>
      <c r="T38" s="137" t="str">
        <f>IF(NOTAS!T36="","",IF(NOTAS!T36&lt;=4.5,"EC",IF(NOTAS!T36&lt;=6.5,"R",IF(NOTAS!T36&lt;=8.5,"B",IF(NOTAS!T36&lt;=10,"E","Error")))))</f>
        <v/>
      </c>
      <c r="U38" s="137" t="str">
        <f>IF(NOTAS!U36="","",IF(NOTAS!U36&lt;=4.5,"EC",IF(NOTAS!U36&lt;=6.5,"R",IF(NOTAS!U36&lt;=8.5,"B",IF(NOTAS!U36&lt;=10,"E","Error")))))</f>
        <v/>
      </c>
      <c r="V38" s="140" t="str">
        <f>IF(NOTAS!V36="","",IF(NOTAS!V36&lt;=4.5,"EC",IF(NOTAS!V36&lt;=6.5,"R",IF(NOTAS!V36&lt;=8.5,"B",IF(NOTAS!V36&lt;=10,"E","Error")))))</f>
        <v/>
      </c>
      <c r="W38" s="137" t="str">
        <f>IF(NOTAS!W36="","",IF(NOTAS!W36&lt;=4.5,"EC",IF(NOTAS!W36&lt;=6.5,"R",IF(NOTAS!W36&lt;=8.5,"B",IF(NOTAS!W36&lt;=10,"E","Error")))))</f>
        <v/>
      </c>
      <c r="X38" s="137" t="str">
        <f>IF(NOTAS!X36="","",IF(NOTAS!X36&lt;=4.5,"EC",IF(NOTAS!X36&lt;=6.5,"R",IF(NOTAS!X36&lt;=8.5,"B",IF(NOTAS!X36&lt;=10,"E","Error")))))</f>
        <v/>
      </c>
      <c r="Y38" s="137" t="str">
        <f>IF(NOTAS!Y36="","",IF(NOTAS!Y36&lt;=4.5,"EC",IF(NOTAS!Y36&lt;=6.5,"R",IF(NOTAS!Y36&lt;=8.5,"B",IF(NOTAS!Y36&lt;=10,"E","Error")))))</f>
        <v/>
      </c>
      <c r="Z38" s="137" t="str">
        <f>IF(NOTAS!Z36="","",IF(NOTAS!Z36&lt;=4.5,"EC",IF(NOTAS!Z36&lt;=6.5,"R",IF(NOTAS!Z36&lt;=8.5,"B",IF(NOTAS!Z36&lt;=10,"E","Error")))))</f>
        <v/>
      </c>
      <c r="AA38" s="141" t="str">
        <f>IF(NOTAS!AA36="","",IF(NOTAS!AA36&lt;=4.5,"EC",IF(NOTAS!AA36&lt;=6.5,"R",IF(NOTAS!AA36&lt;=8.5,"B",IF(NOTAS!AA36&lt;=10,"E","Error")))))</f>
        <v/>
      </c>
      <c r="AB38" s="137" t="str">
        <f>IF(NOTAS!AB36="","",IF(NOTAS!AB36&lt;=4.5,"EC",IF(NOTAS!AB36&lt;=6.5,"R",IF(NOTAS!AB36&lt;=8.5,"B",IF(NOTAS!AB36&lt;=10,"E","Error")))))</f>
        <v/>
      </c>
      <c r="AC38" s="137" t="str">
        <f>IF(NOTAS!AC36="","",IF(NOTAS!AC36&lt;=4.5,"EC",IF(NOTAS!AC36&lt;=6.5,"R",IF(NOTAS!AC36&lt;=8.5,"B",IF(NOTAS!AC36&lt;=10,"E","Error")))))</f>
        <v/>
      </c>
      <c r="AD38" s="137" t="str">
        <f>IF(NOTAS!AD36="","",IF(NOTAS!AD36&lt;=4.5,"EC",IF(NOTAS!AD36&lt;=6.5,"R",IF(NOTAS!AD36&lt;=8.5,"B",IF(NOTAS!AD36&lt;=10,"E","Error")))))</f>
        <v/>
      </c>
      <c r="AE38" s="137" t="str">
        <f>IF(NOTAS!AE36="","",IF(NOTAS!AE36&lt;=4.5,"EC",IF(NOTAS!AE36&lt;=6.5,"R",IF(NOTAS!AE36&lt;=8.5,"B",IF(NOTAS!AE36&lt;=10,"E","Error")))))</f>
        <v/>
      </c>
      <c r="AF38" s="142" t="str">
        <f>IF(NOTAS!AF36="","",IF(NOTAS!AF36&lt;=4.5,"EC",IF(NOTAS!AF36&lt;=6.5,"R",IF(NOTAS!AF36&lt;=8.5,"B",IF(NOTAS!AF36&lt;=10,"E","Error")))))</f>
        <v/>
      </c>
      <c r="AG38" s="137" t="str">
        <f>IF(NOTAS!AG36="","",IF(NOTAS!AG36&lt;=4.5,"EC",IF(NOTAS!AG36&lt;=6.5,"R",IF(NOTAS!AG36&lt;=8.5,"B",IF(NOTAS!AG36&lt;=10,"E","Error")))))</f>
        <v/>
      </c>
      <c r="AH38" s="137" t="str">
        <f>IF(NOTAS!AH36="","",IF(NOTAS!AH36&lt;=4.5,"EC",IF(NOTAS!AH36&lt;=6.5,"R",IF(NOTAS!AH36&lt;=8.5,"B",IF(NOTAS!AH36&lt;=10,"E","Error")))))</f>
        <v/>
      </c>
      <c r="AI38" s="137" t="str">
        <f>IF(NOTAS!AI36="","",IF(NOTAS!AI36&lt;=4.5,"EC",IF(NOTAS!AI36&lt;=6.5,"R",IF(NOTAS!AI36&lt;=8.5,"B",IF(NOTAS!AI36&lt;=10,"E","Error")))))</f>
        <v/>
      </c>
      <c r="AJ38" s="137" t="str">
        <f>IF(NOTAS!AJ36="","",IF(NOTAS!AJ36&lt;=4.5,"EC",IF(NOTAS!AJ36&lt;=6.5,"R",IF(NOTAS!AJ36&lt;=8.5,"B",IF(NOTAS!AJ36&lt;=10,"E","Error")))))</f>
        <v/>
      </c>
      <c r="AK38" s="136" t="str">
        <f>IF(NOTAS!AK36="","",IF(NOTAS!AK36&lt;=4.5,"EC",IF(NOTAS!AK36&lt;=6.5,"R",IF(NOTAS!AK36&lt;=8.5,"B",IF(NOTAS!AK36&lt;=10,"E","Error")))))</f>
        <v/>
      </c>
      <c r="AL38" s="137" t="str">
        <f>IF(NOTAS!AL36="","",IF(NOTAS!AL36&lt;=4.5,"EC",IF(NOTAS!AL36&lt;=6.5,"R",IF(NOTAS!AL36&lt;=8.5,"B",IF(NOTAS!AL36&lt;=10,"E","Error")))))</f>
        <v/>
      </c>
      <c r="AM38" s="137" t="str">
        <f>IF(NOTAS!AM36="","",IF(NOTAS!AM36&lt;=4.5,"EC",IF(NOTAS!AM36&lt;=6.5,"R",IF(NOTAS!AM36&lt;=8.5,"B",IF(NOTAS!AM36&lt;=10,"E","Error")))))</f>
        <v/>
      </c>
      <c r="AN38" s="137" t="str">
        <f>IF(NOTAS!AN36="","",IF(NOTAS!AN36&lt;=4.5,"EC",IF(NOTAS!AN36&lt;=6.5,"R",IF(NOTAS!AN36&lt;=8.5,"B",IF(NOTAS!AN36&lt;=10,"E","Error")))))</f>
        <v/>
      </c>
      <c r="AO38" s="137" t="str">
        <f>IF(NOTAS!AO36="","",IF(NOTAS!AO36&lt;=4.5,"EC",IF(NOTAS!AO36&lt;=6.5,"R",IF(NOTAS!AO36&lt;=8.5,"B",IF(NOTAS!AO36&lt;=10,"E","Error")))))</f>
        <v/>
      </c>
      <c r="AP38" s="136" t="str">
        <f>IF(NOTAS!AP36="","",IF(NOTAS!AP36&lt;=4.5,"EC",IF(NOTAS!AP36&lt;=6.5,"R",IF(NOTAS!AP36&lt;=8.5,"B",IF(NOTAS!AP36&lt;=10,"E","Error")))))</f>
        <v/>
      </c>
      <c r="AQ38" s="155" t="str">
        <f>NOTAS!AR36</f>
        <v>****</v>
      </c>
      <c r="AR38" s="156" t="str">
        <f>NOTAS!AS36</f>
        <v>****</v>
      </c>
      <c r="AS38" s="157" t="str">
        <f>NOTAS!AT36</f>
        <v>****</v>
      </c>
      <c r="AT38" s="157" t="str">
        <f>NOTAS!AU36</f>
        <v>****</v>
      </c>
    </row>
    <row r="39" spans="1:46" ht="15.75" thickBot="1">
      <c r="A39" s="43">
        <f t="shared" si="0"/>
        <v>30</v>
      </c>
      <c r="B39" s="100" t="str">
        <f>IF(NOTAS!B37&lt;&gt;"",NOTAS!B37,"")</f>
        <v/>
      </c>
      <c r="C39" s="169" t="str">
        <f>IF(NOTAS!C37="","",IF(NOTAS!C37&lt;=4.5,"EC",IF(NOTAS!C37&lt;=6.5,"R",IF(NOTAS!C37&lt;=8.5,"B",IF(NOTAS!C37&lt;=10,"E","Error")))))</f>
        <v/>
      </c>
      <c r="D39" s="170" t="str">
        <f>IF(NOTAS!D37="","",IF(NOTAS!D37&lt;=4.5,"EC",IF(NOTAS!D37&lt;=6.5,"R",IF(NOTAS!D37&lt;=8.5,"B",IF(NOTAS!D37&lt;=10,"E","Error")))))</f>
        <v/>
      </c>
      <c r="E39" s="169" t="str">
        <f>IF(NOTAS!E37="","",IF(NOTAS!E37&lt;=4.5,"EC",IF(NOTAS!E37&lt;=6.5,"R",IF(NOTAS!E37&lt;=8.5,"B",IF(NOTAS!E37&lt;=10,"E","Error")))))</f>
        <v/>
      </c>
      <c r="F39" s="171" t="str">
        <f>IF(NOTAS!F37="","",IF(NOTAS!F37&lt;=4.5,"EC",IF(NOTAS!F37&lt;=6.5,"R",IF(NOTAS!F37&lt;=8.5,"B",IF(NOTAS!F37&lt;=10,"E","Error")))))</f>
        <v/>
      </c>
      <c r="G39" s="136" t="str">
        <f>IF(NOTAS!G37="","",IF(NOTAS!G37&lt;=4.5,"EC",IF(NOTAS!G37&lt;=6.5,"R",IF(NOTAS!G37&lt;=8.5,"B",IF(NOTAS!G37&lt;=10,"E","Error")))))</f>
        <v/>
      </c>
      <c r="H39" s="137" t="str">
        <f>IF(NOTAS!H37="","",IF(NOTAS!H37&lt;=4.5,"EC",IF(NOTAS!H37&lt;=6.5,"R",IF(NOTAS!H37&lt;=8.5,"B",IF(NOTAS!H37&lt;=10,"E","")))))</f>
        <v/>
      </c>
      <c r="I39" s="137" t="str">
        <f>IF(NOTAS!I37="","",IF(NOTAS!I37&lt;=4.5,"EC",IF(NOTAS!I37&lt;=6.5,"R",IF(NOTAS!I37&lt;=8.5,"B",IF(NOTAS!I37&lt;=10,"E","Error")))))</f>
        <v/>
      </c>
      <c r="J39" s="137" t="str">
        <f>IF(NOTAS!J37="","",IF(NOTAS!J37&lt;=4.5,"EC",IF(NOTAS!J37&lt;=6.5,"R",IF(NOTAS!J37&lt;=8.5,"B",IF(NOTAS!J37&lt;=10,"E","Error")))))</f>
        <v/>
      </c>
      <c r="K39" s="137" t="str">
        <f>IF(NOTAS!K37="","",IF(NOTAS!K37&lt;=4.5,"EC",IF(NOTAS!K37&lt;=6.5,"R",IF(NOTAS!K37&lt;=8.5,"B",IF(NOTAS!K37&lt;=10,"E","Error")))))</f>
        <v/>
      </c>
      <c r="L39" s="138" t="str">
        <f>IF(NOTAS!L37="","",IF(NOTAS!L37&lt;=4.5,"EC",IF(NOTAS!L37&lt;=6.5,"R",IF(NOTAS!L37&lt;=8.5,"B",IF(NOTAS!L37&lt;=10,"E","Error")))))</f>
        <v/>
      </c>
      <c r="M39" s="137" t="str">
        <f>IF(NOTAS!M37="","",IF(NOTAS!M37&lt;=4.5,"EC",IF(NOTAS!M37&lt;=6.5,"R",IF(NOTAS!M37&lt;=8.5,"B",IF(NOTAS!M37&lt;=10,"E","Error")))))</f>
        <v/>
      </c>
      <c r="N39" s="137" t="str">
        <f>IF(NOTAS!N37="","",IF(NOTAS!N37&lt;=4.5,"EC",IF(NOTAS!N37&lt;=6.5,"R",IF(NOTAS!N37&lt;=8.5,"B",IF(NOTAS!N37&lt;=10,"E","Error")))))</f>
        <v/>
      </c>
      <c r="O39" s="137" t="str">
        <f>IF(NOTAS!O37="","",IF(NOTAS!O37&lt;=4.5,"EC",IF(NOTAS!O37&lt;=6.5,"R",IF(NOTAS!O37&lt;=8.5,"B",IF(NOTAS!O37&lt;=10,"E","Error")))))</f>
        <v/>
      </c>
      <c r="P39" s="137" t="str">
        <f>IF(NOTAS!P37="","",IF(NOTAS!P37&lt;=4.5,"EC",IF(NOTAS!P37&lt;=6.5,"R",IF(NOTAS!P37&lt;=8.5,"B",IF(NOTAS!P37&lt;=10,"E","Error")))))</f>
        <v/>
      </c>
      <c r="Q39" s="139" t="str">
        <f>IF(NOTAS!Q37="","",IF(NOTAS!Q37&lt;=4.5,"EC",IF(NOTAS!Q37&lt;=6.5,"R",IF(NOTAS!Q37&lt;=8.5,"B",IF(NOTAS!Q37&lt;=10,"E","Error")))))</f>
        <v/>
      </c>
      <c r="R39" s="137" t="str">
        <f>IF(NOTAS!R37="","",IF(NOTAS!R37&lt;=4.5,"EC",IF(NOTAS!R37&lt;=6.5,"R",IF(NOTAS!R37&lt;=8.5,"B",IF(NOTAS!R37&lt;=10,"E","Error")))))</f>
        <v/>
      </c>
      <c r="S39" s="137" t="str">
        <f>IF(NOTAS!S37="","",IF(NOTAS!S37&lt;=4.5,"EC",IF(NOTAS!S37&lt;=6.5,"R",IF(NOTAS!S37&lt;=8.5,"B",IF(NOTAS!S37&lt;=10,"E","Error")))))</f>
        <v/>
      </c>
      <c r="T39" s="137" t="str">
        <f>IF(NOTAS!T37="","",IF(NOTAS!T37&lt;=4.5,"EC",IF(NOTAS!T37&lt;=6.5,"R",IF(NOTAS!T37&lt;=8.5,"B",IF(NOTAS!T37&lt;=10,"E","Error")))))</f>
        <v/>
      </c>
      <c r="U39" s="137" t="str">
        <f>IF(NOTAS!U37="","",IF(NOTAS!U37&lt;=4.5,"EC",IF(NOTAS!U37&lt;=6.5,"R",IF(NOTAS!U37&lt;=8.5,"B",IF(NOTAS!U37&lt;=10,"E","Error")))))</f>
        <v/>
      </c>
      <c r="V39" s="140" t="str">
        <f>IF(NOTAS!V37="","",IF(NOTAS!V37&lt;=4.5,"EC",IF(NOTAS!V37&lt;=6.5,"R",IF(NOTAS!V37&lt;=8.5,"B",IF(NOTAS!V37&lt;=10,"E","Error")))))</f>
        <v/>
      </c>
      <c r="W39" s="137" t="str">
        <f>IF(NOTAS!W37="","",IF(NOTAS!W37&lt;=4.5,"EC",IF(NOTAS!W37&lt;=6.5,"R",IF(NOTAS!W37&lt;=8.5,"B",IF(NOTAS!W37&lt;=10,"E","Error")))))</f>
        <v/>
      </c>
      <c r="X39" s="137" t="str">
        <f>IF(NOTAS!X37="","",IF(NOTAS!X37&lt;=4.5,"EC",IF(NOTAS!X37&lt;=6.5,"R",IF(NOTAS!X37&lt;=8.5,"B",IF(NOTAS!X37&lt;=10,"E","Error")))))</f>
        <v/>
      </c>
      <c r="Y39" s="137" t="str">
        <f>IF(NOTAS!Y37="","",IF(NOTAS!Y37&lt;=4.5,"EC",IF(NOTAS!Y37&lt;=6.5,"R",IF(NOTAS!Y37&lt;=8.5,"B",IF(NOTAS!Y37&lt;=10,"E","Error")))))</f>
        <v/>
      </c>
      <c r="Z39" s="137" t="str">
        <f>IF(NOTAS!Z37="","",IF(NOTAS!Z37&lt;=4.5,"EC",IF(NOTAS!Z37&lt;=6.5,"R",IF(NOTAS!Z37&lt;=8.5,"B",IF(NOTAS!Z37&lt;=10,"E","Error")))))</f>
        <v/>
      </c>
      <c r="AA39" s="141" t="str">
        <f>IF(NOTAS!AA37="","",IF(NOTAS!AA37&lt;=4.5,"EC",IF(NOTAS!AA37&lt;=6.5,"R",IF(NOTAS!AA37&lt;=8.5,"B",IF(NOTAS!AA37&lt;=10,"E","Error")))))</f>
        <v/>
      </c>
      <c r="AB39" s="137" t="str">
        <f>IF(NOTAS!AB37="","",IF(NOTAS!AB37&lt;=4.5,"EC",IF(NOTAS!AB37&lt;=6.5,"R",IF(NOTAS!AB37&lt;=8.5,"B",IF(NOTAS!AB37&lt;=10,"E","Error")))))</f>
        <v/>
      </c>
      <c r="AC39" s="137" t="str">
        <f>IF(NOTAS!AC37="","",IF(NOTAS!AC37&lt;=4.5,"EC",IF(NOTAS!AC37&lt;=6.5,"R",IF(NOTAS!AC37&lt;=8.5,"B",IF(NOTAS!AC37&lt;=10,"E","Error")))))</f>
        <v/>
      </c>
      <c r="AD39" s="137" t="str">
        <f>IF(NOTAS!AD37="","",IF(NOTAS!AD37&lt;=4.5,"EC",IF(NOTAS!AD37&lt;=6.5,"R",IF(NOTAS!AD37&lt;=8.5,"B",IF(NOTAS!AD37&lt;=10,"E","Error")))))</f>
        <v/>
      </c>
      <c r="AE39" s="137" t="str">
        <f>IF(NOTAS!AE37="","",IF(NOTAS!AE37&lt;=4.5,"EC",IF(NOTAS!AE37&lt;=6.5,"R",IF(NOTAS!AE37&lt;=8.5,"B",IF(NOTAS!AE37&lt;=10,"E","Error")))))</f>
        <v/>
      </c>
      <c r="AF39" s="142" t="str">
        <f>IF(NOTAS!AF37="","",IF(NOTAS!AF37&lt;=4.5,"EC",IF(NOTAS!AF37&lt;=6.5,"R",IF(NOTAS!AF37&lt;=8.5,"B",IF(NOTAS!AF37&lt;=10,"E","Error")))))</f>
        <v/>
      </c>
      <c r="AG39" s="137" t="str">
        <f>IF(NOTAS!AG37="","",IF(NOTAS!AG37&lt;=4.5,"EC",IF(NOTAS!AG37&lt;=6.5,"R",IF(NOTAS!AG37&lt;=8.5,"B",IF(NOTAS!AG37&lt;=10,"E","Error")))))</f>
        <v/>
      </c>
      <c r="AH39" s="137" t="str">
        <f>IF(NOTAS!AH37="","",IF(NOTAS!AH37&lt;=4.5,"EC",IF(NOTAS!AH37&lt;=6.5,"R",IF(NOTAS!AH37&lt;=8.5,"B",IF(NOTAS!AH37&lt;=10,"E","Error")))))</f>
        <v/>
      </c>
      <c r="AI39" s="137" t="str">
        <f>IF(NOTAS!AI37="","",IF(NOTAS!AI37&lt;=4.5,"EC",IF(NOTAS!AI37&lt;=6.5,"R",IF(NOTAS!AI37&lt;=8.5,"B",IF(NOTAS!AI37&lt;=10,"E","Error")))))</f>
        <v/>
      </c>
      <c r="AJ39" s="137" t="str">
        <f>IF(NOTAS!AJ37="","",IF(NOTAS!AJ37&lt;=4.5,"EC",IF(NOTAS!AJ37&lt;=6.5,"R",IF(NOTAS!AJ37&lt;=8.5,"B",IF(NOTAS!AJ37&lt;=10,"E","Error")))))</f>
        <v/>
      </c>
      <c r="AK39" s="136" t="str">
        <f>IF(NOTAS!AK37="","",IF(NOTAS!AK37&lt;=4.5,"EC",IF(NOTAS!AK37&lt;=6.5,"R",IF(NOTAS!AK37&lt;=8.5,"B",IF(NOTAS!AK37&lt;=10,"E","Error")))))</f>
        <v/>
      </c>
      <c r="AL39" s="137" t="str">
        <f>IF(NOTAS!AL37="","",IF(NOTAS!AL37&lt;=4.5,"EC",IF(NOTAS!AL37&lt;=6.5,"R",IF(NOTAS!AL37&lt;=8.5,"B",IF(NOTAS!AL37&lt;=10,"E","Error")))))</f>
        <v/>
      </c>
      <c r="AM39" s="137" t="str">
        <f>IF(NOTAS!AM37="","",IF(NOTAS!AM37&lt;=4.5,"EC",IF(NOTAS!AM37&lt;=6.5,"R",IF(NOTAS!AM37&lt;=8.5,"B",IF(NOTAS!AM37&lt;=10,"E","Error")))))</f>
        <v/>
      </c>
      <c r="AN39" s="137" t="str">
        <f>IF(NOTAS!AN37="","",IF(NOTAS!AN37&lt;=4.5,"EC",IF(NOTAS!AN37&lt;=6.5,"R",IF(NOTAS!AN37&lt;=8.5,"B",IF(NOTAS!AN37&lt;=10,"E","Error")))))</f>
        <v/>
      </c>
      <c r="AO39" s="137" t="str">
        <f>IF(NOTAS!AO37="","",IF(NOTAS!AO37&lt;=4.5,"EC",IF(NOTAS!AO37&lt;=6.5,"R",IF(NOTAS!AO37&lt;=8.5,"B",IF(NOTAS!AO37&lt;=10,"E","Error")))))</f>
        <v/>
      </c>
      <c r="AP39" s="136" t="str">
        <f>IF(NOTAS!AP37="","",IF(NOTAS!AP37&lt;=4.5,"EC",IF(NOTAS!AP37&lt;=6.5,"R",IF(NOTAS!AP37&lt;=8.5,"B",IF(NOTAS!AP37&lt;=10,"E","Error")))))</f>
        <v/>
      </c>
      <c r="AQ39" s="155" t="str">
        <f>NOTAS!AR37</f>
        <v>****</v>
      </c>
      <c r="AR39" s="156" t="str">
        <f>NOTAS!AS37</f>
        <v>****</v>
      </c>
      <c r="AS39" s="157" t="str">
        <f>NOTAS!AT37</f>
        <v>****</v>
      </c>
      <c r="AT39" s="157" t="str">
        <f>NOTAS!AU37</f>
        <v>****</v>
      </c>
    </row>
  </sheetData>
  <sheetProtection algorithmName="SHA-512" hashValue="TcwPxOr2eE/N6FEYrGE80/Qm3gEtb0LYk9xCEcgOb0WjT9AOTCP5PcMsk0mEQNTKu9Yzn/nw2QjsumibIi6DhA==" saltValue="db0tTsZ37KsJwQ9i+JySJw==" spinCount="100000" sheet="1" objects="1" scenarios="1"/>
  <mergeCells count="23">
    <mergeCell ref="C1:AP1"/>
    <mergeCell ref="AQ5:AT6"/>
    <mergeCell ref="AQ7:AR7"/>
    <mergeCell ref="AS7:AT7"/>
    <mergeCell ref="U6:AB6"/>
    <mergeCell ref="C2:AP2"/>
    <mergeCell ref="C4:AP4"/>
    <mergeCell ref="C3:AP3"/>
    <mergeCell ref="C5:AP5"/>
    <mergeCell ref="AG6:AN6"/>
    <mergeCell ref="AC6:AE6"/>
    <mergeCell ref="M6:T6"/>
    <mergeCell ref="R8:V8"/>
    <mergeCell ref="M8:Q8"/>
    <mergeCell ref="C6:J6"/>
    <mergeCell ref="AQ8:AR8"/>
    <mergeCell ref="AS8:AT8"/>
    <mergeCell ref="AL8:AP8"/>
    <mergeCell ref="H8:L8"/>
    <mergeCell ref="C8:G8"/>
    <mergeCell ref="AG8:AK8"/>
    <mergeCell ref="AB8:AF8"/>
    <mergeCell ref="W8:AA8"/>
  </mergeCells>
  <conditionalFormatting sqref="A10:AY39">
    <cfRule type="expression" dxfId="13" priority="2">
      <formula>ROW()=CELL("LIN")</formula>
    </cfRule>
  </conditionalFormatting>
  <conditionalFormatting sqref="AQ9:AY39 A9:AO9 A10:AP39">
    <cfRule type="expression" dxfId="12" priority="1">
      <formula>COLUMN()=CELL("COL")</formula>
    </cfRule>
  </conditionalFormatting>
  <pageMargins left="0.511811024" right="0.511811024" top="0.78740157499999996" bottom="0.78740157499999996" header="0.31496062000000002" footer="0.31496062000000002"/>
  <pageSetup paperSize="9" scale="76" orientation="landscape" horizontalDpi="360" verticalDpi="36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U38"/>
  <sheetViews>
    <sheetView showGridLines="0" showRowColHeaders="0" view="pageBreakPreview" zoomScale="80" zoomScaleNormal="100" zoomScaleSheetLayoutView="8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B8" sqref="B8"/>
    </sheetView>
  </sheetViews>
  <sheetFormatPr defaultRowHeight="15"/>
  <cols>
    <col min="1" max="1" width="3.42578125" bestFit="1" customWidth="1"/>
    <col min="2" max="2" width="38.140625" bestFit="1" customWidth="1"/>
    <col min="3" max="42" width="4.5703125" customWidth="1"/>
  </cols>
  <sheetData>
    <row r="1" spans="1:47" ht="15.75" thickBot="1">
      <c r="A1" s="163"/>
      <c r="B1" s="218" t="s">
        <v>54</v>
      </c>
      <c r="C1" s="278" t="s">
        <v>94</v>
      </c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8"/>
      <c r="AM1" s="278"/>
      <c r="AN1" s="278"/>
      <c r="AO1" s="278"/>
      <c r="AP1" s="278"/>
    </row>
    <row r="2" spans="1:47" ht="15.75" thickBot="1">
      <c r="B2" s="218" t="s">
        <v>45</v>
      </c>
      <c r="C2" s="278" t="s">
        <v>95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</row>
    <row r="3" spans="1:47">
      <c r="B3" s="218" t="s">
        <v>46</v>
      </c>
      <c r="C3" s="279" t="s">
        <v>101</v>
      </c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79"/>
      <c r="R3" s="279"/>
      <c r="S3" s="279"/>
      <c r="T3" s="279"/>
      <c r="U3" s="279"/>
      <c r="V3" s="279"/>
      <c r="W3" s="279"/>
      <c r="X3" s="279"/>
      <c r="Y3" s="279"/>
      <c r="Z3" s="279"/>
      <c r="AA3" s="279"/>
      <c r="AB3" s="279"/>
      <c r="AC3" s="279"/>
      <c r="AD3" s="279"/>
      <c r="AE3" s="279"/>
      <c r="AF3" s="279"/>
      <c r="AG3" s="279"/>
      <c r="AH3" s="279"/>
      <c r="AI3" s="279"/>
      <c r="AJ3" s="279"/>
      <c r="AK3" s="279"/>
      <c r="AL3" s="279"/>
      <c r="AM3" s="279"/>
      <c r="AN3" s="279"/>
      <c r="AO3" s="279"/>
      <c r="AP3" s="279"/>
      <c r="AR3" s="248" t="s">
        <v>8</v>
      </c>
      <c r="AS3" s="249"/>
      <c r="AT3" s="249"/>
      <c r="AU3" s="250"/>
    </row>
    <row r="4" spans="1:47" ht="15.75" thickBot="1">
      <c r="B4" s="218" t="s">
        <v>47</v>
      </c>
      <c r="C4" s="278" t="s">
        <v>96</v>
      </c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8"/>
      <c r="AM4" s="278"/>
      <c r="AN4" s="278"/>
      <c r="AO4" s="278"/>
      <c r="AP4" s="278"/>
      <c r="AR4" s="286"/>
      <c r="AS4" s="287"/>
      <c r="AT4" s="252"/>
      <c r="AU4" s="253"/>
    </row>
    <row r="5" spans="1:47" ht="15.75" thickBot="1">
      <c r="B5" s="218" t="s">
        <v>53</v>
      </c>
      <c r="C5" s="277">
        <v>2022</v>
      </c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277"/>
      <c r="O5" s="277"/>
      <c r="P5" s="277"/>
      <c r="Q5" s="277"/>
      <c r="R5" s="277"/>
      <c r="S5" s="277"/>
      <c r="T5" s="277"/>
      <c r="U5" s="277"/>
      <c r="V5" s="277"/>
      <c r="W5" s="277"/>
      <c r="X5" s="277"/>
      <c r="Y5" s="277"/>
      <c r="Z5" s="277"/>
      <c r="AA5" s="277"/>
      <c r="AB5" s="277"/>
      <c r="AC5" s="277"/>
      <c r="AD5" s="277"/>
      <c r="AE5" s="277"/>
      <c r="AF5" s="277"/>
      <c r="AG5" s="277"/>
      <c r="AH5" s="277"/>
      <c r="AI5" s="277"/>
      <c r="AJ5" s="277"/>
      <c r="AK5" s="277"/>
      <c r="AL5" s="277"/>
      <c r="AM5" s="277"/>
      <c r="AN5" s="277"/>
      <c r="AO5" s="277"/>
      <c r="AP5" s="277"/>
      <c r="AR5" s="288" t="s">
        <v>12</v>
      </c>
      <c r="AS5" s="289"/>
      <c r="AT5" s="290" t="s">
        <v>14</v>
      </c>
      <c r="AU5" s="255"/>
    </row>
    <row r="6" spans="1:47" ht="15.75" thickBot="1">
      <c r="B6" s="85" t="s">
        <v>25</v>
      </c>
      <c r="C6" s="262" t="s">
        <v>26</v>
      </c>
      <c r="D6" s="263"/>
      <c r="E6" s="263"/>
      <c r="F6" s="263"/>
      <c r="G6" s="264"/>
      <c r="H6" s="265" t="s">
        <v>49</v>
      </c>
      <c r="I6" s="266"/>
      <c r="J6" s="266"/>
      <c r="K6" s="266"/>
      <c r="L6" s="267"/>
      <c r="M6" s="268" t="s">
        <v>50</v>
      </c>
      <c r="N6" s="269"/>
      <c r="O6" s="269"/>
      <c r="P6" s="269"/>
      <c r="Q6" s="270"/>
      <c r="R6" s="271" t="s">
        <v>34</v>
      </c>
      <c r="S6" s="272"/>
      <c r="T6" s="272"/>
      <c r="U6" s="272"/>
      <c r="V6" s="273"/>
      <c r="W6" s="274" t="s">
        <v>35</v>
      </c>
      <c r="X6" s="275"/>
      <c r="Y6" s="275"/>
      <c r="Z6" s="275"/>
      <c r="AA6" s="276"/>
      <c r="AB6" s="262" t="s">
        <v>52</v>
      </c>
      <c r="AC6" s="263"/>
      <c r="AD6" s="263"/>
      <c r="AE6" s="263"/>
      <c r="AF6" s="264"/>
      <c r="AG6" s="280" t="s">
        <v>55</v>
      </c>
      <c r="AH6" s="281"/>
      <c r="AI6" s="281"/>
      <c r="AJ6" s="281"/>
      <c r="AK6" s="282"/>
      <c r="AL6" s="283" t="s">
        <v>51</v>
      </c>
      <c r="AM6" s="284"/>
      <c r="AN6" s="284"/>
      <c r="AO6" s="284"/>
      <c r="AP6" s="285"/>
      <c r="AR6" s="291" t="s">
        <v>13</v>
      </c>
      <c r="AS6" s="292"/>
      <c r="AT6" s="228" t="s">
        <v>15</v>
      </c>
      <c r="AU6" s="231"/>
    </row>
    <row r="7" spans="1:47" ht="15.75" thickBot="1">
      <c r="A7" s="86" t="s">
        <v>56</v>
      </c>
      <c r="B7" s="119" t="s">
        <v>48</v>
      </c>
      <c r="C7" s="36" t="s">
        <v>16</v>
      </c>
      <c r="D7" s="37" t="s">
        <v>17</v>
      </c>
      <c r="E7" s="37" t="s">
        <v>18</v>
      </c>
      <c r="F7" s="37" t="s">
        <v>19</v>
      </c>
      <c r="G7" s="38" t="s">
        <v>66</v>
      </c>
      <c r="H7" s="101" t="s">
        <v>16</v>
      </c>
      <c r="I7" s="102" t="s">
        <v>17</v>
      </c>
      <c r="J7" s="102" t="s">
        <v>18</v>
      </c>
      <c r="K7" s="102" t="s">
        <v>19</v>
      </c>
      <c r="L7" s="103" t="s">
        <v>66</v>
      </c>
      <c r="M7" s="104" t="s">
        <v>16</v>
      </c>
      <c r="N7" s="105" t="s">
        <v>17</v>
      </c>
      <c r="O7" s="105" t="s">
        <v>18</v>
      </c>
      <c r="P7" s="105" t="s">
        <v>19</v>
      </c>
      <c r="Q7" s="106" t="s">
        <v>66</v>
      </c>
      <c r="R7" s="107" t="s">
        <v>16</v>
      </c>
      <c r="S7" s="108" t="s">
        <v>17</v>
      </c>
      <c r="T7" s="108" t="s">
        <v>18</v>
      </c>
      <c r="U7" s="108" t="s">
        <v>19</v>
      </c>
      <c r="V7" s="109" t="s">
        <v>66</v>
      </c>
      <c r="W7" s="95" t="s">
        <v>16</v>
      </c>
      <c r="X7" s="110" t="s">
        <v>17</v>
      </c>
      <c r="Y7" s="110" t="s">
        <v>18</v>
      </c>
      <c r="Z7" s="110" t="s">
        <v>19</v>
      </c>
      <c r="AA7" s="111" t="s">
        <v>66</v>
      </c>
      <c r="AB7" s="112" t="s">
        <v>16</v>
      </c>
      <c r="AC7" s="37" t="s">
        <v>17</v>
      </c>
      <c r="AD7" s="37" t="s">
        <v>18</v>
      </c>
      <c r="AE7" s="37" t="s">
        <v>19</v>
      </c>
      <c r="AF7" s="113" t="s">
        <v>66</v>
      </c>
      <c r="AG7" s="93" t="s">
        <v>16</v>
      </c>
      <c r="AH7" s="114" t="s">
        <v>17</v>
      </c>
      <c r="AI7" s="114" t="s">
        <v>18</v>
      </c>
      <c r="AJ7" s="114" t="s">
        <v>19</v>
      </c>
      <c r="AK7" s="115" t="s">
        <v>66</v>
      </c>
      <c r="AL7" s="116" t="s">
        <v>16</v>
      </c>
      <c r="AM7" s="117" t="s">
        <v>17</v>
      </c>
      <c r="AN7" s="117" t="s">
        <v>18</v>
      </c>
      <c r="AO7" s="117" t="s">
        <v>19</v>
      </c>
      <c r="AP7" s="118" t="s">
        <v>66</v>
      </c>
      <c r="AR7" s="40" t="s">
        <v>20</v>
      </c>
      <c r="AS7" s="39" t="s">
        <v>21</v>
      </c>
      <c r="AT7" s="19" t="s">
        <v>20</v>
      </c>
      <c r="AU7" s="40" t="s">
        <v>21</v>
      </c>
    </row>
    <row r="8" spans="1:47" ht="15.75" thickBot="1">
      <c r="A8" s="99">
        <v>1</v>
      </c>
      <c r="B8" s="120" t="s">
        <v>97</v>
      </c>
      <c r="C8" s="158">
        <v>6.24</v>
      </c>
      <c r="D8" s="159">
        <v>6.26</v>
      </c>
      <c r="E8" s="159">
        <v>9</v>
      </c>
      <c r="F8" s="159">
        <v>10</v>
      </c>
      <c r="G8" s="160">
        <f>IF(C8="","",SUM(C8:F8)/4)</f>
        <v>7.875</v>
      </c>
      <c r="H8" s="161">
        <v>3</v>
      </c>
      <c r="I8" s="159">
        <v>8</v>
      </c>
      <c r="J8" s="159">
        <v>8</v>
      </c>
      <c r="K8" s="159">
        <v>9</v>
      </c>
      <c r="L8" s="162">
        <f>IF(H8="","",SUM(H8:K8)/4)</f>
        <v>7</v>
      </c>
      <c r="M8" s="158">
        <v>10</v>
      </c>
      <c r="N8" s="159">
        <v>2</v>
      </c>
      <c r="O8" s="159">
        <v>3</v>
      </c>
      <c r="P8" s="159">
        <v>4</v>
      </c>
      <c r="Q8" s="160">
        <f>IF(M8="","",SUM(M8:P8)/4)</f>
        <v>4.75</v>
      </c>
      <c r="R8" s="161">
        <v>1</v>
      </c>
      <c r="S8" s="159">
        <v>2</v>
      </c>
      <c r="T8" s="159">
        <v>3</v>
      </c>
      <c r="U8" s="159">
        <v>4</v>
      </c>
      <c r="V8" s="162">
        <f>IF(R8="","",SUM(R8:U8)/4)</f>
        <v>2.5</v>
      </c>
      <c r="W8" s="158">
        <v>10</v>
      </c>
      <c r="X8" s="159">
        <v>8.6</v>
      </c>
      <c r="Y8" s="159">
        <v>6.6</v>
      </c>
      <c r="Z8" s="159">
        <v>4.5999999999999996</v>
      </c>
      <c r="AA8" s="160">
        <f>IF(W8="","",SUM(W8:Z8)/4)</f>
        <v>7.4500000000000011</v>
      </c>
      <c r="AB8" s="161">
        <v>7</v>
      </c>
      <c r="AC8" s="159">
        <v>8</v>
      </c>
      <c r="AD8" s="159">
        <v>9</v>
      </c>
      <c r="AE8" s="159">
        <v>10</v>
      </c>
      <c r="AF8" s="162">
        <f>IF(AB8="","",SUM(AB8:AE8)/4)</f>
        <v>8.5</v>
      </c>
      <c r="AG8" s="158">
        <v>1.23</v>
      </c>
      <c r="AH8" s="159">
        <v>2.5619999999999998</v>
      </c>
      <c r="AI8" s="159">
        <v>2.5678000000000001</v>
      </c>
      <c r="AJ8" s="159">
        <v>3.5430000000000001</v>
      </c>
      <c r="AK8" s="160">
        <f>IF(AG8="","",SUM(AG8:AJ8)/4)</f>
        <v>2.4756999999999998</v>
      </c>
      <c r="AL8" s="161">
        <v>10</v>
      </c>
      <c r="AM8" s="159">
        <v>10</v>
      </c>
      <c r="AN8" s="159">
        <v>10</v>
      </c>
      <c r="AO8" s="159">
        <v>10</v>
      </c>
      <c r="AP8" s="160">
        <f>IF(AL8="","",SUM(AL8:AO8)/4)</f>
        <v>10</v>
      </c>
      <c r="AR8" s="84">
        <f>PRESENCA!T8</f>
        <v>44</v>
      </c>
      <c r="AS8" s="84">
        <f>PRESENCA!U8</f>
        <v>18</v>
      </c>
      <c r="AT8" s="84">
        <f>PRESENCA!V8</f>
        <v>49</v>
      </c>
      <c r="AU8" s="84">
        <f>PRESENCA!W8</f>
        <v>14</v>
      </c>
    </row>
    <row r="9" spans="1:47" ht="15.75" thickBot="1">
      <c r="A9" s="42">
        <v>2</v>
      </c>
      <c r="B9" s="121"/>
      <c r="C9" s="123"/>
      <c r="D9" s="124"/>
      <c r="E9" s="124"/>
      <c r="F9" s="124"/>
      <c r="G9" s="33" t="str">
        <f t="shared" ref="G9:G37" si="0">IF(C9="","",SUM(C9:F9)/4)</f>
        <v/>
      </c>
      <c r="H9" s="125"/>
      <c r="I9" s="124"/>
      <c r="J9" s="124"/>
      <c r="K9" s="124"/>
      <c r="L9" s="34" t="str">
        <f t="shared" ref="L9:L37" si="1">IF(H9="","",SUM(H9:K9)/4)</f>
        <v/>
      </c>
      <c r="M9" s="126"/>
      <c r="N9" s="127"/>
      <c r="O9" s="127"/>
      <c r="P9" s="127"/>
      <c r="Q9" s="33" t="str">
        <f t="shared" ref="Q9:Q37" si="2">IF(M9="","",SUM(M9:P9)/4)</f>
        <v/>
      </c>
      <c r="R9" s="130"/>
      <c r="S9" s="127"/>
      <c r="T9" s="127"/>
      <c r="U9" s="127"/>
      <c r="V9" s="34" t="str">
        <f t="shared" ref="V9:V37" si="3">IF(R9="","",SUM(R9:U9)/4)</f>
        <v/>
      </c>
      <c r="W9" s="126"/>
      <c r="X9" s="127"/>
      <c r="Y9" s="127"/>
      <c r="Z9" s="127"/>
      <c r="AA9" s="33" t="str">
        <f t="shared" ref="AA9:AA37" si="4">IF(W9="","",SUM(W9:Z9)/4)</f>
        <v/>
      </c>
      <c r="AB9" s="130"/>
      <c r="AC9" s="127"/>
      <c r="AD9" s="127"/>
      <c r="AE9" s="127"/>
      <c r="AF9" s="34" t="str">
        <f t="shared" ref="AF9:AF37" si="5">IF(AB9="","",SUM(AB9:AE9)/4)</f>
        <v/>
      </c>
      <c r="AG9" s="126"/>
      <c r="AH9" s="127"/>
      <c r="AI9" s="127"/>
      <c r="AJ9" s="127"/>
      <c r="AK9" s="33" t="str">
        <f t="shared" ref="AK9:AK37" si="6">IF(AG9="","",SUM(AG9:AJ9)/4)</f>
        <v/>
      </c>
      <c r="AL9" s="130"/>
      <c r="AM9" s="127"/>
      <c r="AN9" s="127"/>
      <c r="AO9" s="127"/>
      <c r="AP9" s="33" t="str">
        <f t="shared" ref="AP9:AP37" si="7">IF(AL9="","",SUM(AL9:AO9)/4)</f>
        <v/>
      </c>
      <c r="AR9" s="84" t="str">
        <f>PRESENCA!T9</f>
        <v>****</v>
      </c>
      <c r="AS9" s="84" t="str">
        <f>PRESENCA!U9</f>
        <v>****</v>
      </c>
      <c r="AT9" s="84" t="str">
        <f>PRESENCA!V9</f>
        <v>****</v>
      </c>
      <c r="AU9" s="84" t="str">
        <f>PRESENCA!W9</f>
        <v>****</v>
      </c>
    </row>
    <row r="10" spans="1:47" ht="15.75" thickBot="1">
      <c r="A10" s="42">
        <v>3</v>
      </c>
      <c r="B10" s="121"/>
      <c r="C10" s="123"/>
      <c r="D10" s="124"/>
      <c r="E10" s="124"/>
      <c r="F10" s="124"/>
      <c r="G10" s="33" t="str">
        <f t="shared" si="0"/>
        <v/>
      </c>
      <c r="H10" s="125"/>
      <c r="I10" s="124"/>
      <c r="J10" s="124"/>
      <c r="K10" s="124"/>
      <c r="L10" s="34" t="str">
        <f t="shared" si="1"/>
        <v/>
      </c>
      <c r="M10" s="126"/>
      <c r="N10" s="127"/>
      <c r="O10" s="127"/>
      <c r="P10" s="127"/>
      <c r="Q10" s="33" t="str">
        <f t="shared" si="2"/>
        <v/>
      </c>
      <c r="R10" s="130"/>
      <c r="S10" s="127"/>
      <c r="T10" s="127"/>
      <c r="U10" s="127"/>
      <c r="V10" s="34" t="str">
        <f t="shared" si="3"/>
        <v/>
      </c>
      <c r="W10" s="126"/>
      <c r="X10" s="127"/>
      <c r="Y10" s="127"/>
      <c r="Z10" s="127"/>
      <c r="AA10" s="33" t="str">
        <f t="shared" si="4"/>
        <v/>
      </c>
      <c r="AB10" s="130"/>
      <c r="AC10" s="127"/>
      <c r="AD10" s="127"/>
      <c r="AE10" s="127"/>
      <c r="AF10" s="34" t="str">
        <f t="shared" si="5"/>
        <v/>
      </c>
      <c r="AG10" s="126"/>
      <c r="AH10" s="127"/>
      <c r="AI10" s="127"/>
      <c r="AJ10" s="127"/>
      <c r="AK10" s="33" t="str">
        <f t="shared" si="6"/>
        <v/>
      </c>
      <c r="AL10" s="130"/>
      <c r="AM10" s="127"/>
      <c r="AN10" s="127"/>
      <c r="AO10" s="127"/>
      <c r="AP10" s="33" t="str">
        <f t="shared" si="7"/>
        <v/>
      </c>
      <c r="AR10" s="84" t="str">
        <f>PRESENCA!T10</f>
        <v>****</v>
      </c>
      <c r="AS10" s="84" t="str">
        <f>PRESENCA!U10</f>
        <v>****</v>
      </c>
      <c r="AT10" s="84" t="str">
        <f>PRESENCA!V10</f>
        <v>****</v>
      </c>
      <c r="AU10" s="84" t="str">
        <f>PRESENCA!W10</f>
        <v>****</v>
      </c>
    </row>
    <row r="11" spans="1:47" ht="15.75" thickBot="1">
      <c r="A11" s="42">
        <v>4</v>
      </c>
      <c r="B11" s="121"/>
      <c r="C11" s="123"/>
      <c r="D11" s="124"/>
      <c r="E11" s="124"/>
      <c r="F11" s="124"/>
      <c r="G11" s="33" t="str">
        <f t="shared" si="0"/>
        <v/>
      </c>
      <c r="H11" s="125"/>
      <c r="I11" s="124"/>
      <c r="J11" s="124"/>
      <c r="K11" s="124"/>
      <c r="L11" s="34" t="str">
        <f t="shared" si="1"/>
        <v/>
      </c>
      <c r="M11" s="126"/>
      <c r="N11" s="127"/>
      <c r="O11" s="127"/>
      <c r="P11" s="127"/>
      <c r="Q11" s="33" t="str">
        <f t="shared" si="2"/>
        <v/>
      </c>
      <c r="R11" s="130"/>
      <c r="S11" s="127"/>
      <c r="T11" s="127"/>
      <c r="U11" s="127"/>
      <c r="V11" s="34" t="str">
        <f t="shared" si="3"/>
        <v/>
      </c>
      <c r="W11" s="126"/>
      <c r="X11" s="127"/>
      <c r="Y11" s="127"/>
      <c r="Z11" s="127"/>
      <c r="AA11" s="33" t="str">
        <f t="shared" si="4"/>
        <v/>
      </c>
      <c r="AB11" s="130"/>
      <c r="AC11" s="127"/>
      <c r="AD11" s="127"/>
      <c r="AE11" s="127"/>
      <c r="AF11" s="34" t="str">
        <f t="shared" si="5"/>
        <v/>
      </c>
      <c r="AG11" s="126"/>
      <c r="AH11" s="127"/>
      <c r="AI11" s="127"/>
      <c r="AJ11" s="127"/>
      <c r="AK11" s="33" t="str">
        <f t="shared" si="6"/>
        <v/>
      </c>
      <c r="AL11" s="130"/>
      <c r="AM11" s="127"/>
      <c r="AN11" s="127"/>
      <c r="AO11" s="127"/>
      <c r="AP11" s="33" t="str">
        <f t="shared" si="7"/>
        <v/>
      </c>
      <c r="AR11" s="84" t="str">
        <f>PRESENCA!T11</f>
        <v>****</v>
      </c>
      <c r="AS11" s="84" t="str">
        <f>PRESENCA!U11</f>
        <v>****</v>
      </c>
      <c r="AT11" s="84" t="str">
        <f>PRESENCA!V11</f>
        <v>****</v>
      </c>
      <c r="AU11" s="84" t="str">
        <f>PRESENCA!W11</f>
        <v>****</v>
      </c>
    </row>
    <row r="12" spans="1:47" ht="15.75" thickBot="1">
      <c r="A12" s="42">
        <v>5</v>
      </c>
      <c r="B12" s="121"/>
      <c r="C12" s="123"/>
      <c r="D12" s="124"/>
      <c r="E12" s="124"/>
      <c r="F12" s="124"/>
      <c r="G12" s="33" t="str">
        <f t="shared" si="0"/>
        <v/>
      </c>
      <c r="H12" s="125"/>
      <c r="I12" s="124"/>
      <c r="J12" s="124"/>
      <c r="K12" s="124"/>
      <c r="L12" s="34" t="str">
        <f t="shared" si="1"/>
        <v/>
      </c>
      <c r="M12" s="126"/>
      <c r="N12" s="127"/>
      <c r="O12" s="127"/>
      <c r="P12" s="127"/>
      <c r="Q12" s="33" t="str">
        <f t="shared" si="2"/>
        <v/>
      </c>
      <c r="R12" s="130"/>
      <c r="S12" s="127"/>
      <c r="T12" s="127"/>
      <c r="U12" s="127"/>
      <c r="V12" s="34" t="str">
        <f t="shared" si="3"/>
        <v/>
      </c>
      <c r="W12" s="126"/>
      <c r="X12" s="127"/>
      <c r="Y12" s="127"/>
      <c r="Z12" s="127"/>
      <c r="AA12" s="33" t="str">
        <f t="shared" si="4"/>
        <v/>
      </c>
      <c r="AB12" s="130"/>
      <c r="AC12" s="127"/>
      <c r="AD12" s="127"/>
      <c r="AE12" s="127"/>
      <c r="AF12" s="34" t="str">
        <f t="shared" si="5"/>
        <v/>
      </c>
      <c r="AG12" s="126"/>
      <c r="AH12" s="127"/>
      <c r="AI12" s="127"/>
      <c r="AJ12" s="127"/>
      <c r="AK12" s="33" t="str">
        <f t="shared" si="6"/>
        <v/>
      </c>
      <c r="AL12" s="130"/>
      <c r="AM12" s="127"/>
      <c r="AN12" s="127"/>
      <c r="AO12" s="127"/>
      <c r="AP12" s="33" t="str">
        <f t="shared" si="7"/>
        <v/>
      </c>
      <c r="AR12" s="84" t="str">
        <f>PRESENCA!T12</f>
        <v>****</v>
      </c>
      <c r="AS12" s="84" t="str">
        <f>PRESENCA!U12</f>
        <v>****</v>
      </c>
      <c r="AT12" s="84" t="str">
        <f>PRESENCA!V12</f>
        <v>****</v>
      </c>
      <c r="AU12" s="84" t="str">
        <f>PRESENCA!W12</f>
        <v>****</v>
      </c>
    </row>
    <row r="13" spans="1:47" ht="15.75" thickBot="1">
      <c r="A13" s="42">
        <v>6</v>
      </c>
      <c r="B13" s="121"/>
      <c r="C13" s="123"/>
      <c r="D13" s="124"/>
      <c r="E13" s="124"/>
      <c r="F13" s="124"/>
      <c r="G13" s="33" t="str">
        <f t="shared" si="0"/>
        <v/>
      </c>
      <c r="H13" s="125"/>
      <c r="I13" s="124"/>
      <c r="J13" s="124"/>
      <c r="K13" s="124"/>
      <c r="L13" s="34" t="str">
        <f t="shared" si="1"/>
        <v/>
      </c>
      <c r="M13" s="126"/>
      <c r="N13" s="127"/>
      <c r="O13" s="127"/>
      <c r="P13" s="127"/>
      <c r="Q13" s="33" t="str">
        <f t="shared" si="2"/>
        <v/>
      </c>
      <c r="R13" s="130"/>
      <c r="S13" s="127"/>
      <c r="T13" s="127"/>
      <c r="U13" s="127"/>
      <c r="V13" s="34" t="str">
        <f t="shared" si="3"/>
        <v/>
      </c>
      <c r="W13" s="126"/>
      <c r="X13" s="127"/>
      <c r="Y13" s="127"/>
      <c r="Z13" s="127"/>
      <c r="AA13" s="33" t="str">
        <f t="shared" si="4"/>
        <v/>
      </c>
      <c r="AB13" s="130"/>
      <c r="AC13" s="127"/>
      <c r="AD13" s="127"/>
      <c r="AE13" s="127"/>
      <c r="AF13" s="34" t="str">
        <f t="shared" si="5"/>
        <v/>
      </c>
      <c r="AG13" s="126"/>
      <c r="AH13" s="127"/>
      <c r="AI13" s="127"/>
      <c r="AJ13" s="127"/>
      <c r="AK13" s="33" t="str">
        <f t="shared" si="6"/>
        <v/>
      </c>
      <c r="AL13" s="130"/>
      <c r="AM13" s="127"/>
      <c r="AN13" s="127"/>
      <c r="AO13" s="127"/>
      <c r="AP13" s="33" t="str">
        <f t="shared" si="7"/>
        <v/>
      </c>
      <c r="AR13" s="84" t="str">
        <f>PRESENCA!T13</f>
        <v>****</v>
      </c>
      <c r="AS13" s="84" t="str">
        <f>PRESENCA!U13</f>
        <v>****</v>
      </c>
      <c r="AT13" s="84" t="str">
        <f>PRESENCA!V13</f>
        <v>****</v>
      </c>
      <c r="AU13" s="84" t="str">
        <f>PRESENCA!W13</f>
        <v>****</v>
      </c>
    </row>
    <row r="14" spans="1:47" ht="15.75" thickBot="1">
      <c r="A14" s="42">
        <v>7</v>
      </c>
      <c r="B14" s="121"/>
      <c r="C14" s="123"/>
      <c r="D14" s="124"/>
      <c r="E14" s="124"/>
      <c r="F14" s="124"/>
      <c r="G14" s="33" t="str">
        <f t="shared" si="0"/>
        <v/>
      </c>
      <c r="H14" s="125"/>
      <c r="I14" s="124"/>
      <c r="J14" s="124"/>
      <c r="K14" s="124"/>
      <c r="L14" s="34" t="str">
        <f t="shared" si="1"/>
        <v/>
      </c>
      <c r="M14" s="126"/>
      <c r="N14" s="127"/>
      <c r="O14" s="127"/>
      <c r="P14" s="127"/>
      <c r="Q14" s="33" t="str">
        <f t="shared" si="2"/>
        <v/>
      </c>
      <c r="R14" s="130"/>
      <c r="S14" s="127"/>
      <c r="T14" s="127"/>
      <c r="U14" s="127"/>
      <c r="V14" s="34" t="str">
        <f t="shared" si="3"/>
        <v/>
      </c>
      <c r="W14" s="126"/>
      <c r="X14" s="127"/>
      <c r="Y14" s="127"/>
      <c r="Z14" s="127"/>
      <c r="AA14" s="33" t="str">
        <f t="shared" si="4"/>
        <v/>
      </c>
      <c r="AB14" s="130"/>
      <c r="AC14" s="127"/>
      <c r="AD14" s="127"/>
      <c r="AE14" s="127"/>
      <c r="AF14" s="34" t="str">
        <f t="shared" si="5"/>
        <v/>
      </c>
      <c r="AG14" s="126"/>
      <c r="AH14" s="127"/>
      <c r="AI14" s="127"/>
      <c r="AJ14" s="127"/>
      <c r="AK14" s="33" t="str">
        <f t="shared" si="6"/>
        <v/>
      </c>
      <c r="AL14" s="130"/>
      <c r="AM14" s="127"/>
      <c r="AN14" s="127"/>
      <c r="AO14" s="127"/>
      <c r="AP14" s="33" t="str">
        <f t="shared" si="7"/>
        <v/>
      </c>
      <c r="AR14" s="84" t="str">
        <f>PRESENCA!T14</f>
        <v>****</v>
      </c>
      <c r="AS14" s="84" t="str">
        <f>PRESENCA!U14</f>
        <v>****</v>
      </c>
      <c r="AT14" s="84" t="str">
        <f>PRESENCA!V14</f>
        <v>****</v>
      </c>
      <c r="AU14" s="84" t="str">
        <f>PRESENCA!W14</f>
        <v>****</v>
      </c>
    </row>
    <row r="15" spans="1:47" ht="15.75" thickBot="1">
      <c r="A15" s="42">
        <v>8</v>
      </c>
      <c r="B15" s="121"/>
      <c r="C15" s="123"/>
      <c r="D15" s="124"/>
      <c r="E15" s="124"/>
      <c r="F15" s="124"/>
      <c r="G15" s="33" t="str">
        <f t="shared" si="0"/>
        <v/>
      </c>
      <c r="H15" s="125"/>
      <c r="I15" s="124"/>
      <c r="J15" s="124"/>
      <c r="K15" s="124"/>
      <c r="L15" s="34" t="str">
        <f t="shared" si="1"/>
        <v/>
      </c>
      <c r="M15" s="126"/>
      <c r="N15" s="127"/>
      <c r="O15" s="127"/>
      <c r="P15" s="127"/>
      <c r="Q15" s="33" t="str">
        <f t="shared" si="2"/>
        <v/>
      </c>
      <c r="R15" s="130"/>
      <c r="S15" s="127"/>
      <c r="T15" s="127"/>
      <c r="U15" s="127"/>
      <c r="V15" s="34" t="str">
        <f t="shared" si="3"/>
        <v/>
      </c>
      <c r="W15" s="126"/>
      <c r="X15" s="127"/>
      <c r="Y15" s="127"/>
      <c r="Z15" s="127"/>
      <c r="AA15" s="33" t="str">
        <f t="shared" si="4"/>
        <v/>
      </c>
      <c r="AB15" s="130"/>
      <c r="AC15" s="127"/>
      <c r="AD15" s="127"/>
      <c r="AE15" s="127"/>
      <c r="AF15" s="34" t="str">
        <f t="shared" si="5"/>
        <v/>
      </c>
      <c r="AG15" s="126"/>
      <c r="AH15" s="127"/>
      <c r="AI15" s="127"/>
      <c r="AJ15" s="127"/>
      <c r="AK15" s="33" t="str">
        <f t="shared" si="6"/>
        <v/>
      </c>
      <c r="AL15" s="130"/>
      <c r="AM15" s="127"/>
      <c r="AN15" s="127"/>
      <c r="AO15" s="127"/>
      <c r="AP15" s="33" t="str">
        <f t="shared" si="7"/>
        <v/>
      </c>
      <c r="AR15" s="84" t="str">
        <f>PRESENCA!T15</f>
        <v>****</v>
      </c>
      <c r="AS15" s="84" t="str">
        <f>PRESENCA!U15</f>
        <v>****</v>
      </c>
      <c r="AT15" s="84" t="str">
        <f>PRESENCA!V15</f>
        <v>****</v>
      </c>
      <c r="AU15" s="84" t="str">
        <f>PRESENCA!W15</f>
        <v>****</v>
      </c>
    </row>
    <row r="16" spans="1:47" ht="15.75" thickBot="1">
      <c r="A16" s="42">
        <v>9</v>
      </c>
      <c r="B16" s="121"/>
      <c r="C16" s="123"/>
      <c r="D16" s="124"/>
      <c r="E16" s="124"/>
      <c r="F16" s="124"/>
      <c r="G16" s="33" t="str">
        <f t="shared" si="0"/>
        <v/>
      </c>
      <c r="H16" s="125"/>
      <c r="I16" s="124"/>
      <c r="J16" s="124"/>
      <c r="K16" s="124"/>
      <c r="L16" s="34" t="str">
        <f t="shared" si="1"/>
        <v/>
      </c>
      <c r="M16" s="126"/>
      <c r="N16" s="127"/>
      <c r="O16" s="127"/>
      <c r="P16" s="127"/>
      <c r="Q16" s="33" t="str">
        <f t="shared" si="2"/>
        <v/>
      </c>
      <c r="R16" s="130"/>
      <c r="S16" s="127"/>
      <c r="T16" s="127"/>
      <c r="U16" s="127"/>
      <c r="V16" s="34" t="str">
        <f t="shared" si="3"/>
        <v/>
      </c>
      <c r="W16" s="126"/>
      <c r="X16" s="127"/>
      <c r="Y16" s="127"/>
      <c r="Z16" s="127"/>
      <c r="AA16" s="33" t="str">
        <f t="shared" si="4"/>
        <v/>
      </c>
      <c r="AB16" s="130"/>
      <c r="AC16" s="127"/>
      <c r="AD16" s="127"/>
      <c r="AE16" s="127"/>
      <c r="AF16" s="34" t="str">
        <f t="shared" si="5"/>
        <v/>
      </c>
      <c r="AG16" s="126"/>
      <c r="AH16" s="127"/>
      <c r="AI16" s="127"/>
      <c r="AJ16" s="127"/>
      <c r="AK16" s="33" t="str">
        <f t="shared" si="6"/>
        <v/>
      </c>
      <c r="AL16" s="130"/>
      <c r="AM16" s="127"/>
      <c r="AN16" s="127"/>
      <c r="AO16" s="127"/>
      <c r="AP16" s="33" t="str">
        <f t="shared" si="7"/>
        <v/>
      </c>
      <c r="AR16" s="84" t="str">
        <f>PRESENCA!T16</f>
        <v>****</v>
      </c>
      <c r="AS16" s="84" t="str">
        <f>PRESENCA!U16</f>
        <v>****</v>
      </c>
      <c r="AT16" s="84" t="str">
        <f>PRESENCA!V16</f>
        <v>****</v>
      </c>
      <c r="AU16" s="84" t="str">
        <f>PRESENCA!W16</f>
        <v>****</v>
      </c>
    </row>
    <row r="17" spans="1:47" ht="15.75" thickBot="1">
      <c r="A17" s="42">
        <v>10</v>
      </c>
      <c r="B17" s="121"/>
      <c r="C17" s="123"/>
      <c r="D17" s="124"/>
      <c r="E17" s="124"/>
      <c r="F17" s="124"/>
      <c r="G17" s="33" t="str">
        <f t="shared" si="0"/>
        <v/>
      </c>
      <c r="H17" s="125"/>
      <c r="I17" s="124"/>
      <c r="J17" s="124"/>
      <c r="K17" s="124"/>
      <c r="L17" s="34" t="str">
        <f t="shared" si="1"/>
        <v/>
      </c>
      <c r="M17" s="126"/>
      <c r="N17" s="127"/>
      <c r="O17" s="127"/>
      <c r="P17" s="127"/>
      <c r="Q17" s="33" t="str">
        <f t="shared" si="2"/>
        <v/>
      </c>
      <c r="R17" s="130"/>
      <c r="S17" s="127"/>
      <c r="T17" s="127"/>
      <c r="U17" s="127"/>
      <c r="V17" s="34" t="str">
        <f t="shared" si="3"/>
        <v/>
      </c>
      <c r="W17" s="126"/>
      <c r="X17" s="127"/>
      <c r="Y17" s="127"/>
      <c r="Z17" s="127"/>
      <c r="AA17" s="33" t="str">
        <f t="shared" si="4"/>
        <v/>
      </c>
      <c r="AB17" s="130"/>
      <c r="AC17" s="127"/>
      <c r="AD17" s="127"/>
      <c r="AE17" s="127"/>
      <c r="AF17" s="34" t="str">
        <f t="shared" si="5"/>
        <v/>
      </c>
      <c r="AG17" s="126"/>
      <c r="AH17" s="127"/>
      <c r="AI17" s="127"/>
      <c r="AJ17" s="127"/>
      <c r="AK17" s="33" t="str">
        <f t="shared" si="6"/>
        <v/>
      </c>
      <c r="AL17" s="130"/>
      <c r="AM17" s="127"/>
      <c r="AN17" s="127"/>
      <c r="AO17" s="127"/>
      <c r="AP17" s="33" t="str">
        <f t="shared" si="7"/>
        <v/>
      </c>
      <c r="AR17" s="84" t="str">
        <f>PRESENCA!T17</f>
        <v>****</v>
      </c>
      <c r="AS17" s="84" t="str">
        <f>PRESENCA!U17</f>
        <v>****</v>
      </c>
      <c r="AT17" s="84" t="str">
        <f>PRESENCA!V17</f>
        <v>****</v>
      </c>
      <c r="AU17" s="84" t="str">
        <f>PRESENCA!W17</f>
        <v>****</v>
      </c>
    </row>
    <row r="18" spans="1:47" ht="15.75" thickBot="1">
      <c r="A18" s="42">
        <v>11</v>
      </c>
      <c r="B18" s="121"/>
      <c r="C18" s="123"/>
      <c r="D18" s="124"/>
      <c r="E18" s="124"/>
      <c r="F18" s="124"/>
      <c r="G18" s="33" t="str">
        <f t="shared" si="0"/>
        <v/>
      </c>
      <c r="H18" s="125"/>
      <c r="I18" s="124"/>
      <c r="J18" s="124"/>
      <c r="K18" s="124"/>
      <c r="L18" s="34" t="str">
        <f t="shared" si="1"/>
        <v/>
      </c>
      <c r="M18" s="126"/>
      <c r="N18" s="127"/>
      <c r="O18" s="127"/>
      <c r="P18" s="127"/>
      <c r="Q18" s="33" t="str">
        <f t="shared" si="2"/>
        <v/>
      </c>
      <c r="R18" s="130"/>
      <c r="S18" s="127"/>
      <c r="T18" s="127"/>
      <c r="U18" s="127"/>
      <c r="V18" s="34" t="str">
        <f t="shared" si="3"/>
        <v/>
      </c>
      <c r="W18" s="126"/>
      <c r="X18" s="127"/>
      <c r="Y18" s="127"/>
      <c r="Z18" s="127"/>
      <c r="AA18" s="33" t="str">
        <f t="shared" si="4"/>
        <v/>
      </c>
      <c r="AB18" s="130"/>
      <c r="AC18" s="127"/>
      <c r="AD18" s="127"/>
      <c r="AE18" s="127"/>
      <c r="AF18" s="34" t="str">
        <f t="shared" si="5"/>
        <v/>
      </c>
      <c r="AG18" s="126"/>
      <c r="AH18" s="127"/>
      <c r="AI18" s="127"/>
      <c r="AJ18" s="127"/>
      <c r="AK18" s="33" t="str">
        <f t="shared" si="6"/>
        <v/>
      </c>
      <c r="AL18" s="130"/>
      <c r="AM18" s="127"/>
      <c r="AN18" s="127"/>
      <c r="AO18" s="127"/>
      <c r="AP18" s="33" t="str">
        <f t="shared" si="7"/>
        <v/>
      </c>
      <c r="AR18" s="84" t="str">
        <f>PRESENCA!T18</f>
        <v>****</v>
      </c>
      <c r="AS18" s="84" t="str">
        <f>PRESENCA!U18</f>
        <v>****</v>
      </c>
      <c r="AT18" s="84" t="str">
        <f>PRESENCA!V18</f>
        <v>****</v>
      </c>
      <c r="AU18" s="84" t="str">
        <f>PRESENCA!W18</f>
        <v>****</v>
      </c>
    </row>
    <row r="19" spans="1:47" ht="15.75" thickBot="1">
      <c r="A19" s="42">
        <v>12</v>
      </c>
      <c r="B19" s="121"/>
      <c r="C19" s="123"/>
      <c r="D19" s="124"/>
      <c r="E19" s="124"/>
      <c r="F19" s="124"/>
      <c r="G19" s="33" t="str">
        <f t="shared" si="0"/>
        <v/>
      </c>
      <c r="H19" s="125"/>
      <c r="I19" s="124"/>
      <c r="J19" s="124"/>
      <c r="K19" s="124"/>
      <c r="L19" s="34" t="str">
        <f t="shared" si="1"/>
        <v/>
      </c>
      <c r="M19" s="126"/>
      <c r="N19" s="127"/>
      <c r="O19" s="127"/>
      <c r="P19" s="127"/>
      <c r="Q19" s="33" t="str">
        <f t="shared" si="2"/>
        <v/>
      </c>
      <c r="R19" s="130"/>
      <c r="S19" s="127"/>
      <c r="T19" s="127"/>
      <c r="U19" s="127"/>
      <c r="V19" s="34" t="str">
        <f t="shared" si="3"/>
        <v/>
      </c>
      <c r="W19" s="126"/>
      <c r="X19" s="127"/>
      <c r="Y19" s="127"/>
      <c r="Z19" s="127"/>
      <c r="AA19" s="33" t="str">
        <f t="shared" si="4"/>
        <v/>
      </c>
      <c r="AB19" s="130"/>
      <c r="AC19" s="127"/>
      <c r="AD19" s="127"/>
      <c r="AE19" s="127"/>
      <c r="AF19" s="34" t="str">
        <f t="shared" si="5"/>
        <v/>
      </c>
      <c r="AG19" s="126"/>
      <c r="AH19" s="127"/>
      <c r="AI19" s="127"/>
      <c r="AJ19" s="127"/>
      <c r="AK19" s="33" t="str">
        <f t="shared" si="6"/>
        <v/>
      </c>
      <c r="AL19" s="130"/>
      <c r="AM19" s="127"/>
      <c r="AN19" s="127"/>
      <c r="AO19" s="127"/>
      <c r="AP19" s="33" t="str">
        <f t="shared" si="7"/>
        <v/>
      </c>
      <c r="AR19" s="84" t="str">
        <f>PRESENCA!T19</f>
        <v>****</v>
      </c>
      <c r="AS19" s="84" t="str">
        <f>PRESENCA!U19</f>
        <v>****</v>
      </c>
      <c r="AT19" s="84" t="str">
        <f>PRESENCA!V19</f>
        <v>****</v>
      </c>
      <c r="AU19" s="84" t="str">
        <f>PRESENCA!W19</f>
        <v>****</v>
      </c>
    </row>
    <row r="20" spans="1:47" ht="15.75" thickBot="1">
      <c r="A20" s="42">
        <v>13</v>
      </c>
      <c r="B20" s="121"/>
      <c r="C20" s="123"/>
      <c r="D20" s="124"/>
      <c r="E20" s="124"/>
      <c r="F20" s="124"/>
      <c r="G20" s="33" t="str">
        <f t="shared" si="0"/>
        <v/>
      </c>
      <c r="H20" s="125"/>
      <c r="I20" s="124"/>
      <c r="J20" s="124"/>
      <c r="K20" s="124"/>
      <c r="L20" s="34" t="str">
        <f t="shared" si="1"/>
        <v/>
      </c>
      <c r="M20" s="126"/>
      <c r="N20" s="127"/>
      <c r="O20" s="127"/>
      <c r="P20" s="127"/>
      <c r="Q20" s="33" t="str">
        <f t="shared" si="2"/>
        <v/>
      </c>
      <c r="R20" s="130"/>
      <c r="S20" s="127"/>
      <c r="T20" s="127"/>
      <c r="U20" s="127"/>
      <c r="V20" s="34" t="str">
        <f t="shared" si="3"/>
        <v/>
      </c>
      <c r="W20" s="126"/>
      <c r="X20" s="127"/>
      <c r="Y20" s="127"/>
      <c r="Z20" s="127"/>
      <c r="AA20" s="33" t="str">
        <f t="shared" si="4"/>
        <v/>
      </c>
      <c r="AB20" s="130"/>
      <c r="AC20" s="127"/>
      <c r="AD20" s="127"/>
      <c r="AE20" s="127"/>
      <c r="AF20" s="34" t="str">
        <f t="shared" si="5"/>
        <v/>
      </c>
      <c r="AG20" s="126"/>
      <c r="AH20" s="127"/>
      <c r="AI20" s="127"/>
      <c r="AJ20" s="127"/>
      <c r="AK20" s="33" t="str">
        <f t="shared" si="6"/>
        <v/>
      </c>
      <c r="AL20" s="130"/>
      <c r="AM20" s="127"/>
      <c r="AN20" s="127"/>
      <c r="AO20" s="127"/>
      <c r="AP20" s="33" t="str">
        <f t="shared" si="7"/>
        <v/>
      </c>
      <c r="AR20" s="84" t="str">
        <f>PRESENCA!T20</f>
        <v>****</v>
      </c>
      <c r="AS20" s="84" t="str">
        <f>PRESENCA!U20</f>
        <v>****</v>
      </c>
      <c r="AT20" s="84" t="str">
        <f>PRESENCA!V20</f>
        <v>****</v>
      </c>
      <c r="AU20" s="84" t="str">
        <f>PRESENCA!W20</f>
        <v>****</v>
      </c>
    </row>
    <row r="21" spans="1:47" ht="15.75" thickBot="1">
      <c r="A21" s="42">
        <v>14</v>
      </c>
      <c r="B21" s="121"/>
      <c r="C21" s="123"/>
      <c r="D21" s="124"/>
      <c r="E21" s="124"/>
      <c r="F21" s="124"/>
      <c r="G21" s="33" t="str">
        <f t="shared" si="0"/>
        <v/>
      </c>
      <c r="H21" s="125"/>
      <c r="I21" s="124"/>
      <c r="J21" s="124"/>
      <c r="K21" s="124"/>
      <c r="L21" s="34" t="str">
        <f t="shared" si="1"/>
        <v/>
      </c>
      <c r="M21" s="126"/>
      <c r="N21" s="127"/>
      <c r="O21" s="127"/>
      <c r="P21" s="127"/>
      <c r="Q21" s="33" t="str">
        <f t="shared" si="2"/>
        <v/>
      </c>
      <c r="R21" s="130"/>
      <c r="S21" s="127"/>
      <c r="T21" s="127"/>
      <c r="U21" s="127"/>
      <c r="V21" s="34" t="str">
        <f t="shared" si="3"/>
        <v/>
      </c>
      <c r="W21" s="126"/>
      <c r="X21" s="127"/>
      <c r="Y21" s="127"/>
      <c r="Z21" s="127"/>
      <c r="AA21" s="33" t="str">
        <f t="shared" si="4"/>
        <v/>
      </c>
      <c r="AB21" s="130"/>
      <c r="AC21" s="127"/>
      <c r="AD21" s="127"/>
      <c r="AE21" s="127"/>
      <c r="AF21" s="34" t="str">
        <f t="shared" si="5"/>
        <v/>
      </c>
      <c r="AG21" s="126"/>
      <c r="AH21" s="127"/>
      <c r="AI21" s="127"/>
      <c r="AJ21" s="127"/>
      <c r="AK21" s="33" t="str">
        <f t="shared" si="6"/>
        <v/>
      </c>
      <c r="AL21" s="130"/>
      <c r="AM21" s="127"/>
      <c r="AN21" s="127"/>
      <c r="AO21" s="127"/>
      <c r="AP21" s="33" t="str">
        <f t="shared" si="7"/>
        <v/>
      </c>
      <c r="AR21" s="84" t="str">
        <f>PRESENCA!T21</f>
        <v>****</v>
      </c>
      <c r="AS21" s="84" t="str">
        <f>PRESENCA!U21</f>
        <v>****</v>
      </c>
      <c r="AT21" s="84" t="str">
        <f>PRESENCA!V21</f>
        <v>****</v>
      </c>
      <c r="AU21" s="84" t="str">
        <f>PRESENCA!W21</f>
        <v>****</v>
      </c>
    </row>
    <row r="22" spans="1:47" ht="15.75" thickBot="1">
      <c r="A22" s="42">
        <v>15</v>
      </c>
      <c r="B22" s="121"/>
      <c r="C22" s="123"/>
      <c r="D22" s="124"/>
      <c r="E22" s="124"/>
      <c r="F22" s="124"/>
      <c r="G22" s="33" t="str">
        <f t="shared" si="0"/>
        <v/>
      </c>
      <c r="H22" s="125"/>
      <c r="I22" s="124"/>
      <c r="J22" s="124"/>
      <c r="K22" s="124"/>
      <c r="L22" s="34" t="str">
        <f t="shared" si="1"/>
        <v/>
      </c>
      <c r="M22" s="126"/>
      <c r="N22" s="127"/>
      <c r="O22" s="127"/>
      <c r="P22" s="127"/>
      <c r="Q22" s="33" t="str">
        <f t="shared" si="2"/>
        <v/>
      </c>
      <c r="R22" s="130"/>
      <c r="S22" s="127"/>
      <c r="T22" s="127"/>
      <c r="U22" s="127"/>
      <c r="V22" s="34" t="str">
        <f t="shared" si="3"/>
        <v/>
      </c>
      <c r="W22" s="126"/>
      <c r="X22" s="127"/>
      <c r="Y22" s="127"/>
      <c r="Z22" s="127"/>
      <c r="AA22" s="33" t="str">
        <f t="shared" si="4"/>
        <v/>
      </c>
      <c r="AB22" s="130"/>
      <c r="AC22" s="127"/>
      <c r="AD22" s="127"/>
      <c r="AE22" s="127"/>
      <c r="AF22" s="34" t="str">
        <f t="shared" si="5"/>
        <v/>
      </c>
      <c r="AG22" s="126"/>
      <c r="AH22" s="127"/>
      <c r="AI22" s="127"/>
      <c r="AJ22" s="127"/>
      <c r="AK22" s="33" t="str">
        <f t="shared" si="6"/>
        <v/>
      </c>
      <c r="AL22" s="130"/>
      <c r="AM22" s="127"/>
      <c r="AN22" s="127"/>
      <c r="AO22" s="127"/>
      <c r="AP22" s="33" t="str">
        <f t="shared" si="7"/>
        <v/>
      </c>
      <c r="AR22" s="84" t="str">
        <f>PRESENCA!T22</f>
        <v>****</v>
      </c>
      <c r="AS22" s="84" t="str">
        <f>PRESENCA!U22</f>
        <v>****</v>
      </c>
      <c r="AT22" s="84" t="str">
        <f>PRESENCA!V22</f>
        <v>****</v>
      </c>
      <c r="AU22" s="84" t="str">
        <f>PRESENCA!W22</f>
        <v>****</v>
      </c>
    </row>
    <row r="23" spans="1:47" ht="15.75" thickBot="1">
      <c r="A23" s="42">
        <v>16</v>
      </c>
      <c r="B23" s="121"/>
      <c r="C23" s="123"/>
      <c r="D23" s="124"/>
      <c r="E23" s="124"/>
      <c r="F23" s="124"/>
      <c r="G23" s="33" t="str">
        <f t="shared" si="0"/>
        <v/>
      </c>
      <c r="H23" s="125"/>
      <c r="I23" s="124"/>
      <c r="J23" s="124"/>
      <c r="K23" s="124"/>
      <c r="L23" s="34" t="str">
        <f t="shared" si="1"/>
        <v/>
      </c>
      <c r="M23" s="126"/>
      <c r="N23" s="127"/>
      <c r="O23" s="127"/>
      <c r="P23" s="127"/>
      <c r="Q23" s="33" t="str">
        <f t="shared" si="2"/>
        <v/>
      </c>
      <c r="R23" s="130"/>
      <c r="S23" s="127"/>
      <c r="T23" s="127"/>
      <c r="U23" s="127"/>
      <c r="V23" s="34" t="str">
        <f t="shared" si="3"/>
        <v/>
      </c>
      <c r="W23" s="126"/>
      <c r="X23" s="127"/>
      <c r="Y23" s="127"/>
      <c r="Z23" s="127"/>
      <c r="AA23" s="33" t="str">
        <f t="shared" si="4"/>
        <v/>
      </c>
      <c r="AB23" s="130"/>
      <c r="AC23" s="127"/>
      <c r="AD23" s="127"/>
      <c r="AE23" s="127"/>
      <c r="AF23" s="34" t="str">
        <f t="shared" si="5"/>
        <v/>
      </c>
      <c r="AG23" s="126"/>
      <c r="AH23" s="127"/>
      <c r="AI23" s="127"/>
      <c r="AJ23" s="127"/>
      <c r="AK23" s="33" t="str">
        <f t="shared" si="6"/>
        <v/>
      </c>
      <c r="AL23" s="130"/>
      <c r="AM23" s="127"/>
      <c r="AN23" s="127"/>
      <c r="AO23" s="127"/>
      <c r="AP23" s="33" t="str">
        <f t="shared" si="7"/>
        <v/>
      </c>
      <c r="AR23" s="84" t="str">
        <f>PRESENCA!T23</f>
        <v>****</v>
      </c>
      <c r="AS23" s="84" t="str">
        <f>PRESENCA!U23</f>
        <v>****</v>
      </c>
      <c r="AT23" s="84" t="str">
        <f>PRESENCA!V23</f>
        <v>****</v>
      </c>
      <c r="AU23" s="84" t="str">
        <f>PRESENCA!W23</f>
        <v>****</v>
      </c>
    </row>
    <row r="24" spans="1:47" ht="15.75" thickBot="1">
      <c r="A24" s="42">
        <v>17</v>
      </c>
      <c r="B24" s="121"/>
      <c r="C24" s="123"/>
      <c r="D24" s="124"/>
      <c r="E24" s="124"/>
      <c r="F24" s="124"/>
      <c r="G24" s="33" t="str">
        <f t="shared" si="0"/>
        <v/>
      </c>
      <c r="H24" s="125"/>
      <c r="I24" s="124"/>
      <c r="J24" s="124"/>
      <c r="K24" s="124"/>
      <c r="L24" s="34" t="str">
        <f t="shared" si="1"/>
        <v/>
      </c>
      <c r="M24" s="126"/>
      <c r="N24" s="127"/>
      <c r="O24" s="127"/>
      <c r="P24" s="127"/>
      <c r="Q24" s="33" t="str">
        <f t="shared" si="2"/>
        <v/>
      </c>
      <c r="R24" s="130"/>
      <c r="S24" s="127"/>
      <c r="T24" s="127"/>
      <c r="U24" s="127"/>
      <c r="V24" s="34" t="str">
        <f t="shared" si="3"/>
        <v/>
      </c>
      <c r="W24" s="126"/>
      <c r="X24" s="127"/>
      <c r="Y24" s="127"/>
      <c r="Z24" s="127"/>
      <c r="AA24" s="33" t="str">
        <f t="shared" si="4"/>
        <v/>
      </c>
      <c r="AB24" s="130"/>
      <c r="AC24" s="127"/>
      <c r="AD24" s="127"/>
      <c r="AE24" s="127"/>
      <c r="AF24" s="34" t="str">
        <f t="shared" si="5"/>
        <v/>
      </c>
      <c r="AG24" s="126"/>
      <c r="AH24" s="127"/>
      <c r="AI24" s="127"/>
      <c r="AJ24" s="127"/>
      <c r="AK24" s="33" t="str">
        <f t="shared" si="6"/>
        <v/>
      </c>
      <c r="AL24" s="130"/>
      <c r="AM24" s="127"/>
      <c r="AN24" s="127"/>
      <c r="AO24" s="127"/>
      <c r="AP24" s="33" t="str">
        <f t="shared" si="7"/>
        <v/>
      </c>
      <c r="AR24" s="84" t="str">
        <f>PRESENCA!T24</f>
        <v>****</v>
      </c>
      <c r="AS24" s="84" t="str">
        <f>PRESENCA!U24</f>
        <v>****</v>
      </c>
      <c r="AT24" s="84" t="str">
        <f>PRESENCA!V24</f>
        <v>****</v>
      </c>
      <c r="AU24" s="84" t="str">
        <f>PRESENCA!W24</f>
        <v>****</v>
      </c>
    </row>
    <row r="25" spans="1:47" ht="15.75" thickBot="1">
      <c r="A25" s="42">
        <v>18</v>
      </c>
      <c r="B25" s="121"/>
      <c r="C25" s="123"/>
      <c r="D25" s="124"/>
      <c r="E25" s="124"/>
      <c r="F25" s="124"/>
      <c r="G25" s="33" t="str">
        <f t="shared" si="0"/>
        <v/>
      </c>
      <c r="H25" s="125"/>
      <c r="I25" s="124"/>
      <c r="J25" s="124"/>
      <c r="K25" s="124"/>
      <c r="L25" s="34" t="str">
        <f t="shared" si="1"/>
        <v/>
      </c>
      <c r="M25" s="126"/>
      <c r="N25" s="127"/>
      <c r="O25" s="127"/>
      <c r="P25" s="127"/>
      <c r="Q25" s="33" t="str">
        <f t="shared" si="2"/>
        <v/>
      </c>
      <c r="R25" s="130"/>
      <c r="S25" s="127"/>
      <c r="T25" s="127"/>
      <c r="U25" s="127"/>
      <c r="V25" s="34" t="str">
        <f t="shared" si="3"/>
        <v/>
      </c>
      <c r="W25" s="126"/>
      <c r="X25" s="127"/>
      <c r="Y25" s="127"/>
      <c r="Z25" s="127"/>
      <c r="AA25" s="33" t="str">
        <f t="shared" si="4"/>
        <v/>
      </c>
      <c r="AB25" s="130"/>
      <c r="AC25" s="127"/>
      <c r="AD25" s="127"/>
      <c r="AE25" s="127"/>
      <c r="AF25" s="34" t="str">
        <f t="shared" si="5"/>
        <v/>
      </c>
      <c r="AG25" s="126"/>
      <c r="AH25" s="127"/>
      <c r="AI25" s="127"/>
      <c r="AJ25" s="127"/>
      <c r="AK25" s="33" t="str">
        <f t="shared" si="6"/>
        <v/>
      </c>
      <c r="AL25" s="130"/>
      <c r="AM25" s="127"/>
      <c r="AN25" s="127"/>
      <c r="AO25" s="127"/>
      <c r="AP25" s="33" t="str">
        <f t="shared" si="7"/>
        <v/>
      </c>
      <c r="AR25" s="84" t="str">
        <f>PRESENCA!T25</f>
        <v>****</v>
      </c>
      <c r="AS25" s="84" t="str">
        <f>PRESENCA!U25</f>
        <v>****</v>
      </c>
      <c r="AT25" s="84" t="str">
        <f>PRESENCA!V25</f>
        <v>****</v>
      </c>
      <c r="AU25" s="84" t="str">
        <f>PRESENCA!W25</f>
        <v>****</v>
      </c>
    </row>
    <row r="26" spans="1:47" ht="15.75" thickBot="1">
      <c r="A26" s="42">
        <v>19</v>
      </c>
      <c r="B26" s="121"/>
      <c r="C26" s="123"/>
      <c r="D26" s="124"/>
      <c r="E26" s="124"/>
      <c r="F26" s="124"/>
      <c r="G26" s="33" t="str">
        <f t="shared" si="0"/>
        <v/>
      </c>
      <c r="H26" s="125"/>
      <c r="I26" s="124"/>
      <c r="J26" s="124"/>
      <c r="K26" s="124"/>
      <c r="L26" s="34" t="str">
        <f t="shared" si="1"/>
        <v/>
      </c>
      <c r="M26" s="126"/>
      <c r="N26" s="127"/>
      <c r="O26" s="127"/>
      <c r="P26" s="127"/>
      <c r="Q26" s="33" t="str">
        <f t="shared" si="2"/>
        <v/>
      </c>
      <c r="R26" s="130"/>
      <c r="S26" s="127"/>
      <c r="T26" s="127"/>
      <c r="U26" s="127"/>
      <c r="V26" s="34" t="str">
        <f t="shared" si="3"/>
        <v/>
      </c>
      <c r="W26" s="126"/>
      <c r="X26" s="127"/>
      <c r="Y26" s="127"/>
      <c r="Z26" s="127"/>
      <c r="AA26" s="33" t="str">
        <f t="shared" si="4"/>
        <v/>
      </c>
      <c r="AB26" s="130"/>
      <c r="AC26" s="127"/>
      <c r="AD26" s="127"/>
      <c r="AE26" s="127"/>
      <c r="AF26" s="34" t="str">
        <f t="shared" si="5"/>
        <v/>
      </c>
      <c r="AG26" s="126"/>
      <c r="AH26" s="127"/>
      <c r="AI26" s="127"/>
      <c r="AJ26" s="127"/>
      <c r="AK26" s="33" t="str">
        <f t="shared" si="6"/>
        <v/>
      </c>
      <c r="AL26" s="130"/>
      <c r="AM26" s="127"/>
      <c r="AN26" s="127"/>
      <c r="AO26" s="127"/>
      <c r="AP26" s="33" t="str">
        <f t="shared" si="7"/>
        <v/>
      </c>
      <c r="AR26" s="84" t="str">
        <f>PRESENCA!T26</f>
        <v>****</v>
      </c>
      <c r="AS26" s="84" t="str">
        <f>PRESENCA!U26</f>
        <v>****</v>
      </c>
      <c r="AT26" s="84" t="str">
        <f>PRESENCA!V26</f>
        <v>****</v>
      </c>
      <c r="AU26" s="84" t="str">
        <f>PRESENCA!W26</f>
        <v>****</v>
      </c>
    </row>
    <row r="27" spans="1:47" ht="15.75" thickBot="1">
      <c r="A27" s="42">
        <v>20</v>
      </c>
      <c r="B27" s="121"/>
      <c r="C27" s="123"/>
      <c r="D27" s="124"/>
      <c r="E27" s="124"/>
      <c r="F27" s="124"/>
      <c r="G27" s="33" t="str">
        <f t="shared" si="0"/>
        <v/>
      </c>
      <c r="H27" s="125"/>
      <c r="I27" s="124"/>
      <c r="J27" s="124"/>
      <c r="K27" s="124"/>
      <c r="L27" s="34" t="str">
        <f t="shared" si="1"/>
        <v/>
      </c>
      <c r="M27" s="126"/>
      <c r="N27" s="127"/>
      <c r="O27" s="127"/>
      <c r="P27" s="127"/>
      <c r="Q27" s="33" t="str">
        <f t="shared" si="2"/>
        <v/>
      </c>
      <c r="R27" s="130"/>
      <c r="S27" s="127"/>
      <c r="T27" s="127"/>
      <c r="U27" s="127"/>
      <c r="V27" s="34" t="str">
        <f t="shared" si="3"/>
        <v/>
      </c>
      <c r="W27" s="126"/>
      <c r="X27" s="127"/>
      <c r="Y27" s="127"/>
      <c r="Z27" s="127"/>
      <c r="AA27" s="33" t="str">
        <f t="shared" si="4"/>
        <v/>
      </c>
      <c r="AB27" s="130"/>
      <c r="AC27" s="127"/>
      <c r="AD27" s="127"/>
      <c r="AE27" s="127"/>
      <c r="AF27" s="34" t="str">
        <f t="shared" si="5"/>
        <v/>
      </c>
      <c r="AG27" s="126"/>
      <c r="AH27" s="127"/>
      <c r="AI27" s="127"/>
      <c r="AJ27" s="127"/>
      <c r="AK27" s="33" t="str">
        <f t="shared" si="6"/>
        <v/>
      </c>
      <c r="AL27" s="130"/>
      <c r="AM27" s="127"/>
      <c r="AN27" s="127"/>
      <c r="AO27" s="127"/>
      <c r="AP27" s="33" t="str">
        <f t="shared" si="7"/>
        <v/>
      </c>
      <c r="AR27" s="84" t="str">
        <f>PRESENCA!T27</f>
        <v>****</v>
      </c>
      <c r="AS27" s="84" t="str">
        <f>PRESENCA!U27</f>
        <v>****</v>
      </c>
      <c r="AT27" s="84" t="str">
        <f>PRESENCA!V27</f>
        <v>****</v>
      </c>
      <c r="AU27" s="84" t="str">
        <f>PRESENCA!W27</f>
        <v>****</v>
      </c>
    </row>
    <row r="28" spans="1:47" ht="15.75" thickBot="1">
      <c r="A28" s="42">
        <v>21</v>
      </c>
      <c r="B28" s="121"/>
      <c r="C28" s="123"/>
      <c r="D28" s="124"/>
      <c r="E28" s="124"/>
      <c r="F28" s="124"/>
      <c r="G28" s="33" t="str">
        <f t="shared" si="0"/>
        <v/>
      </c>
      <c r="H28" s="125"/>
      <c r="I28" s="124"/>
      <c r="J28" s="124"/>
      <c r="K28" s="124"/>
      <c r="L28" s="34" t="str">
        <f t="shared" si="1"/>
        <v/>
      </c>
      <c r="M28" s="126"/>
      <c r="N28" s="127"/>
      <c r="O28" s="127"/>
      <c r="P28" s="127"/>
      <c r="Q28" s="33" t="str">
        <f t="shared" si="2"/>
        <v/>
      </c>
      <c r="R28" s="130"/>
      <c r="S28" s="127"/>
      <c r="T28" s="127"/>
      <c r="U28" s="127"/>
      <c r="V28" s="34" t="str">
        <f t="shared" si="3"/>
        <v/>
      </c>
      <c r="W28" s="126"/>
      <c r="X28" s="127"/>
      <c r="Y28" s="127"/>
      <c r="Z28" s="127"/>
      <c r="AA28" s="33" t="str">
        <f t="shared" si="4"/>
        <v/>
      </c>
      <c r="AB28" s="130"/>
      <c r="AC28" s="127"/>
      <c r="AD28" s="127"/>
      <c r="AE28" s="127"/>
      <c r="AF28" s="34" t="str">
        <f t="shared" si="5"/>
        <v/>
      </c>
      <c r="AG28" s="126"/>
      <c r="AH28" s="127"/>
      <c r="AI28" s="127"/>
      <c r="AJ28" s="127"/>
      <c r="AK28" s="33" t="str">
        <f t="shared" si="6"/>
        <v/>
      </c>
      <c r="AL28" s="130"/>
      <c r="AM28" s="127"/>
      <c r="AN28" s="127"/>
      <c r="AO28" s="127"/>
      <c r="AP28" s="33" t="str">
        <f t="shared" si="7"/>
        <v/>
      </c>
      <c r="AR28" s="84" t="str">
        <f>PRESENCA!T28</f>
        <v>****</v>
      </c>
      <c r="AS28" s="84" t="str">
        <f>PRESENCA!U28</f>
        <v>****</v>
      </c>
      <c r="AT28" s="84" t="str">
        <f>PRESENCA!V28</f>
        <v>****</v>
      </c>
      <c r="AU28" s="84" t="str">
        <f>PRESENCA!W28</f>
        <v>****</v>
      </c>
    </row>
    <row r="29" spans="1:47" ht="15.75" thickBot="1">
      <c r="A29" s="42">
        <v>22</v>
      </c>
      <c r="B29" s="121"/>
      <c r="C29" s="123"/>
      <c r="D29" s="124"/>
      <c r="E29" s="124"/>
      <c r="F29" s="124"/>
      <c r="G29" s="33" t="str">
        <f t="shared" si="0"/>
        <v/>
      </c>
      <c r="H29" s="125"/>
      <c r="I29" s="124"/>
      <c r="J29" s="124"/>
      <c r="K29" s="124"/>
      <c r="L29" s="34" t="str">
        <f t="shared" si="1"/>
        <v/>
      </c>
      <c r="M29" s="126"/>
      <c r="N29" s="127"/>
      <c r="O29" s="127"/>
      <c r="P29" s="127"/>
      <c r="Q29" s="33" t="str">
        <f t="shared" si="2"/>
        <v/>
      </c>
      <c r="R29" s="130"/>
      <c r="S29" s="127"/>
      <c r="T29" s="127"/>
      <c r="U29" s="127"/>
      <c r="V29" s="34" t="str">
        <f t="shared" si="3"/>
        <v/>
      </c>
      <c r="W29" s="126"/>
      <c r="X29" s="127"/>
      <c r="Y29" s="127"/>
      <c r="Z29" s="127"/>
      <c r="AA29" s="33" t="str">
        <f t="shared" si="4"/>
        <v/>
      </c>
      <c r="AB29" s="130"/>
      <c r="AC29" s="127"/>
      <c r="AD29" s="127"/>
      <c r="AE29" s="127"/>
      <c r="AF29" s="34" t="str">
        <f t="shared" si="5"/>
        <v/>
      </c>
      <c r="AG29" s="126"/>
      <c r="AH29" s="127"/>
      <c r="AI29" s="127"/>
      <c r="AJ29" s="127"/>
      <c r="AK29" s="33" t="str">
        <f t="shared" si="6"/>
        <v/>
      </c>
      <c r="AL29" s="130"/>
      <c r="AM29" s="127"/>
      <c r="AN29" s="127"/>
      <c r="AO29" s="127"/>
      <c r="AP29" s="33" t="str">
        <f t="shared" si="7"/>
        <v/>
      </c>
      <c r="AR29" s="84" t="str">
        <f>PRESENCA!T29</f>
        <v>****</v>
      </c>
      <c r="AS29" s="84" t="str">
        <f>PRESENCA!U29</f>
        <v>****</v>
      </c>
      <c r="AT29" s="84" t="str">
        <f>PRESENCA!V29</f>
        <v>****</v>
      </c>
      <c r="AU29" s="84" t="str">
        <f>PRESENCA!W29</f>
        <v>****</v>
      </c>
    </row>
    <row r="30" spans="1:47" ht="15.75" thickBot="1">
      <c r="A30" s="42">
        <v>23</v>
      </c>
      <c r="B30" s="121"/>
      <c r="C30" s="123"/>
      <c r="D30" s="124"/>
      <c r="E30" s="124"/>
      <c r="F30" s="124"/>
      <c r="G30" s="33" t="str">
        <f t="shared" si="0"/>
        <v/>
      </c>
      <c r="H30" s="125"/>
      <c r="I30" s="124"/>
      <c r="J30" s="124"/>
      <c r="K30" s="124"/>
      <c r="L30" s="34" t="str">
        <f t="shared" si="1"/>
        <v/>
      </c>
      <c r="M30" s="126"/>
      <c r="N30" s="127"/>
      <c r="O30" s="127"/>
      <c r="P30" s="127"/>
      <c r="Q30" s="33" t="str">
        <f t="shared" si="2"/>
        <v/>
      </c>
      <c r="R30" s="130"/>
      <c r="S30" s="127"/>
      <c r="T30" s="127"/>
      <c r="U30" s="127"/>
      <c r="V30" s="34" t="str">
        <f t="shared" si="3"/>
        <v/>
      </c>
      <c r="W30" s="126"/>
      <c r="X30" s="127"/>
      <c r="Y30" s="127"/>
      <c r="Z30" s="127"/>
      <c r="AA30" s="33" t="str">
        <f t="shared" si="4"/>
        <v/>
      </c>
      <c r="AB30" s="130"/>
      <c r="AC30" s="127"/>
      <c r="AD30" s="127"/>
      <c r="AE30" s="127"/>
      <c r="AF30" s="34" t="str">
        <f t="shared" si="5"/>
        <v/>
      </c>
      <c r="AG30" s="126"/>
      <c r="AH30" s="127"/>
      <c r="AI30" s="127"/>
      <c r="AJ30" s="127"/>
      <c r="AK30" s="33" t="str">
        <f t="shared" si="6"/>
        <v/>
      </c>
      <c r="AL30" s="130"/>
      <c r="AM30" s="127"/>
      <c r="AN30" s="127"/>
      <c r="AO30" s="127"/>
      <c r="AP30" s="33" t="str">
        <f t="shared" si="7"/>
        <v/>
      </c>
      <c r="AR30" s="84" t="str">
        <f>PRESENCA!T30</f>
        <v>****</v>
      </c>
      <c r="AS30" s="84" t="str">
        <f>PRESENCA!U30</f>
        <v>****</v>
      </c>
      <c r="AT30" s="84" t="str">
        <f>PRESENCA!V30</f>
        <v>****</v>
      </c>
      <c r="AU30" s="84" t="str">
        <f>PRESENCA!W30</f>
        <v>****</v>
      </c>
    </row>
    <row r="31" spans="1:47" ht="15.75" thickBot="1">
      <c r="A31" s="42">
        <v>24</v>
      </c>
      <c r="B31" s="121"/>
      <c r="C31" s="123"/>
      <c r="D31" s="124"/>
      <c r="E31" s="124"/>
      <c r="F31" s="124"/>
      <c r="G31" s="33" t="str">
        <f t="shared" si="0"/>
        <v/>
      </c>
      <c r="H31" s="125"/>
      <c r="I31" s="124"/>
      <c r="J31" s="124"/>
      <c r="K31" s="124"/>
      <c r="L31" s="34" t="str">
        <f t="shared" si="1"/>
        <v/>
      </c>
      <c r="M31" s="126"/>
      <c r="N31" s="127"/>
      <c r="O31" s="127"/>
      <c r="P31" s="127"/>
      <c r="Q31" s="33" t="str">
        <f t="shared" si="2"/>
        <v/>
      </c>
      <c r="R31" s="130"/>
      <c r="S31" s="127"/>
      <c r="T31" s="127"/>
      <c r="U31" s="127"/>
      <c r="V31" s="34" t="str">
        <f t="shared" si="3"/>
        <v/>
      </c>
      <c r="W31" s="126"/>
      <c r="X31" s="127"/>
      <c r="Y31" s="127"/>
      <c r="Z31" s="127"/>
      <c r="AA31" s="33" t="str">
        <f t="shared" si="4"/>
        <v/>
      </c>
      <c r="AB31" s="130"/>
      <c r="AC31" s="127"/>
      <c r="AD31" s="127"/>
      <c r="AE31" s="127"/>
      <c r="AF31" s="34" t="str">
        <f t="shared" si="5"/>
        <v/>
      </c>
      <c r="AG31" s="126"/>
      <c r="AH31" s="127"/>
      <c r="AI31" s="127"/>
      <c r="AJ31" s="127"/>
      <c r="AK31" s="33" t="str">
        <f t="shared" si="6"/>
        <v/>
      </c>
      <c r="AL31" s="130"/>
      <c r="AM31" s="127"/>
      <c r="AN31" s="127"/>
      <c r="AO31" s="127"/>
      <c r="AP31" s="33" t="str">
        <f t="shared" si="7"/>
        <v/>
      </c>
      <c r="AR31" s="84" t="str">
        <f>PRESENCA!T31</f>
        <v>****</v>
      </c>
      <c r="AS31" s="84" t="str">
        <f>PRESENCA!U31</f>
        <v>****</v>
      </c>
      <c r="AT31" s="84" t="str">
        <f>PRESENCA!V31</f>
        <v>****</v>
      </c>
      <c r="AU31" s="84" t="str">
        <f>PRESENCA!W31</f>
        <v>****</v>
      </c>
    </row>
    <row r="32" spans="1:47" ht="15.75" thickBot="1">
      <c r="A32" s="42">
        <v>25</v>
      </c>
      <c r="B32" s="121"/>
      <c r="C32" s="123"/>
      <c r="D32" s="124"/>
      <c r="E32" s="124"/>
      <c r="F32" s="124"/>
      <c r="G32" s="33" t="str">
        <f t="shared" si="0"/>
        <v/>
      </c>
      <c r="H32" s="125"/>
      <c r="I32" s="124"/>
      <c r="J32" s="124"/>
      <c r="K32" s="124"/>
      <c r="L32" s="34" t="str">
        <f t="shared" si="1"/>
        <v/>
      </c>
      <c r="M32" s="126"/>
      <c r="N32" s="127"/>
      <c r="O32" s="127"/>
      <c r="P32" s="127"/>
      <c r="Q32" s="33" t="str">
        <f t="shared" si="2"/>
        <v/>
      </c>
      <c r="R32" s="130"/>
      <c r="S32" s="127"/>
      <c r="T32" s="127"/>
      <c r="U32" s="127"/>
      <c r="V32" s="34" t="str">
        <f t="shared" si="3"/>
        <v/>
      </c>
      <c r="W32" s="126"/>
      <c r="X32" s="127"/>
      <c r="Y32" s="127"/>
      <c r="Z32" s="127"/>
      <c r="AA32" s="33" t="str">
        <f t="shared" si="4"/>
        <v/>
      </c>
      <c r="AB32" s="130"/>
      <c r="AC32" s="127"/>
      <c r="AD32" s="127"/>
      <c r="AE32" s="127"/>
      <c r="AF32" s="34" t="str">
        <f t="shared" si="5"/>
        <v/>
      </c>
      <c r="AG32" s="126"/>
      <c r="AH32" s="127"/>
      <c r="AI32" s="127"/>
      <c r="AJ32" s="127"/>
      <c r="AK32" s="33" t="str">
        <f t="shared" si="6"/>
        <v/>
      </c>
      <c r="AL32" s="130"/>
      <c r="AM32" s="127"/>
      <c r="AN32" s="127"/>
      <c r="AO32" s="127"/>
      <c r="AP32" s="33" t="str">
        <f t="shared" si="7"/>
        <v/>
      </c>
      <c r="AR32" s="84" t="str">
        <f>PRESENCA!T32</f>
        <v>****</v>
      </c>
      <c r="AS32" s="84" t="str">
        <f>PRESENCA!U32</f>
        <v>****</v>
      </c>
      <c r="AT32" s="84" t="str">
        <f>PRESENCA!V32</f>
        <v>****</v>
      </c>
      <c r="AU32" s="84" t="str">
        <f>PRESENCA!W32</f>
        <v>****</v>
      </c>
    </row>
    <row r="33" spans="1:47" ht="15.75" thickBot="1">
      <c r="A33" s="42">
        <v>26</v>
      </c>
      <c r="B33" s="121"/>
      <c r="C33" s="123"/>
      <c r="D33" s="124"/>
      <c r="E33" s="124"/>
      <c r="F33" s="124"/>
      <c r="G33" s="33" t="str">
        <f t="shared" si="0"/>
        <v/>
      </c>
      <c r="H33" s="125"/>
      <c r="I33" s="124"/>
      <c r="J33" s="124"/>
      <c r="K33" s="124"/>
      <c r="L33" s="34" t="str">
        <f t="shared" si="1"/>
        <v/>
      </c>
      <c r="M33" s="126"/>
      <c r="N33" s="127"/>
      <c r="O33" s="127"/>
      <c r="P33" s="127"/>
      <c r="Q33" s="33" t="str">
        <f t="shared" si="2"/>
        <v/>
      </c>
      <c r="R33" s="130"/>
      <c r="S33" s="127"/>
      <c r="T33" s="127"/>
      <c r="U33" s="127"/>
      <c r="V33" s="34" t="str">
        <f t="shared" si="3"/>
        <v/>
      </c>
      <c r="W33" s="126"/>
      <c r="X33" s="127"/>
      <c r="Y33" s="127"/>
      <c r="Z33" s="127"/>
      <c r="AA33" s="33" t="str">
        <f t="shared" si="4"/>
        <v/>
      </c>
      <c r="AB33" s="130"/>
      <c r="AC33" s="127"/>
      <c r="AD33" s="127"/>
      <c r="AE33" s="127"/>
      <c r="AF33" s="34" t="str">
        <f t="shared" si="5"/>
        <v/>
      </c>
      <c r="AG33" s="126"/>
      <c r="AH33" s="127"/>
      <c r="AI33" s="127"/>
      <c r="AJ33" s="127"/>
      <c r="AK33" s="33" t="str">
        <f t="shared" si="6"/>
        <v/>
      </c>
      <c r="AL33" s="130"/>
      <c r="AM33" s="127"/>
      <c r="AN33" s="127"/>
      <c r="AO33" s="127"/>
      <c r="AP33" s="33" t="str">
        <f t="shared" si="7"/>
        <v/>
      </c>
      <c r="AR33" s="84" t="str">
        <f>PRESENCA!T33</f>
        <v>****</v>
      </c>
      <c r="AS33" s="84" t="str">
        <f>PRESENCA!U33</f>
        <v>****</v>
      </c>
      <c r="AT33" s="84" t="str">
        <f>PRESENCA!V33</f>
        <v>****</v>
      </c>
      <c r="AU33" s="84" t="str">
        <f>PRESENCA!W33</f>
        <v>****</v>
      </c>
    </row>
    <row r="34" spans="1:47" ht="15.75" thickBot="1">
      <c r="A34" s="42">
        <v>27</v>
      </c>
      <c r="B34" s="121"/>
      <c r="C34" s="123"/>
      <c r="D34" s="124"/>
      <c r="E34" s="124"/>
      <c r="F34" s="124"/>
      <c r="G34" s="33" t="str">
        <f t="shared" si="0"/>
        <v/>
      </c>
      <c r="H34" s="125"/>
      <c r="I34" s="124"/>
      <c r="J34" s="124"/>
      <c r="K34" s="124"/>
      <c r="L34" s="34" t="str">
        <f t="shared" si="1"/>
        <v/>
      </c>
      <c r="M34" s="126"/>
      <c r="N34" s="127"/>
      <c r="O34" s="127"/>
      <c r="P34" s="127"/>
      <c r="Q34" s="33" t="str">
        <f t="shared" si="2"/>
        <v/>
      </c>
      <c r="R34" s="130"/>
      <c r="S34" s="127"/>
      <c r="T34" s="127"/>
      <c r="U34" s="127"/>
      <c r="V34" s="34" t="str">
        <f t="shared" si="3"/>
        <v/>
      </c>
      <c r="W34" s="126"/>
      <c r="X34" s="127"/>
      <c r="Y34" s="127"/>
      <c r="Z34" s="127"/>
      <c r="AA34" s="33" t="str">
        <f t="shared" si="4"/>
        <v/>
      </c>
      <c r="AB34" s="130"/>
      <c r="AC34" s="127"/>
      <c r="AD34" s="127"/>
      <c r="AE34" s="127"/>
      <c r="AF34" s="34" t="str">
        <f t="shared" si="5"/>
        <v/>
      </c>
      <c r="AG34" s="126"/>
      <c r="AH34" s="127"/>
      <c r="AI34" s="127"/>
      <c r="AJ34" s="127"/>
      <c r="AK34" s="33" t="str">
        <f t="shared" si="6"/>
        <v/>
      </c>
      <c r="AL34" s="130"/>
      <c r="AM34" s="127"/>
      <c r="AN34" s="127"/>
      <c r="AO34" s="127"/>
      <c r="AP34" s="33" t="str">
        <f t="shared" si="7"/>
        <v/>
      </c>
      <c r="AR34" s="84" t="str">
        <f>PRESENCA!T34</f>
        <v>****</v>
      </c>
      <c r="AS34" s="84" t="str">
        <f>PRESENCA!U34</f>
        <v>****</v>
      </c>
      <c r="AT34" s="84" t="str">
        <f>PRESENCA!V34</f>
        <v>****</v>
      </c>
      <c r="AU34" s="84" t="str">
        <f>PRESENCA!W34</f>
        <v>****</v>
      </c>
    </row>
    <row r="35" spans="1:47" ht="15.75" thickBot="1">
      <c r="A35" s="42">
        <v>28</v>
      </c>
      <c r="B35" s="121"/>
      <c r="C35" s="123"/>
      <c r="D35" s="124"/>
      <c r="E35" s="124"/>
      <c r="F35" s="124"/>
      <c r="G35" s="33" t="str">
        <f t="shared" si="0"/>
        <v/>
      </c>
      <c r="H35" s="125"/>
      <c r="I35" s="124"/>
      <c r="J35" s="124"/>
      <c r="K35" s="124"/>
      <c r="L35" s="34" t="str">
        <f t="shared" si="1"/>
        <v/>
      </c>
      <c r="M35" s="126"/>
      <c r="N35" s="127"/>
      <c r="O35" s="127"/>
      <c r="P35" s="127"/>
      <c r="Q35" s="33" t="str">
        <f t="shared" si="2"/>
        <v/>
      </c>
      <c r="R35" s="130"/>
      <c r="S35" s="127"/>
      <c r="T35" s="127"/>
      <c r="U35" s="127"/>
      <c r="V35" s="34" t="str">
        <f t="shared" si="3"/>
        <v/>
      </c>
      <c r="W35" s="126"/>
      <c r="X35" s="127"/>
      <c r="Y35" s="127"/>
      <c r="Z35" s="127"/>
      <c r="AA35" s="33" t="str">
        <f t="shared" si="4"/>
        <v/>
      </c>
      <c r="AB35" s="130"/>
      <c r="AC35" s="127"/>
      <c r="AD35" s="127"/>
      <c r="AE35" s="127"/>
      <c r="AF35" s="34" t="str">
        <f t="shared" si="5"/>
        <v/>
      </c>
      <c r="AG35" s="126"/>
      <c r="AH35" s="127"/>
      <c r="AI35" s="127"/>
      <c r="AJ35" s="127"/>
      <c r="AK35" s="33" t="str">
        <f t="shared" si="6"/>
        <v/>
      </c>
      <c r="AL35" s="130"/>
      <c r="AM35" s="127"/>
      <c r="AN35" s="127"/>
      <c r="AO35" s="127"/>
      <c r="AP35" s="33" t="str">
        <f t="shared" si="7"/>
        <v/>
      </c>
      <c r="AR35" s="84" t="str">
        <f>PRESENCA!T35</f>
        <v>****</v>
      </c>
      <c r="AS35" s="84" t="str">
        <f>PRESENCA!U35</f>
        <v>****</v>
      </c>
      <c r="AT35" s="84" t="str">
        <f>PRESENCA!V35</f>
        <v>****</v>
      </c>
      <c r="AU35" s="84" t="str">
        <f>PRESENCA!W35</f>
        <v>****</v>
      </c>
    </row>
    <row r="36" spans="1:47" ht="15.75" thickBot="1">
      <c r="A36" s="42">
        <v>29</v>
      </c>
      <c r="B36" s="121"/>
      <c r="C36" s="123"/>
      <c r="D36" s="124"/>
      <c r="E36" s="124"/>
      <c r="F36" s="124"/>
      <c r="G36" s="33" t="str">
        <f t="shared" si="0"/>
        <v/>
      </c>
      <c r="H36" s="125"/>
      <c r="I36" s="124"/>
      <c r="J36" s="124"/>
      <c r="K36" s="124"/>
      <c r="L36" s="34" t="str">
        <f t="shared" si="1"/>
        <v/>
      </c>
      <c r="M36" s="126"/>
      <c r="N36" s="127"/>
      <c r="O36" s="127"/>
      <c r="P36" s="127"/>
      <c r="Q36" s="33" t="str">
        <f t="shared" si="2"/>
        <v/>
      </c>
      <c r="R36" s="130"/>
      <c r="S36" s="127"/>
      <c r="T36" s="127"/>
      <c r="U36" s="127"/>
      <c r="V36" s="34" t="str">
        <f t="shared" si="3"/>
        <v/>
      </c>
      <c r="W36" s="126"/>
      <c r="X36" s="127"/>
      <c r="Y36" s="127"/>
      <c r="Z36" s="127"/>
      <c r="AA36" s="33" t="str">
        <f t="shared" si="4"/>
        <v/>
      </c>
      <c r="AB36" s="130"/>
      <c r="AC36" s="127"/>
      <c r="AD36" s="127"/>
      <c r="AE36" s="127"/>
      <c r="AF36" s="34" t="str">
        <f t="shared" si="5"/>
        <v/>
      </c>
      <c r="AG36" s="126"/>
      <c r="AH36" s="127"/>
      <c r="AI36" s="127"/>
      <c r="AJ36" s="127"/>
      <c r="AK36" s="33" t="str">
        <f t="shared" si="6"/>
        <v/>
      </c>
      <c r="AL36" s="130"/>
      <c r="AM36" s="127"/>
      <c r="AN36" s="127"/>
      <c r="AO36" s="127"/>
      <c r="AP36" s="33" t="str">
        <f t="shared" si="7"/>
        <v/>
      </c>
      <c r="AR36" s="84" t="str">
        <f>PRESENCA!T36</f>
        <v>****</v>
      </c>
      <c r="AS36" s="84" t="str">
        <f>PRESENCA!U36</f>
        <v>****</v>
      </c>
      <c r="AT36" s="84" t="str">
        <f>PRESENCA!V36</f>
        <v>****</v>
      </c>
      <c r="AU36" s="84" t="str">
        <f>PRESENCA!W36</f>
        <v>****</v>
      </c>
    </row>
    <row r="37" spans="1:47" ht="15.75" thickBot="1">
      <c r="A37" s="43">
        <v>30</v>
      </c>
      <c r="B37" s="122"/>
      <c r="C37" s="132"/>
      <c r="D37" s="133"/>
      <c r="E37" s="133"/>
      <c r="F37" s="133"/>
      <c r="G37" s="51" t="str">
        <f t="shared" si="0"/>
        <v/>
      </c>
      <c r="H37" s="134"/>
      <c r="I37" s="133"/>
      <c r="J37" s="133"/>
      <c r="K37" s="133"/>
      <c r="L37" s="135" t="str">
        <f t="shared" si="1"/>
        <v/>
      </c>
      <c r="M37" s="128"/>
      <c r="N37" s="129"/>
      <c r="O37" s="129"/>
      <c r="P37" s="129"/>
      <c r="Q37" s="51" t="str">
        <f t="shared" si="2"/>
        <v/>
      </c>
      <c r="R37" s="131"/>
      <c r="S37" s="129"/>
      <c r="T37" s="129"/>
      <c r="U37" s="129"/>
      <c r="V37" s="135" t="str">
        <f t="shared" si="3"/>
        <v/>
      </c>
      <c r="W37" s="128"/>
      <c r="X37" s="129"/>
      <c r="Y37" s="129"/>
      <c r="Z37" s="129"/>
      <c r="AA37" s="51" t="str">
        <f t="shared" si="4"/>
        <v/>
      </c>
      <c r="AB37" s="131"/>
      <c r="AC37" s="129"/>
      <c r="AD37" s="129"/>
      <c r="AE37" s="129"/>
      <c r="AF37" s="135" t="str">
        <f t="shared" si="5"/>
        <v/>
      </c>
      <c r="AG37" s="128"/>
      <c r="AH37" s="129"/>
      <c r="AI37" s="129"/>
      <c r="AJ37" s="129"/>
      <c r="AK37" s="51" t="str">
        <f t="shared" si="6"/>
        <v/>
      </c>
      <c r="AL37" s="131"/>
      <c r="AM37" s="129"/>
      <c r="AN37" s="129"/>
      <c r="AO37" s="129"/>
      <c r="AP37" s="51" t="str">
        <f t="shared" si="7"/>
        <v/>
      </c>
      <c r="AR37" s="84" t="str">
        <f>PRESENCA!T37</f>
        <v>****</v>
      </c>
      <c r="AS37" s="84" t="str">
        <f>PRESENCA!U37</f>
        <v>****</v>
      </c>
      <c r="AT37" s="84" t="str">
        <f>PRESENCA!V37</f>
        <v>****</v>
      </c>
      <c r="AU37" s="84" t="str">
        <f>PRESENCA!W37</f>
        <v>****</v>
      </c>
    </row>
    <row r="38" spans="1:47">
      <c r="C38" t="s">
        <v>68</v>
      </c>
      <c r="D38" t="s">
        <v>68</v>
      </c>
      <c r="E38" t="s">
        <v>68</v>
      </c>
      <c r="F38" t="s">
        <v>68</v>
      </c>
      <c r="H38" t="s">
        <v>68</v>
      </c>
      <c r="I38" t="s">
        <v>68</v>
      </c>
      <c r="J38" t="s">
        <v>68</v>
      </c>
      <c r="K38" t="s">
        <v>68</v>
      </c>
      <c r="M38" t="s">
        <v>68</v>
      </c>
      <c r="N38" t="s">
        <v>68</v>
      </c>
      <c r="O38" t="s">
        <v>68</v>
      </c>
      <c r="P38" t="s">
        <v>68</v>
      </c>
      <c r="R38" t="s">
        <v>68</v>
      </c>
      <c r="S38" t="s">
        <v>68</v>
      </c>
      <c r="T38" t="s">
        <v>68</v>
      </c>
      <c r="U38" t="s">
        <v>68</v>
      </c>
      <c r="W38" t="s">
        <v>68</v>
      </c>
      <c r="X38" t="s">
        <v>68</v>
      </c>
      <c r="Y38" t="s">
        <v>68</v>
      </c>
      <c r="Z38" t="s">
        <v>68</v>
      </c>
      <c r="AB38" t="s">
        <v>68</v>
      </c>
      <c r="AC38" t="s">
        <v>68</v>
      </c>
      <c r="AD38" t="s">
        <v>68</v>
      </c>
      <c r="AE38" t="s">
        <v>68</v>
      </c>
      <c r="AG38" t="s">
        <v>68</v>
      </c>
      <c r="AH38" t="s">
        <v>68</v>
      </c>
      <c r="AI38" t="s">
        <v>68</v>
      </c>
      <c r="AJ38" t="s">
        <v>68</v>
      </c>
      <c r="AL38" t="s">
        <v>68</v>
      </c>
      <c r="AM38" t="s">
        <v>68</v>
      </c>
      <c r="AN38" t="s">
        <v>68</v>
      </c>
      <c r="AO38" t="s">
        <v>68</v>
      </c>
    </row>
  </sheetData>
  <sheetProtection algorithmName="SHA-512" hashValue="3MWQ+yXk1sM5Eifo1WcStaLYVLYya1062xMZJXuLYMCkFY3JD4GZc7DtGIB4/wa1Nq5DALjEq1v/xvnQ70CQyw==" saltValue="QJm+EYgwEb0HLflgnhfqnA==" spinCount="100000" sheet="1" objects="1" scenarios="1" selectLockedCells="1"/>
  <mergeCells count="18">
    <mergeCell ref="AB6:AF6"/>
    <mergeCell ref="AG6:AK6"/>
    <mergeCell ref="AL6:AP6"/>
    <mergeCell ref="AR3:AU4"/>
    <mergeCell ref="AR5:AS5"/>
    <mergeCell ref="AT5:AU5"/>
    <mergeCell ref="AR6:AS6"/>
    <mergeCell ref="AT6:AU6"/>
    <mergeCell ref="C5:AP5"/>
    <mergeCell ref="C4:AP4"/>
    <mergeCell ref="C3:AP3"/>
    <mergeCell ref="C2:AP2"/>
    <mergeCell ref="C1:AP1"/>
    <mergeCell ref="C6:G6"/>
    <mergeCell ref="H6:L6"/>
    <mergeCell ref="M6:Q6"/>
    <mergeCell ref="R6:V6"/>
    <mergeCell ref="W6:AA6"/>
  </mergeCells>
  <conditionalFormatting sqref="A7:AP7 A8:A37 C8:AP37">
    <cfRule type="expression" dxfId="11" priority="6">
      <formula>COLUMN()=CELL("COL")</formula>
    </cfRule>
  </conditionalFormatting>
  <conditionalFormatting sqref="A8:A37 C8:AP37">
    <cfRule type="expression" dxfId="10" priority="5">
      <formula>ROW()=CELL("LIN")</formula>
    </cfRule>
  </conditionalFormatting>
  <conditionalFormatting sqref="AR8:AU37">
    <cfRule type="expression" dxfId="9" priority="4">
      <formula>ROW()=CELL("LIN")</formula>
    </cfRule>
  </conditionalFormatting>
  <conditionalFormatting sqref="AR7:AU37">
    <cfRule type="expression" dxfId="8" priority="3">
      <formula>COLUMN()=CELL("COL")</formula>
    </cfRule>
  </conditionalFormatting>
  <conditionalFormatting sqref="B8:B37">
    <cfRule type="expression" dxfId="7" priority="2">
      <formula>ROW()=CELL("LIN")</formula>
    </cfRule>
  </conditionalFormatting>
  <conditionalFormatting sqref="B8:B37">
    <cfRule type="expression" dxfId="6" priority="1">
      <formula>COLUMN()=CELL("COL")</formula>
    </cfRule>
  </conditionalFormatting>
  <pageMargins left="0.511811024" right="0.511811024" top="0.78740157499999996" bottom="0.78740157499999996" header="0.31496062000000002" footer="0.31496062000000002"/>
  <pageSetup paperSize="9" scale="60" orientation="landscape" r:id="rId1"/>
  <colBreaks count="1" manualBreakCount="1">
    <brk id="42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W38"/>
  <sheetViews>
    <sheetView showGridLines="0" showRowColHeaders="0" view="pageBreakPreview" zoomScale="90" zoomScaleNormal="100" zoomScaleSheetLayoutView="90" workbookViewId="0">
      <pane xSplit="2" ySplit="6" topLeftCell="C8" activePane="bottomRight" state="frozen"/>
      <selection pane="topRight" activeCell="C1" sqref="C1"/>
      <selection pane="bottomLeft" activeCell="A7" sqref="A7"/>
      <selection pane="bottomRight" activeCell="C10" sqref="C10"/>
    </sheetView>
  </sheetViews>
  <sheetFormatPr defaultRowHeight="15"/>
  <cols>
    <col min="1" max="1" width="3.42578125" bestFit="1" customWidth="1"/>
    <col min="2" max="2" width="34.28515625" bestFit="1" customWidth="1"/>
    <col min="3" max="18" width="4.5703125" customWidth="1"/>
    <col min="19" max="19" width="1.7109375" customWidth="1"/>
  </cols>
  <sheetData>
    <row r="1" spans="1:23" ht="15.75" thickBot="1">
      <c r="A1" s="163"/>
      <c r="B1" s="164" t="s">
        <v>54</v>
      </c>
      <c r="C1" s="305" t="str">
        <f>NOTAS!C1</f>
        <v>E.M.E.I.E.F. Fictício</v>
      </c>
      <c r="D1" s="305"/>
      <c r="E1" s="305"/>
      <c r="F1" s="305"/>
      <c r="G1" s="305"/>
      <c r="H1" s="305"/>
      <c r="I1" s="305"/>
      <c r="J1" s="305"/>
      <c r="K1" s="305"/>
      <c r="L1" s="305"/>
      <c r="M1" s="305"/>
      <c r="N1" s="305"/>
      <c r="O1" s="305"/>
      <c r="P1" s="305"/>
      <c r="Q1" s="305"/>
      <c r="R1" s="305"/>
      <c r="S1" s="165"/>
      <c r="T1" s="165"/>
      <c r="U1" s="165"/>
      <c r="V1" s="165"/>
      <c r="W1" s="165"/>
    </row>
    <row r="2" spans="1:23" ht="15.75" thickBot="1">
      <c r="A2" s="165"/>
      <c r="B2" s="164" t="s">
        <v>45</v>
      </c>
      <c r="C2" s="305" t="str">
        <f>NOTAS!C2</f>
        <v>1 ANO - A ao 5 Ano Fundamental</v>
      </c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165"/>
      <c r="T2" s="165"/>
      <c r="U2" s="165"/>
      <c r="V2" s="165"/>
      <c r="W2" s="165"/>
    </row>
    <row r="3" spans="1:23">
      <c r="A3" s="165"/>
      <c r="B3" s="164" t="s">
        <v>46</v>
      </c>
      <c r="C3" s="305" t="str">
        <f>NOTAS!C3</f>
        <v>Intermediario</v>
      </c>
      <c r="D3" s="305"/>
      <c r="E3" s="305"/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5"/>
      <c r="Q3" s="305"/>
      <c r="R3" s="305"/>
      <c r="S3" s="165"/>
      <c r="T3" s="248" t="s">
        <v>8</v>
      </c>
      <c r="U3" s="249"/>
      <c r="V3" s="249"/>
      <c r="W3" s="250"/>
    </row>
    <row r="4" spans="1:23" ht="15.75" thickBot="1">
      <c r="A4" s="165"/>
      <c r="B4" s="164" t="s">
        <v>47</v>
      </c>
      <c r="C4" s="305" t="str">
        <f>NOTAS!C4</f>
        <v>Fulano Sobrenome</v>
      </c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165"/>
      <c r="T4" s="286"/>
      <c r="U4" s="287"/>
      <c r="V4" s="252"/>
      <c r="W4" s="253"/>
    </row>
    <row r="5" spans="1:23" ht="15.75" thickBot="1">
      <c r="A5" s="165"/>
      <c r="B5" s="164" t="s">
        <v>53</v>
      </c>
      <c r="C5" s="305">
        <f>NOTAS!C5</f>
        <v>2022</v>
      </c>
      <c r="D5" s="305"/>
      <c r="E5" s="305"/>
      <c r="F5" s="305"/>
      <c r="G5" s="305"/>
      <c r="H5" s="305"/>
      <c r="I5" s="305"/>
      <c r="J5" s="305"/>
      <c r="K5" s="305"/>
      <c r="L5" s="305"/>
      <c r="M5" s="305"/>
      <c r="N5" s="305"/>
      <c r="O5" s="305"/>
      <c r="P5" s="305"/>
      <c r="Q5" s="305"/>
      <c r="R5" s="305"/>
      <c r="S5" s="165"/>
      <c r="T5" s="288" t="s">
        <v>12</v>
      </c>
      <c r="U5" s="289"/>
      <c r="V5" s="290" t="s">
        <v>14</v>
      </c>
      <c r="W5" s="255"/>
    </row>
    <row r="6" spans="1:23" ht="15.75" thickBot="1">
      <c r="A6" s="165"/>
      <c r="B6" s="85" t="s">
        <v>25</v>
      </c>
      <c r="C6" s="297" t="s">
        <v>72</v>
      </c>
      <c r="D6" s="298"/>
      <c r="E6" s="299" t="s">
        <v>73</v>
      </c>
      <c r="F6" s="300"/>
      <c r="G6" s="301" t="s">
        <v>74</v>
      </c>
      <c r="H6" s="302"/>
      <c r="I6" s="293" t="s">
        <v>75</v>
      </c>
      <c r="J6" s="294"/>
      <c r="K6" s="303" t="s">
        <v>76</v>
      </c>
      <c r="L6" s="304"/>
      <c r="M6" s="297" t="s">
        <v>77</v>
      </c>
      <c r="N6" s="298"/>
      <c r="O6" s="293" t="s">
        <v>78</v>
      </c>
      <c r="P6" s="294"/>
      <c r="Q6" s="295" t="s">
        <v>79</v>
      </c>
      <c r="R6" s="296"/>
      <c r="S6" s="165"/>
      <c r="T6" s="291" t="s">
        <v>13</v>
      </c>
      <c r="U6" s="292"/>
      <c r="V6" s="228" t="s">
        <v>15</v>
      </c>
      <c r="W6" s="231"/>
    </row>
    <row r="7" spans="1:23" ht="15.75" thickBot="1">
      <c r="A7" s="86" t="s">
        <v>56</v>
      </c>
      <c r="B7" s="87" t="s">
        <v>48</v>
      </c>
      <c r="C7" s="36" t="s">
        <v>80</v>
      </c>
      <c r="D7" s="88" t="s">
        <v>81</v>
      </c>
      <c r="E7" s="89" t="s">
        <v>80</v>
      </c>
      <c r="F7" s="90" t="s">
        <v>81</v>
      </c>
      <c r="G7" s="91" t="s">
        <v>80</v>
      </c>
      <c r="H7" s="92" t="s">
        <v>81</v>
      </c>
      <c r="I7" s="93" t="s">
        <v>80</v>
      </c>
      <c r="J7" s="94" t="s">
        <v>81</v>
      </c>
      <c r="K7" s="95" t="s">
        <v>80</v>
      </c>
      <c r="L7" s="96" t="s">
        <v>81</v>
      </c>
      <c r="M7" s="36" t="s">
        <v>80</v>
      </c>
      <c r="N7" s="88" t="s">
        <v>81</v>
      </c>
      <c r="O7" s="93" t="s">
        <v>80</v>
      </c>
      <c r="P7" s="94" t="s">
        <v>81</v>
      </c>
      <c r="Q7" s="97" t="s">
        <v>80</v>
      </c>
      <c r="R7" s="98" t="s">
        <v>81</v>
      </c>
      <c r="S7" s="165"/>
      <c r="T7" s="40" t="s">
        <v>20</v>
      </c>
      <c r="U7" s="39" t="s">
        <v>21</v>
      </c>
      <c r="V7" s="19" t="s">
        <v>20</v>
      </c>
      <c r="W7" s="40" t="s">
        <v>21</v>
      </c>
    </row>
    <row r="8" spans="1:23" ht="15.75" thickBot="1">
      <c r="A8" s="99">
        <v>1</v>
      </c>
      <c r="B8" s="100" t="str">
        <f>IF(NOTAS!B8&lt;&gt;"",NOTAS!B8,"")</f>
        <v>Fictício Sobrenome</v>
      </c>
      <c r="C8" s="52">
        <v>9</v>
      </c>
      <c r="D8" s="53">
        <v>10</v>
      </c>
      <c r="E8" s="54">
        <v>11</v>
      </c>
      <c r="F8" s="55">
        <v>2</v>
      </c>
      <c r="G8" s="56">
        <v>13</v>
      </c>
      <c r="H8" s="57">
        <v>4</v>
      </c>
      <c r="I8" s="58">
        <v>11</v>
      </c>
      <c r="J8" s="59">
        <v>2</v>
      </c>
      <c r="K8" s="60">
        <v>1</v>
      </c>
      <c r="L8" s="61">
        <v>9</v>
      </c>
      <c r="M8" s="62">
        <v>12</v>
      </c>
      <c r="N8" s="63">
        <v>1</v>
      </c>
      <c r="O8" s="58">
        <v>20</v>
      </c>
      <c r="P8" s="59">
        <v>2</v>
      </c>
      <c r="Q8" s="62">
        <v>16</v>
      </c>
      <c r="R8" s="63">
        <v>2</v>
      </c>
      <c r="S8" s="165"/>
      <c r="T8" s="84">
        <f>IF(C8="","****",SUM(C8,E8,G8,I8))</f>
        <v>44</v>
      </c>
      <c r="U8" s="84">
        <f>IF(D8="","****",SUM(D8,F8,H8,J8))</f>
        <v>18</v>
      </c>
      <c r="V8" s="84">
        <f>IF(K8="","****",SUM(K8,M8,O8,Q8))</f>
        <v>49</v>
      </c>
      <c r="W8" s="166">
        <f>IF(L8="","****",SUM(L8,N8,P8,R8))</f>
        <v>14</v>
      </c>
    </row>
    <row r="9" spans="1:23" ht="15.75" thickBot="1">
      <c r="A9" s="42">
        <v>2</v>
      </c>
      <c r="B9" s="100" t="str">
        <f>IF(NOTAS!B9&lt;&gt;"",NOTAS!B9,"")</f>
        <v/>
      </c>
      <c r="C9" s="52"/>
      <c r="D9" s="53"/>
      <c r="E9" s="54"/>
      <c r="F9" s="55"/>
      <c r="G9" s="64"/>
      <c r="H9" s="65"/>
      <c r="I9" s="66"/>
      <c r="J9" s="67"/>
      <c r="K9" s="68"/>
      <c r="L9" s="69"/>
      <c r="M9" s="70"/>
      <c r="N9" s="71"/>
      <c r="O9" s="66"/>
      <c r="P9" s="67"/>
      <c r="Q9" s="70"/>
      <c r="R9" s="71"/>
      <c r="S9" s="165"/>
      <c r="T9" s="84" t="str">
        <f t="shared" ref="T9:T37" si="0">IF(C9="","****",SUM(C9,E9,G9,I9))</f>
        <v>****</v>
      </c>
      <c r="U9" s="84" t="str">
        <f t="shared" ref="U9:U37" si="1">IF(D9="","****",SUM(D9,F9,H9,J9))</f>
        <v>****</v>
      </c>
      <c r="V9" s="84" t="str">
        <f t="shared" ref="V9:V37" si="2">IF(K9="","****",SUM(K9,M9,O9,Q9))</f>
        <v>****</v>
      </c>
      <c r="W9" s="166" t="str">
        <f t="shared" ref="W9:W37" si="3">IF(L9="","****",SUM(L9,N9,P9,R9))</f>
        <v>****</v>
      </c>
    </row>
    <row r="10" spans="1:23" ht="15.75" thickBot="1">
      <c r="A10" s="42">
        <v>3</v>
      </c>
      <c r="B10" s="100" t="str">
        <f>IF(NOTAS!B10&lt;&gt;"",NOTAS!B10,"")</f>
        <v/>
      </c>
      <c r="C10" s="52"/>
      <c r="D10" s="53"/>
      <c r="E10" s="54"/>
      <c r="F10" s="55"/>
      <c r="G10" s="64"/>
      <c r="H10" s="65"/>
      <c r="I10" s="66"/>
      <c r="J10" s="67"/>
      <c r="K10" s="68"/>
      <c r="L10" s="69"/>
      <c r="M10" s="70"/>
      <c r="N10" s="71"/>
      <c r="O10" s="66"/>
      <c r="P10" s="67"/>
      <c r="Q10" s="70"/>
      <c r="R10" s="71"/>
      <c r="S10" s="165"/>
      <c r="T10" s="84" t="str">
        <f t="shared" si="0"/>
        <v>****</v>
      </c>
      <c r="U10" s="84" t="str">
        <f t="shared" si="1"/>
        <v>****</v>
      </c>
      <c r="V10" s="84" t="str">
        <f t="shared" si="2"/>
        <v>****</v>
      </c>
      <c r="W10" s="166" t="str">
        <f t="shared" si="3"/>
        <v>****</v>
      </c>
    </row>
    <row r="11" spans="1:23" ht="15.75" thickBot="1">
      <c r="A11" s="42">
        <v>4</v>
      </c>
      <c r="B11" s="100" t="str">
        <f>IF(NOTAS!B11&lt;&gt;"",NOTAS!B11,"")</f>
        <v/>
      </c>
      <c r="C11" s="52"/>
      <c r="D11" s="53"/>
      <c r="E11" s="54"/>
      <c r="F11" s="55"/>
      <c r="G11" s="64"/>
      <c r="H11" s="65"/>
      <c r="I11" s="66"/>
      <c r="J11" s="67"/>
      <c r="K11" s="68"/>
      <c r="L11" s="69"/>
      <c r="M11" s="70"/>
      <c r="N11" s="71"/>
      <c r="O11" s="66"/>
      <c r="P11" s="67"/>
      <c r="Q11" s="70"/>
      <c r="R11" s="71"/>
      <c r="S11" s="165"/>
      <c r="T11" s="84" t="str">
        <f t="shared" si="0"/>
        <v>****</v>
      </c>
      <c r="U11" s="84" t="str">
        <f t="shared" si="1"/>
        <v>****</v>
      </c>
      <c r="V11" s="84" t="str">
        <f t="shared" si="2"/>
        <v>****</v>
      </c>
      <c r="W11" s="166" t="str">
        <f t="shared" si="3"/>
        <v>****</v>
      </c>
    </row>
    <row r="12" spans="1:23" ht="15.75" thickBot="1">
      <c r="A12" s="42">
        <v>5</v>
      </c>
      <c r="B12" s="100" t="str">
        <f>IF(NOTAS!B12&lt;&gt;"",NOTAS!B12,"")</f>
        <v/>
      </c>
      <c r="C12" s="52"/>
      <c r="D12" s="53"/>
      <c r="E12" s="54"/>
      <c r="F12" s="55"/>
      <c r="G12" s="64"/>
      <c r="H12" s="65"/>
      <c r="I12" s="66"/>
      <c r="J12" s="67"/>
      <c r="K12" s="68"/>
      <c r="L12" s="69"/>
      <c r="M12" s="70"/>
      <c r="N12" s="71"/>
      <c r="O12" s="66"/>
      <c r="P12" s="67"/>
      <c r="Q12" s="70"/>
      <c r="R12" s="71"/>
      <c r="S12" s="165"/>
      <c r="T12" s="84" t="str">
        <f t="shared" si="0"/>
        <v>****</v>
      </c>
      <c r="U12" s="84" t="str">
        <f t="shared" si="1"/>
        <v>****</v>
      </c>
      <c r="V12" s="84" t="str">
        <f t="shared" si="2"/>
        <v>****</v>
      </c>
      <c r="W12" s="166" t="str">
        <f t="shared" si="3"/>
        <v>****</v>
      </c>
    </row>
    <row r="13" spans="1:23" ht="15.75" thickBot="1">
      <c r="A13" s="42">
        <v>6</v>
      </c>
      <c r="B13" s="100" t="str">
        <f>IF(NOTAS!B13&lt;&gt;"",NOTAS!B13,"")</f>
        <v/>
      </c>
      <c r="C13" s="52"/>
      <c r="D13" s="53"/>
      <c r="E13" s="54"/>
      <c r="F13" s="55"/>
      <c r="G13" s="64"/>
      <c r="H13" s="65"/>
      <c r="I13" s="66"/>
      <c r="J13" s="67"/>
      <c r="K13" s="68"/>
      <c r="L13" s="69"/>
      <c r="M13" s="70"/>
      <c r="N13" s="71"/>
      <c r="O13" s="66"/>
      <c r="P13" s="67"/>
      <c r="Q13" s="70"/>
      <c r="R13" s="71"/>
      <c r="S13" s="165"/>
      <c r="T13" s="84" t="str">
        <f t="shared" si="0"/>
        <v>****</v>
      </c>
      <c r="U13" s="84" t="str">
        <f t="shared" si="1"/>
        <v>****</v>
      </c>
      <c r="V13" s="84" t="str">
        <f t="shared" si="2"/>
        <v>****</v>
      </c>
      <c r="W13" s="166" t="str">
        <f t="shared" si="3"/>
        <v>****</v>
      </c>
    </row>
    <row r="14" spans="1:23" ht="15.75" thickBot="1">
      <c r="A14" s="42">
        <v>7</v>
      </c>
      <c r="B14" s="100" t="str">
        <f>IF(NOTAS!B14&lt;&gt;"",NOTAS!B14,"")</f>
        <v/>
      </c>
      <c r="C14" s="52"/>
      <c r="D14" s="53"/>
      <c r="E14" s="54"/>
      <c r="F14" s="55"/>
      <c r="G14" s="64"/>
      <c r="H14" s="65"/>
      <c r="I14" s="66"/>
      <c r="J14" s="67"/>
      <c r="K14" s="68"/>
      <c r="L14" s="69"/>
      <c r="M14" s="70"/>
      <c r="N14" s="71"/>
      <c r="O14" s="66"/>
      <c r="P14" s="67"/>
      <c r="Q14" s="70"/>
      <c r="R14" s="71"/>
      <c r="S14" s="165"/>
      <c r="T14" s="84" t="str">
        <f t="shared" si="0"/>
        <v>****</v>
      </c>
      <c r="U14" s="84" t="str">
        <f t="shared" si="1"/>
        <v>****</v>
      </c>
      <c r="V14" s="84" t="str">
        <f t="shared" si="2"/>
        <v>****</v>
      </c>
      <c r="W14" s="166" t="str">
        <f t="shared" si="3"/>
        <v>****</v>
      </c>
    </row>
    <row r="15" spans="1:23" ht="15.75" thickBot="1">
      <c r="A15" s="42">
        <v>8</v>
      </c>
      <c r="B15" s="100" t="str">
        <f>IF(NOTAS!B15&lt;&gt;"",NOTAS!B15,"")</f>
        <v/>
      </c>
      <c r="C15" s="52"/>
      <c r="D15" s="53"/>
      <c r="E15" s="54"/>
      <c r="F15" s="55"/>
      <c r="G15" s="64"/>
      <c r="H15" s="65"/>
      <c r="I15" s="66"/>
      <c r="J15" s="67"/>
      <c r="K15" s="68"/>
      <c r="L15" s="69"/>
      <c r="M15" s="70"/>
      <c r="N15" s="71"/>
      <c r="O15" s="66"/>
      <c r="P15" s="67"/>
      <c r="Q15" s="70"/>
      <c r="R15" s="71"/>
      <c r="S15" s="165"/>
      <c r="T15" s="84" t="str">
        <f t="shared" si="0"/>
        <v>****</v>
      </c>
      <c r="U15" s="84" t="str">
        <f t="shared" si="1"/>
        <v>****</v>
      </c>
      <c r="V15" s="84" t="str">
        <f t="shared" si="2"/>
        <v>****</v>
      </c>
      <c r="W15" s="166" t="str">
        <f t="shared" si="3"/>
        <v>****</v>
      </c>
    </row>
    <row r="16" spans="1:23" ht="15.75" thickBot="1">
      <c r="A16" s="42">
        <v>9</v>
      </c>
      <c r="B16" s="100" t="str">
        <f>IF(NOTAS!B16&lt;&gt;"",NOTAS!B16,"")</f>
        <v/>
      </c>
      <c r="C16" s="52"/>
      <c r="D16" s="53"/>
      <c r="E16" s="54"/>
      <c r="F16" s="55"/>
      <c r="G16" s="64"/>
      <c r="H16" s="65"/>
      <c r="I16" s="66"/>
      <c r="J16" s="67"/>
      <c r="K16" s="68"/>
      <c r="L16" s="69"/>
      <c r="M16" s="70"/>
      <c r="N16" s="71"/>
      <c r="O16" s="66"/>
      <c r="P16" s="67"/>
      <c r="Q16" s="70"/>
      <c r="R16" s="71"/>
      <c r="S16" s="165"/>
      <c r="T16" s="84" t="str">
        <f t="shared" si="0"/>
        <v>****</v>
      </c>
      <c r="U16" s="84" t="str">
        <f t="shared" si="1"/>
        <v>****</v>
      </c>
      <c r="V16" s="84" t="str">
        <f t="shared" si="2"/>
        <v>****</v>
      </c>
      <c r="W16" s="166" t="str">
        <f t="shared" si="3"/>
        <v>****</v>
      </c>
    </row>
    <row r="17" spans="1:23" ht="15.75" thickBot="1">
      <c r="A17" s="42">
        <v>10</v>
      </c>
      <c r="B17" s="100" t="str">
        <f>IF(NOTAS!B17&lt;&gt;"",NOTAS!B17,"")</f>
        <v/>
      </c>
      <c r="C17" s="52"/>
      <c r="D17" s="53"/>
      <c r="E17" s="54"/>
      <c r="F17" s="55"/>
      <c r="G17" s="64"/>
      <c r="H17" s="65"/>
      <c r="I17" s="66"/>
      <c r="J17" s="67"/>
      <c r="K17" s="68"/>
      <c r="L17" s="69"/>
      <c r="M17" s="70"/>
      <c r="N17" s="71"/>
      <c r="O17" s="66"/>
      <c r="P17" s="67"/>
      <c r="Q17" s="70"/>
      <c r="R17" s="71"/>
      <c r="S17" s="165"/>
      <c r="T17" s="84" t="str">
        <f t="shared" si="0"/>
        <v>****</v>
      </c>
      <c r="U17" s="84" t="str">
        <f t="shared" si="1"/>
        <v>****</v>
      </c>
      <c r="V17" s="84" t="str">
        <f t="shared" si="2"/>
        <v>****</v>
      </c>
      <c r="W17" s="166" t="str">
        <f t="shared" si="3"/>
        <v>****</v>
      </c>
    </row>
    <row r="18" spans="1:23" ht="15.75" thickBot="1">
      <c r="A18" s="42">
        <v>11</v>
      </c>
      <c r="B18" s="100" t="str">
        <f>IF(NOTAS!B18&lt;&gt;"",NOTAS!B18,"")</f>
        <v/>
      </c>
      <c r="C18" s="52"/>
      <c r="D18" s="53"/>
      <c r="E18" s="54"/>
      <c r="F18" s="55"/>
      <c r="G18" s="64"/>
      <c r="H18" s="65"/>
      <c r="I18" s="66"/>
      <c r="J18" s="67"/>
      <c r="K18" s="68"/>
      <c r="L18" s="69"/>
      <c r="M18" s="70"/>
      <c r="N18" s="71"/>
      <c r="O18" s="66"/>
      <c r="P18" s="67"/>
      <c r="Q18" s="70"/>
      <c r="R18" s="71"/>
      <c r="S18" s="165"/>
      <c r="T18" s="84" t="str">
        <f t="shared" si="0"/>
        <v>****</v>
      </c>
      <c r="U18" s="84" t="str">
        <f t="shared" si="1"/>
        <v>****</v>
      </c>
      <c r="V18" s="84" t="str">
        <f t="shared" si="2"/>
        <v>****</v>
      </c>
      <c r="W18" s="166" t="str">
        <f t="shared" si="3"/>
        <v>****</v>
      </c>
    </row>
    <row r="19" spans="1:23" ht="15.75" thickBot="1">
      <c r="A19" s="42">
        <v>12</v>
      </c>
      <c r="B19" s="100" t="str">
        <f>IF(NOTAS!B19&lt;&gt;"",NOTAS!B19,"")</f>
        <v/>
      </c>
      <c r="C19" s="52"/>
      <c r="D19" s="53"/>
      <c r="E19" s="54"/>
      <c r="F19" s="55"/>
      <c r="G19" s="64"/>
      <c r="H19" s="65"/>
      <c r="I19" s="66"/>
      <c r="J19" s="67"/>
      <c r="K19" s="68"/>
      <c r="L19" s="69"/>
      <c r="M19" s="70"/>
      <c r="N19" s="71"/>
      <c r="O19" s="66"/>
      <c r="P19" s="67"/>
      <c r="Q19" s="70"/>
      <c r="R19" s="71"/>
      <c r="S19" s="165"/>
      <c r="T19" s="84" t="str">
        <f t="shared" si="0"/>
        <v>****</v>
      </c>
      <c r="U19" s="84" t="str">
        <f t="shared" si="1"/>
        <v>****</v>
      </c>
      <c r="V19" s="84" t="str">
        <f t="shared" si="2"/>
        <v>****</v>
      </c>
      <c r="W19" s="166" t="str">
        <f t="shared" si="3"/>
        <v>****</v>
      </c>
    </row>
    <row r="20" spans="1:23" ht="15.75" thickBot="1">
      <c r="A20" s="42">
        <v>13</v>
      </c>
      <c r="B20" s="100" t="str">
        <f>IF(NOTAS!B20&lt;&gt;"",NOTAS!B20,"")</f>
        <v/>
      </c>
      <c r="C20" s="52"/>
      <c r="D20" s="53"/>
      <c r="E20" s="54"/>
      <c r="F20" s="55"/>
      <c r="G20" s="64"/>
      <c r="H20" s="65"/>
      <c r="I20" s="66"/>
      <c r="J20" s="67"/>
      <c r="K20" s="68"/>
      <c r="L20" s="69"/>
      <c r="M20" s="70"/>
      <c r="N20" s="71"/>
      <c r="O20" s="66"/>
      <c r="P20" s="67"/>
      <c r="Q20" s="70"/>
      <c r="R20" s="71"/>
      <c r="S20" s="165"/>
      <c r="T20" s="84" t="str">
        <f t="shared" si="0"/>
        <v>****</v>
      </c>
      <c r="U20" s="84" t="str">
        <f t="shared" si="1"/>
        <v>****</v>
      </c>
      <c r="V20" s="84" t="str">
        <f t="shared" si="2"/>
        <v>****</v>
      </c>
      <c r="W20" s="166" t="str">
        <f t="shared" si="3"/>
        <v>****</v>
      </c>
    </row>
    <row r="21" spans="1:23" ht="15.75" thickBot="1">
      <c r="A21" s="42">
        <v>14</v>
      </c>
      <c r="B21" s="100" t="str">
        <f>IF(NOTAS!B21&lt;&gt;"",NOTAS!B21,"")</f>
        <v/>
      </c>
      <c r="C21" s="52"/>
      <c r="D21" s="53"/>
      <c r="E21" s="54"/>
      <c r="F21" s="55"/>
      <c r="G21" s="64"/>
      <c r="H21" s="65"/>
      <c r="I21" s="66"/>
      <c r="J21" s="67"/>
      <c r="K21" s="68"/>
      <c r="L21" s="69"/>
      <c r="M21" s="70"/>
      <c r="N21" s="71"/>
      <c r="O21" s="66"/>
      <c r="P21" s="67"/>
      <c r="Q21" s="70"/>
      <c r="R21" s="71"/>
      <c r="S21" s="165"/>
      <c r="T21" s="84" t="str">
        <f t="shared" si="0"/>
        <v>****</v>
      </c>
      <c r="U21" s="84" t="str">
        <f t="shared" si="1"/>
        <v>****</v>
      </c>
      <c r="V21" s="84" t="str">
        <f t="shared" si="2"/>
        <v>****</v>
      </c>
      <c r="W21" s="166" t="str">
        <f t="shared" si="3"/>
        <v>****</v>
      </c>
    </row>
    <row r="22" spans="1:23" ht="15.75" thickBot="1">
      <c r="A22" s="42">
        <v>15</v>
      </c>
      <c r="B22" s="100" t="str">
        <f>IF(NOTAS!B22&lt;&gt;"",NOTAS!B22,"")</f>
        <v/>
      </c>
      <c r="C22" s="52"/>
      <c r="D22" s="53"/>
      <c r="E22" s="54"/>
      <c r="F22" s="55"/>
      <c r="G22" s="64"/>
      <c r="H22" s="65"/>
      <c r="I22" s="66"/>
      <c r="J22" s="67"/>
      <c r="K22" s="68"/>
      <c r="L22" s="69"/>
      <c r="M22" s="70"/>
      <c r="N22" s="71"/>
      <c r="O22" s="66"/>
      <c r="P22" s="67"/>
      <c r="Q22" s="70"/>
      <c r="R22" s="71"/>
      <c r="S22" s="165"/>
      <c r="T22" s="84" t="str">
        <f t="shared" si="0"/>
        <v>****</v>
      </c>
      <c r="U22" s="84" t="str">
        <f t="shared" si="1"/>
        <v>****</v>
      </c>
      <c r="V22" s="84" t="str">
        <f t="shared" si="2"/>
        <v>****</v>
      </c>
      <c r="W22" s="166" t="str">
        <f t="shared" si="3"/>
        <v>****</v>
      </c>
    </row>
    <row r="23" spans="1:23" ht="15.75" thickBot="1">
      <c r="A23" s="42">
        <v>16</v>
      </c>
      <c r="B23" s="100" t="str">
        <f>IF(NOTAS!B23&lt;&gt;"",NOTAS!B23,"")</f>
        <v/>
      </c>
      <c r="C23" s="52"/>
      <c r="D23" s="53"/>
      <c r="E23" s="54"/>
      <c r="F23" s="55"/>
      <c r="G23" s="64"/>
      <c r="H23" s="65"/>
      <c r="I23" s="66"/>
      <c r="J23" s="67"/>
      <c r="K23" s="68"/>
      <c r="L23" s="69"/>
      <c r="M23" s="70"/>
      <c r="N23" s="71"/>
      <c r="O23" s="66"/>
      <c r="P23" s="67"/>
      <c r="Q23" s="70"/>
      <c r="R23" s="71"/>
      <c r="S23" s="165"/>
      <c r="T23" s="84" t="str">
        <f t="shared" si="0"/>
        <v>****</v>
      </c>
      <c r="U23" s="84" t="str">
        <f t="shared" si="1"/>
        <v>****</v>
      </c>
      <c r="V23" s="84" t="str">
        <f t="shared" si="2"/>
        <v>****</v>
      </c>
      <c r="W23" s="166" t="str">
        <f t="shared" si="3"/>
        <v>****</v>
      </c>
    </row>
    <row r="24" spans="1:23" ht="15.75" thickBot="1">
      <c r="A24" s="42">
        <v>17</v>
      </c>
      <c r="B24" s="100" t="str">
        <f>IF(NOTAS!B24&lt;&gt;"",NOTAS!B24,"")</f>
        <v/>
      </c>
      <c r="C24" s="52"/>
      <c r="D24" s="53"/>
      <c r="E24" s="54"/>
      <c r="F24" s="55"/>
      <c r="G24" s="64"/>
      <c r="H24" s="65"/>
      <c r="I24" s="66"/>
      <c r="J24" s="67"/>
      <c r="K24" s="68"/>
      <c r="L24" s="69"/>
      <c r="M24" s="70"/>
      <c r="N24" s="71"/>
      <c r="O24" s="66"/>
      <c r="P24" s="67"/>
      <c r="Q24" s="70"/>
      <c r="R24" s="71"/>
      <c r="S24" s="165"/>
      <c r="T24" s="84" t="str">
        <f t="shared" si="0"/>
        <v>****</v>
      </c>
      <c r="U24" s="84" t="str">
        <f t="shared" si="1"/>
        <v>****</v>
      </c>
      <c r="V24" s="84" t="str">
        <f t="shared" si="2"/>
        <v>****</v>
      </c>
      <c r="W24" s="166" t="str">
        <f t="shared" si="3"/>
        <v>****</v>
      </c>
    </row>
    <row r="25" spans="1:23" ht="15.75" thickBot="1">
      <c r="A25" s="42">
        <v>18</v>
      </c>
      <c r="B25" s="100" t="str">
        <f>IF(NOTAS!B25&lt;&gt;"",NOTAS!B25,"")</f>
        <v/>
      </c>
      <c r="C25" s="52"/>
      <c r="D25" s="53"/>
      <c r="E25" s="54"/>
      <c r="F25" s="55"/>
      <c r="G25" s="64"/>
      <c r="H25" s="65"/>
      <c r="I25" s="66"/>
      <c r="J25" s="67"/>
      <c r="K25" s="68"/>
      <c r="L25" s="69"/>
      <c r="M25" s="70"/>
      <c r="N25" s="71"/>
      <c r="O25" s="66"/>
      <c r="P25" s="67"/>
      <c r="Q25" s="70"/>
      <c r="R25" s="71"/>
      <c r="S25" s="165"/>
      <c r="T25" s="84" t="str">
        <f t="shared" si="0"/>
        <v>****</v>
      </c>
      <c r="U25" s="84" t="str">
        <f t="shared" si="1"/>
        <v>****</v>
      </c>
      <c r="V25" s="84" t="str">
        <f t="shared" si="2"/>
        <v>****</v>
      </c>
      <c r="W25" s="166" t="str">
        <f t="shared" si="3"/>
        <v>****</v>
      </c>
    </row>
    <row r="26" spans="1:23" ht="15.75" thickBot="1">
      <c r="A26" s="42">
        <v>19</v>
      </c>
      <c r="B26" s="100" t="str">
        <f>IF(NOTAS!B26&lt;&gt;"",NOTAS!B26,"")</f>
        <v/>
      </c>
      <c r="C26" s="52"/>
      <c r="D26" s="53"/>
      <c r="E26" s="54"/>
      <c r="F26" s="55"/>
      <c r="G26" s="64"/>
      <c r="H26" s="65"/>
      <c r="I26" s="66"/>
      <c r="J26" s="67"/>
      <c r="K26" s="68"/>
      <c r="L26" s="69"/>
      <c r="M26" s="70"/>
      <c r="N26" s="71"/>
      <c r="O26" s="66"/>
      <c r="P26" s="67"/>
      <c r="Q26" s="70"/>
      <c r="R26" s="71"/>
      <c r="S26" s="165"/>
      <c r="T26" s="84" t="str">
        <f t="shared" si="0"/>
        <v>****</v>
      </c>
      <c r="U26" s="84" t="str">
        <f t="shared" si="1"/>
        <v>****</v>
      </c>
      <c r="V26" s="84" t="str">
        <f t="shared" si="2"/>
        <v>****</v>
      </c>
      <c r="W26" s="166" t="str">
        <f t="shared" si="3"/>
        <v>****</v>
      </c>
    </row>
    <row r="27" spans="1:23" ht="15.75" thickBot="1">
      <c r="A27" s="42">
        <v>20</v>
      </c>
      <c r="B27" s="100" t="str">
        <f>IF(NOTAS!B27&lt;&gt;"",NOTAS!B27,"")</f>
        <v/>
      </c>
      <c r="C27" s="52"/>
      <c r="D27" s="53"/>
      <c r="E27" s="54"/>
      <c r="F27" s="55"/>
      <c r="G27" s="64"/>
      <c r="H27" s="65"/>
      <c r="I27" s="66"/>
      <c r="J27" s="67"/>
      <c r="K27" s="68"/>
      <c r="L27" s="69"/>
      <c r="M27" s="70"/>
      <c r="N27" s="71"/>
      <c r="O27" s="66"/>
      <c r="P27" s="67"/>
      <c r="Q27" s="70"/>
      <c r="R27" s="71"/>
      <c r="S27" s="165"/>
      <c r="T27" s="84" t="str">
        <f t="shared" si="0"/>
        <v>****</v>
      </c>
      <c r="U27" s="84" t="str">
        <f t="shared" si="1"/>
        <v>****</v>
      </c>
      <c r="V27" s="84" t="str">
        <f t="shared" si="2"/>
        <v>****</v>
      </c>
      <c r="W27" s="166" t="str">
        <f t="shared" si="3"/>
        <v>****</v>
      </c>
    </row>
    <row r="28" spans="1:23" ht="15.75" thickBot="1">
      <c r="A28" s="42">
        <v>21</v>
      </c>
      <c r="B28" s="100" t="str">
        <f>IF(NOTAS!B28&lt;&gt;"",NOTAS!B28,"")</f>
        <v/>
      </c>
      <c r="C28" s="52"/>
      <c r="D28" s="53"/>
      <c r="E28" s="54"/>
      <c r="F28" s="55"/>
      <c r="G28" s="64"/>
      <c r="H28" s="65"/>
      <c r="I28" s="66"/>
      <c r="J28" s="67"/>
      <c r="K28" s="68"/>
      <c r="L28" s="69"/>
      <c r="M28" s="70"/>
      <c r="N28" s="71"/>
      <c r="O28" s="66"/>
      <c r="P28" s="67"/>
      <c r="Q28" s="70"/>
      <c r="R28" s="71"/>
      <c r="S28" s="165"/>
      <c r="T28" s="84" t="str">
        <f t="shared" si="0"/>
        <v>****</v>
      </c>
      <c r="U28" s="84" t="str">
        <f t="shared" si="1"/>
        <v>****</v>
      </c>
      <c r="V28" s="84" t="str">
        <f t="shared" si="2"/>
        <v>****</v>
      </c>
      <c r="W28" s="166" t="str">
        <f t="shared" si="3"/>
        <v>****</v>
      </c>
    </row>
    <row r="29" spans="1:23" ht="15.75" thickBot="1">
      <c r="A29" s="42">
        <v>22</v>
      </c>
      <c r="B29" s="100" t="str">
        <f>IF(NOTAS!B29&lt;&gt;"",NOTAS!B29,"")</f>
        <v/>
      </c>
      <c r="C29" s="52"/>
      <c r="D29" s="53"/>
      <c r="E29" s="54"/>
      <c r="F29" s="55"/>
      <c r="G29" s="64"/>
      <c r="H29" s="65"/>
      <c r="I29" s="66"/>
      <c r="J29" s="67"/>
      <c r="K29" s="68"/>
      <c r="L29" s="69"/>
      <c r="M29" s="70"/>
      <c r="N29" s="71"/>
      <c r="O29" s="66"/>
      <c r="P29" s="67"/>
      <c r="Q29" s="70"/>
      <c r="R29" s="71"/>
      <c r="S29" s="165"/>
      <c r="T29" s="84" t="str">
        <f t="shared" si="0"/>
        <v>****</v>
      </c>
      <c r="U29" s="84" t="str">
        <f t="shared" si="1"/>
        <v>****</v>
      </c>
      <c r="V29" s="84" t="str">
        <f t="shared" si="2"/>
        <v>****</v>
      </c>
      <c r="W29" s="166" t="str">
        <f t="shared" si="3"/>
        <v>****</v>
      </c>
    </row>
    <row r="30" spans="1:23" ht="15.75" thickBot="1">
      <c r="A30" s="42">
        <v>23</v>
      </c>
      <c r="B30" s="100" t="str">
        <f>IF(NOTAS!B30&lt;&gt;"",NOTAS!B30,"")</f>
        <v/>
      </c>
      <c r="C30" s="52"/>
      <c r="D30" s="53"/>
      <c r="E30" s="54"/>
      <c r="F30" s="55"/>
      <c r="G30" s="64"/>
      <c r="H30" s="65"/>
      <c r="I30" s="66"/>
      <c r="J30" s="67"/>
      <c r="K30" s="68"/>
      <c r="L30" s="69"/>
      <c r="M30" s="70"/>
      <c r="N30" s="71"/>
      <c r="O30" s="66"/>
      <c r="P30" s="67"/>
      <c r="Q30" s="70"/>
      <c r="R30" s="71"/>
      <c r="S30" s="165"/>
      <c r="T30" s="84" t="str">
        <f t="shared" si="0"/>
        <v>****</v>
      </c>
      <c r="U30" s="84" t="str">
        <f t="shared" si="1"/>
        <v>****</v>
      </c>
      <c r="V30" s="84" t="str">
        <f t="shared" si="2"/>
        <v>****</v>
      </c>
      <c r="W30" s="166" t="str">
        <f t="shared" si="3"/>
        <v>****</v>
      </c>
    </row>
    <row r="31" spans="1:23" ht="15.75" thickBot="1">
      <c r="A31" s="42">
        <v>24</v>
      </c>
      <c r="B31" s="100" t="str">
        <f>IF(NOTAS!B31&lt;&gt;"",NOTAS!B31,"")</f>
        <v/>
      </c>
      <c r="C31" s="52"/>
      <c r="D31" s="53"/>
      <c r="E31" s="54"/>
      <c r="F31" s="55"/>
      <c r="G31" s="64"/>
      <c r="H31" s="65"/>
      <c r="I31" s="66"/>
      <c r="J31" s="67"/>
      <c r="K31" s="68"/>
      <c r="L31" s="69"/>
      <c r="M31" s="70"/>
      <c r="N31" s="71"/>
      <c r="O31" s="66"/>
      <c r="P31" s="67"/>
      <c r="Q31" s="70"/>
      <c r="R31" s="71"/>
      <c r="S31" s="165"/>
      <c r="T31" s="84" t="str">
        <f t="shared" si="0"/>
        <v>****</v>
      </c>
      <c r="U31" s="84" t="str">
        <f t="shared" si="1"/>
        <v>****</v>
      </c>
      <c r="V31" s="84" t="str">
        <f t="shared" si="2"/>
        <v>****</v>
      </c>
      <c r="W31" s="166" t="str">
        <f t="shared" si="3"/>
        <v>****</v>
      </c>
    </row>
    <row r="32" spans="1:23" ht="15.75" thickBot="1">
      <c r="A32" s="42">
        <v>25</v>
      </c>
      <c r="B32" s="100" t="str">
        <f>IF(NOTAS!B32&lt;&gt;"",NOTAS!B32,"")</f>
        <v/>
      </c>
      <c r="C32" s="52"/>
      <c r="D32" s="53"/>
      <c r="E32" s="54"/>
      <c r="F32" s="55"/>
      <c r="G32" s="64"/>
      <c r="H32" s="65"/>
      <c r="I32" s="66"/>
      <c r="J32" s="67"/>
      <c r="K32" s="68"/>
      <c r="L32" s="69"/>
      <c r="M32" s="70"/>
      <c r="N32" s="71"/>
      <c r="O32" s="66"/>
      <c r="P32" s="67"/>
      <c r="Q32" s="70"/>
      <c r="R32" s="71"/>
      <c r="S32" s="165"/>
      <c r="T32" s="84" t="str">
        <f t="shared" si="0"/>
        <v>****</v>
      </c>
      <c r="U32" s="84" t="str">
        <f t="shared" si="1"/>
        <v>****</v>
      </c>
      <c r="V32" s="84" t="str">
        <f t="shared" si="2"/>
        <v>****</v>
      </c>
      <c r="W32" s="166" t="str">
        <f t="shared" si="3"/>
        <v>****</v>
      </c>
    </row>
    <row r="33" spans="1:23" ht="15.75" thickBot="1">
      <c r="A33" s="42">
        <v>26</v>
      </c>
      <c r="B33" s="100" t="str">
        <f>IF(NOTAS!B33&lt;&gt;"",NOTAS!B33,"")</f>
        <v/>
      </c>
      <c r="C33" s="52"/>
      <c r="D33" s="53"/>
      <c r="E33" s="54"/>
      <c r="F33" s="55"/>
      <c r="G33" s="64"/>
      <c r="H33" s="65"/>
      <c r="I33" s="66"/>
      <c r="J33" s="67"/>
      <c r="K33" s="68"/>
      <c r="L33" s="69"/>
      <c r="M33" s="70"/>
      <c r="N33" s="71"/>
      <c r="O33" s="66"/>
      <c r="P33" s="67"/>
      <c r="Q33" s="70"/>
      <c r="R33" s="71"/>
      <c r="S33" s="165"/>
      <c r="T33" s="84" t="str">
        <f t="shared" si="0"/>
        <v>****</v>
      </c>
      <c r="U33" s="84" t="str">
        <f t="shared" si="1"/>
        <v>****</v>
      </c>
      <c r="V33" s="84" t="str">
        <f t="shared" si="2"/>
        <v>****</v>
      </c>
      <c r="W33" s="166" t="str">
        <f t="shared" si="3"/>
        <v>****</v>
      </c>
    </row>
    <row r="34" spans="1:23" ht="15.75" thickBot="1">
      <c r="A34" s="42">
        <v>27</v>
      </c>
      <c r="B34" s="100" t="str">
        <f>IF(NOTAS!B34&lt;&gt;"",NOTAS!B34,"")</f>
        <v/>
      </c>
      <c r="C34" s="52"/>
      <c r="D34" s="53"/>
      <c r="E34" s="54"/>
      <c r="F34" s="55"/>
      <c r="G34" s="64"/>
      <c r="H34" s="65"/>
      <c r="I34" s="66"/>
      <c r="J34" s="67"/>
      <c r="K34" s="68"/>
      <c r="L34" s="69"/>
      <c r="M34" s="70"/>
      <c r="N34" s="71"/>
      <c r="O34" s="66"/>
      <c r="P34" s="67"/>
      <c r="Q34" s="70"/>
      <c r="R34" s="71"/>
      <c r="S34" s="165"/>
      <c r="T34" s="84" t="str">
        <f t="shared" si="0"/>
        <v>****</v>
      </c>
      <c r="U34" s="84" t="str">
        <f t="shared" si="1"/>
        <v>****</v>
      </c>
      <c r="V34" s="84" t="str">
        <f t="shared" si="2"/>
        <v>****</v>
      </c>
      <c r="W34" s="166" t="str">
        <f t="shared" si="3"/>
        <v>****</v>
      </c>
    </row>
    <row r="35" spans="1:23" ht="15.75" thickBot="1">
      <c r="A35" s="42">
        <v>28</v>
      </c>
      <c r="B35" s="100" t="str">
        <f>IF(NOTAS!B35&lt;&gt;"",NOTAS!B35,"")</f>
        <v/>
      </c>
      <c r="C35" s="52"/>
      <c r="D35" s="53"/>
      <c r="E35" s="54"/>
      <c r="F35" s="55"/>
      <c r="G35" s="64"/>
      <c r="H35" s="65"/>
      <c r="I35" s="66"/>
      <c r="J35" s="67"/>
      <c r="K35" s="68"/>
      <c r="L35" s="69"/>
      <c r="M35" s="70"/>
      <c r="N35" s="71"/>
      <c r="O35" s="66"/>
      <c r="P35" s="67"/>
      <c r="Q35" s="70"/>
      <c r="R35" s="71"/>
      <c r="S35" s="165"/>
      <c r="T35" s="84" t="str">
        <f t="shared" si="0"/>
        <v>****</v>
      </c>
      <c r="U35" s="84" t="str">
        <f t="shared" si="1"/>
        <v>****</v>
      </c>
      <c r="V35" s="84" t="str">
        <f t="shared" si="2"/>
        <v>****</v>
      </c>
      <c r="W35" s="166" t="str">
        <f t="shared" si="3"/>
        <v>****</v>
      </c>
    </row>
    <row r="36" spans="1:23" ht="15.75" thickBot="1">
      <c r="A36" s="42">
        <v>29</v>
      </c>
      <c r="B36" s="100" t="str">
        <f>IF(NOTAS!B36&lt;&gt;"",NOTAS!B36,"")</f>
        <v/>
      </c>
      <c r="C36" s="52"/>
      <c r="D36" s="53"/>
      <c r="E36" s="54"/>
      <c r="F36" s="55"/>
      <c r="G36" s="64"/>
      <c r="H36" s="65"/>
      <c r="I36" s="66"/>
      <c r="J36" s="67"/>
      <c r="K36" s="68"/>
      <c r="L36" s="69"/>
      <c r="M36" s="70"/>
      <c r="N36" s="71"/>
      <c r="O36" s="66"/>
      <c r="P36" s="67"/>
      <c r="Q36" s="70"/>
      <c r="R36" s="71"/>
      <c r="S36" s="165"/>
      <c r="T36" s="84" t="str">
        <f t="shared" si="0"/>
        <v>****</v>
      </c>
      <c r="U36" s="84" t="str">
        <f t="shared" si="1"/>
        <v>****</v>
      </c>
      <c r="V36" s="84" t="str">
        <f t="shared" si="2"/>
        <v>****</v>
      </c>
      <c r="W36" s="166" t="str">
        <f t="shared" si="3"/>
        <v>****</v>
      </c>
    </row>
    <row r="37" spans="1:23" ht="15.75" thickBot="1">
      <c r="A37" s="43">
        <v>30</v>
      </c>
      <c r="B37" s="100" t="str">
        <f>IF(NOTAS!B37&lt;&gt;"",NOTAS!B37,"")</f>
        <v/>
      </c>
      <c r="C37" s="72"/>
      <c r="D37" s="73"/>
      <c r="E37" s="74"/>
      <c r="F37" s="75"/>
      <c r="G37" s="76"/>
      <c r="H37" s="77"/>
      <c r="I37" s="78"/>
      <c r="J37" s="79"/>
      <c r="K37" s="80"/>
      <c r="L37" s="81"/>
      <c r="M37" s="82"/>
      <c r="N37" s="83"/>
      <c r="O37" s="78"/>
      <c r="P37" s="79"/>
      <c r="Q37" s="82"/>
      <c r="R37" s="83"/>
      <c r="S37" s="165"/>
      <c r="T37" s="167" t="str">
        <f t="shared" si="0"/>
        <v>****</v>
      </c>
      <c r="U37" s="167" t="str">
        <f t="shared" si="1"/>
        <v>****</v>
      </c>
      <c r="V37" s="167" t="str">
        <f t="shared" si="2"/>
        <v>****</v>
      </c>
      <c r="W37" s="168" t="str">
        <f t="shared" si="3"/>
        <v>****</v>
      </c>
    </row>
    <row r="38" spans="1:23">
      <c r="C38" t="s">
        <v>68</v>
      </c>
      <c r="D38" t="s">
        <v>68</v>
      </c>
      <c r="E38" t="s">
        <v>68</v>
      </c>
      <c r="F38" t="s">
        <v>68</v>
      </c>
      <c r="G38" t="s">
        <v>68</v>
      </c>
      <c r="H38" t="s">
        <v>68</v>
      </c>
      <c r="I38" t="s">
        <v>68</v>
      </c>
      <c r="J38" t="s">
        <v>68</v>
      </c>
      <c r="K38" t="s">
        <v>68</v>
      </c>
      <c r="L38" t="s">
        <v>68</v>
      </c>
      <c r="M38" t="s">
        <v>68</v>
      </c>
      <c r="N38" t="s">
        <v>68</v>
      </c>
      <c r="O38" t="s">
        <v>68</v>
      </c>
      <c r="P38" t="s">
        <v>68</v>
      </c>
      <c r="Q38" t="s">
        <v>68</v>
      </c>
      <c r="R38" t="s">
        <v>68</v>
      </c>
    </row>
  </sheetData>
  <sheetProtection algorithmName="SHA-512" hashValue="7jOtBdFIS6smDZ29cbmxrQTZXuyXdgcarxTGZG7FGjB9xIIcMZ86NsvK2SkikTJfyHyIhj+jMu8KsdqQpXLiXQ==" saltValue="2OJ4HoqYGLUSTiSM+PQzZA==" spinCount="100000" sheet="1" objects="1" scenarios="1" selectLockedCells="1"/>
  <mergeCells count="18">
    <mergeCell ref="C5:R5"/>
    <mergeCell ref="T5:U5"/>
    <mergeCell ref="V5:W5"/>
    <mergeCell ref="C1:R1"/>
    <mergeCell ref="C2:R2"/>
    <mergeCell ref="C3:R3"/>
    <mergeCell ref="T3:W4"/>
    <mergeCell ref="C4:R4"/>
    <mergeCell ref="O6:P6"/>
    <mergeCell ref="Q6:R6"/>
    <mergeCell ref="T6:U6"/>
    <mergeCell ref="V6:W6"/>
    <mergeCell ref="C6:D6"/>
    <mergeCell ref="E6:F6"/>
    <mergeCell ref="G6:H6"/>
    <mergeCell ref="I6:J6"/>
    <mergeCell ref="K6:L6"/>
    <mergeCell ref="M6:N6"/>
  </mergeCells>
  <conditionalFormatting sqref="A8:A37 A7:R7 C8:R37">
    <cfRule type="expression" dxfId="5" priority="6">
      <formula>COLUMN()=CELL("COL")</formula>
    </cfRule>
  </conditionalFormatting>
  <conditionalFormatting sqref="A8:A37 C8:R37">
    <cfRule type="expression" dxfId="4" priority="5">
      <formula>ROW()=CELL("LIN")</formula>
    </cfRule>
  </conditionalFormatting>
  <conditionalFormatting sqref="T8:W37">
    <cfRule type="expression" dxfId="3" priority="4">
      <formula>ROW()=CELL("LIN")</formula>
    </cfRule>
  </conditionalFormatting>
  <conditionalFormatting sqref="T7:W37">
    <cfRule type="expression" dxfId="2" priority="3">
      <formula>COLUMN()=CELL("COL")</formula>
    </cfRule>
  </conditionalFormatting>
  <conditionalFormatting sqref="B8:B37">
    <cfRule type="expression" dxfId="1" priority="2">
      <formula>ROW()=CELL("LIN")</formula>
    </cfRule>
  </conditionalFormatting>
  <conditionalFormatting sqref="B8:B37">
    <cfRule type="expression" dxfId="0" priority="1">
      <formula>COLUMN()=CELL("COL")</formula>
    </cfRule>
  </conditionalFormatting>
  <pageMargins left="0.511811024" right="0.511811024" top="0.78740157499999996" bottom="0.78740157499999996" header="0.31496062000000002" footer="0.31496062000000002"/>
  <pageSetup paperSize="9" scale="87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R39"/>
  <sheetViews>
    <sheetView showGridLines="0" showRowColHeaders="0" view="pageBreakPreview" zoomScaleNormal="100" zoomScaleSheetLayoutView="100" zoomScalePageLayoutView="90" workbookViewId="0">
      <selection activeCell="P38" sqref="P38"/>
    </sheetView>
  </sheetViews>
  <sheetFormatPr defaultColWidth="0" defaultRowHeight="15"/>
  <cols>
    <col min="1" max="1" width="4.140625" bestFit="1" customWidth="1"/>
    <col min="2" max="2" width="48.7109375" customWidth="1"/>
    <col min="3" max="3" width="4.5703125" customWidth="1"/>
    <col min="4" max="4" width="4.140625" customWidth="1"/>
    <col min="5" max="6" width="5" customWidth="1"/>
    <col min="7" max="12" width="6.28515625" customWidth="1"/>
    <col min="13" max="13" width="9" customWidth="1"/>
    <col min="14" max="14" width="10.7109375" customWidth="1"/>
    <col min="15" max="15" width="6" customWidth="1"/>
    <col min="16" max="16" width="48.28515625" customWidth="1"/>
    <col min="17" max="17" width="0.28515625" hidden="1" customWidth="1"/>
    <col min="18" max="18" width="0.140625" hidden="1" customWidth="1"/>
    <col min="21" max="21" width="0.28515625" customWidth="1"/>
  </cols>
  <sheetData>
    <row r="1" spans="1:16" ht="31.5" customHeight="1" thickBot="1">
      <c r="A1" s="319" t="str">
        <f ca="1">CONCATENATE("ENSINO FUNDAMENTAL DE NOVE ANOS - MAPA DE RENDIMENTO ESCOLAR DO ANO LETIVO DE ",P3)</f>
        <v>ENSINO FUNDAMENTAL DE NOVE ANOS - MAPA DE RENDIMENTO ESCOLAR DO ANO LETIVO DE 2022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</row>
    <row r="2" spans="1:16" ht="15.75" customHeight="1" thickBot="1">
      <c r="A2" s="306" t="s">
        <v>22</v>
      </c>
      <c r="B2" s="307"/>
      <c r="C2" s="307"/>
      <c r="D2" s="307"/>
      <c r="E2" s="307"/>
      <c r="F2" s="307"/>
      <c r="G2" s="307"/>
      <c r="H2" s="307"/>
      <c r="I2" s="307"/>
      <c r="J2" s="307"/>
      <c r="K2" s="308"/>
      <c r="L2" s="313" t="s">
        <v>25</v>
      </c>
      <c r="M2" s="314"/>
      <c r="N2" s="306" t="str">
        <f ca="1">MENU!AG6</f>
        <v>LÍNGUA PORTUGUESA</v>
      </c>
      <c r="O2" s="307"/>
      <c r="P2" s="308"/>
    </row>
    <row r="3" spans="1:16" ht="15" customHeight="1">
      <c r="A3" s="335" t="s">
        <v>1</v>
      </c>
      <c r="B3" s="336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7"/>
      <c r="N3" s="320" t="s">
        <v>23</v>
      </c>
      <c r="O3" s="321"/>
      <c r="P3" s="324">
        <f ca="1">MENU!BA6</f>
        <v>2022</v>
      </c>
    </row>
    <row r="4" spans="1:16" ht="15.75" thickBot="1">
      <c r="A4" s="338"/>
      <c r="B4" s="339"/>
      <c r="C4" s="339"/>
      <c r="D4" s="339"/>
      <c r="E4" s="339"/>
      <c r="F4" s="339"/>
      <c r="G4" s="339"/>
      <c r="H4" s="339"/>
      <c r="I4" s="339"/>
      <c r="J4" s="339"/>
      <c r="K4" s="339"/>
      <c r="L4" s="339"/>
      <c r="M4" s="340"/>
      <c r="N4" s="322"/>
      <c r="O4" s="323"/>
      <c r="P4" s="325"/>
    </row>
    <row r="5" spans="1:16" ht="15.75" customHeight="1" thickBot="1">
      <c r="A5" s="306" t="s">
        <v>27</v>
      </c>
      <c r="B5" s="307"/>
      <c r="C5" s="307"/>
      <c r="D5" s="307"/>
      <c r="E5" s="307"/>
      <c r="F5" s="308"/>
      <c r="G5" s="313" t="s">
        <v>3</v>
      </c>
      <c r="H5" s="318"/>
      <c r="I5" s="307" t="str">
        <f ca="1">MENU!BA2</f>
        <v>1 ANO - A ao 5 Ano Fundamental</v>
      </c>
      <c r="J5" s="307"/>
      <c r="K5" s="307"/>
      <c r="L5" s="307"/>
      <c r="M5" s="308"/>
      <c r="N5" s="17" t="s">
        <v>4</v>
      </c>
      <c r="O5" s="307" t="str">
        <f ca="1">MENU!BA3</f>
        <v>Intermediario</v>
      </c>
      <c r="P5" s="308"/>
    </row>
    <row r="6" spans="1:16" ht="18.75" customHeight="1" thickBot="1">
      <c r="A6" s="341" t="s">
        <v>5</v>
      </c>
      <c r="B6" s="341" t="s">
        <v>6</v>
      </c>
      <c r="C6" s="343" t="s">
        <v>7</v>
      </c>
      <c r="D6" s="344"/>
      <c r="E6" s="344"/>
      <c r="F6" s="345"/>
      <c r="G6" s="328" t="s">
        <v>8</v>
      </c>
      <c r="H6" s="329"/>
      <c r="I6" s="329"/>
      <c r="J6" s="330"/>
      <c r="K6" s="330"/>
      <c r="L6" s="331"/>
      <c r="M6" s="312" t="s">
        <v>9</v>
      </c>
      <c r="N6" s="311" t="s">
        <v>10</v>
      </c>
      <c r="O6" s="311" t="s">
        <v>24</v>
      </c>
      <c r="P6" s="332" t="s">
        <v>11</v>
      </c>
    </row>
    <row r="7" spans="1:16" ht="32.25" customHeight="1">
      <c r="A7" s="342"/>
      <c r="B7" s="342"/>
      <c r="C7" s="328"/>
      <c r="D7" s="329"/>
      <c r="E7" s="329"/>
      <c r="F7" s="329"/>
      <c r="G7" s="288" t="s">
        <v>12</v>
      </c>
      <c r="H7" s="315"/>
      <c r="I7" s="289"/>
      <c r="J7" s="290" t="s">
        <v>14</v>
      </c>
      <c r="K7" s="290"/>
      <c r="L7" s="255"/>
      <c r="M7" s="312"/>
      <c r="N7" s="312"/>
      <c r="O7" s="312"/>
      <c r="P7" s="333"/>
    </row>
    <row r="8" spans="1:16" ht="15.75" thickBot="1">
      <c r="A8" s="342"/>
      <c r="B8" s="342"/>
      <c r="C8" s="346"/>
      <c r="D8" s="330"/>
      <c r="E8" s="330"/>
      <c r="F8" s="330"/>
      <c r="G8" s="291" t="s">
        <v>13</v>
      </c>
      <c r="H8" s="316"/>
      <c r="I8" s="292"/>
      <c r="J8" s="228" t="s">
        <v>15</v>
      </c>
      <c r="K8" s="228"/>
      <c r="L8" s="229"/>
      <c r="M8" s="312"/>
      <c r="N8" s="312"/>
      <c r="O8" s="312"/>
      <c r="P8" s="333"/>
    </row>
    <row r="9" spans="1:16" ht="15.75" thickBot="1">
      <c r="A9" s="342"/>
      <c r="B9" s="342"/>
      <c r="C9" s="18" t="s">
        <v>16</v>
      </c>
      <c r="D9" s="18" t="s">
        <v>17</v>
      </c>
      <c r="E9" s="18" t="s">
        <v>18</v>
      </c>
      <c r="F9" s="18" t="s">
        <v>19</v>
      </c>
      <c r="G9" s="334" t="s">
        <v>20</v>
      </c>
      <c r="H9" s="231"/>
      <c r="I9" s="19" t="s">
        <v>21</v>
      </c>
      <c r="J9" s="254" t="s">
        <v>20</v>
      </c>
      <c r="K9" s="255"/>
      <c r="L9" s="19" t="s">
        <v>21</v>
      </c>
      <c r="M9" s="312"/>
      <c r="N9" s="312"/>
      <c r="O9" s="312"/>
      <c r="P9" s="333"/>
    </row>
    <row r="10" spans="1:16" ht="15" customHeight="1" thickBot="1">
      <c r="A10" s="13">
        <v>1</v>
      </c>
      <c r="B10" s="14" t="str">
        <f>MENU!B10</f>
        <v>Fictício Sobrenome</v>
      </c>
      <c r="C10" s="15" t="str">
        <f ca="1">INDIRECT(CONCATENATE("MENU!"&amp;TEXT(ADDRESS(ROW(),MENU!$AP$6,4),"")))</f>
        <v>R</v>
      </c>
      <c r="D10" s="15" t="str">
        <f ca="1">INDIRECT(CONCATENATE("MENU!"&amp;TEXT(ADDRESS(ROW(),MENU!$AP$6+1,4),"")))</f>
        <v>R</v>
      </c>
      <c r="E10" s="15" t="str">
        <f ca="1">INDIRECT(CONCATENATE("MENU!"&amp;TEXT(ADDRESS(ROW(),MENU!$AP$6+2,4),"")))</f>
        <v>E</v>
      </c>
      <c r="F10" s="15" t="str">
        <f ca="1">INDIRECT(CONCATENATE("MENU!"&amp;TEXT(ADDRESS(ROW(),MENU!$AP$6+3,4),"")))</f>
        <v>E</v>
      </c>
      <c r="G10" s="326">
        <f>MENU!$AQ10</f>
        <v>44</v>
      </c>
      <c r="H10" s="326"/>
      <c r="I10" s="15">
        <f>MENU!$AR10</f>
        <v>18</v>
      </c>
      <c r="J10" s="327">
        <f>MENU!$AS10</f>
        <v>49</v>
      </c>
      <c r="K10" s="326"/>
      <c r="L10" s="15">
        <f>MENU!$AT10</f>
        <v>14</v>
      </c>
      <c r="M10" s="44" t="str">
        <f ca="1">INDIRECT(CONCATENATE("MENU!"&amp;TEXT(ADDRESS(ROW(),MENU!$AP$6+4,4),"")))</f>
        <v>B</v>
      </c>
      <c r="N10" s="15">
        <f>IF(AND(G10="****",J10="****"),"****",IF(AND(G10&lt;&gt;"****",J10&lt;&gt;"****"),G10+J10,IF(G10&lt;&gt;"****",G10,IF(J10&lt;&gt;"****",J10,"****"))))</f>
        <v>93</v>
      </c>
      <c r="O10" s="143">
        <f>IF(G10="****",IF(J10="****","",(N10*100)/IF(G10="****",J10+L10,SUM(G10:L10))),(N10*100)/IF(G10="****",J10+L10,SUM(G10:L10)))</f>
        <v>74.400000000000006</v>
      </c>
      <c r="P10" s="1" t="s">
        <v>100</v>
      </c>
    </row>
    <row r="11" spans="1:16" ht="16.5" thickBot="1">
      <c r="A11" s="27">
        <f t="shared" ref="A11:A39" si="0">A10+1</f>
        <v>2</v>
      </c>
      <c r="B11" s="14" t="str">
        <f>MENU!B11</f>
        <v/>
      </c>
      <c r="C11" s="15" t="str">
        <f ca="1">INDIRECT(CONCATENATE("MENU!"&amp;TEXT(ADDRESS(ROW(),MENU!$AP$6,4),"")))</f>
        <v/>
      </c>
      <c r="D11" s="15" t="str">
        <f ca="1">INDIRECT(CONCATENATE("MENU!"&amp;TEXT(ADDRESS(ROW(),MENU!$AP$6+1,4),"")))</f>
        <v/>
      </c>
      <c r="E11" s="15" t="str">
        <f ca="1">INDIRECT(CONCATENATE("MENU!"&amp;TEXT(ADDRESS(ROW(),MENU!$AP$6+2,4),"")))</f>
        <v/>
      </c>
      <c r="F11" s="15" t="str">
        <f ca="1">INDIRECT(CONCATENATE("MENU!"&amp;TEXT(ADDRESS(ROW(),MENU!$AP$6+3,4),"")))</f>
        <v/>
      </c>
      <c r="G11" s="317" t="str">
        <f>MENU!$AQ11</f>
        <v>****</v>
      </c>
      <c r="H11" s="317"/>
      <c r="I11" s="15" t="str">
        <f>MENU!$AR11</f>
        <v>****</v>
      </c>
      <c r="J11" s="317" t="str">
        <f>MENU!$AS11</f>
        <v>****</v>
      </c>
      <c r="K11" s="317"/>
      <c r="L11" s="15" t="str">
        <f>MENU!$AT11</f>
        <v>****</v>
      </c>
      <c r="M11" s="44" t="str">
        <f ca="1">INDIRECT(CONCATENATE("MENU!"&amp;TEXT(ADDRESS(ROW(),MENU!$AP$6+4,4),"")))</f>
        <v/>
      </c>
      <c r="N11" s="15" t="str">
        <f>IF(AND(G11="****",J11="****"),"****",IF(AND(G11&lt;&gt;"****",J11&lt;&gt;"****"),G11+J11,IF(G11&lt;&gt;"****",G11,IF(J11&lt;&gt;"****",J11,"****"))))</f>
        <v>****</v>
      </c>
      <c r="O11" s="143" t="str">
        <f t="shared" ref="O11:O39" si="1">IF(G11="****",IF(J11="****","",(N11*100)/IF(G11="****",J11+L11,SUM(G11:L11))),(N11*100)/IF(G11="****",J11+L11,SUM(G11:L11)))</f>
        <v/>
      </c>
      <c r="P11" s="28"/>
    </row>
    <row r="12" spans="1:16" ht="16.5" thickBot="1">
      <c r="A12" s="27">
        <f t="shared" si="0"/>
        <v>3</v>
      </c>
      <c r="B12" s="14" t="str">
        <f>MENU!B12</f>
        <v/>
      </c>
      <c r="C12" s="15" t="str">
        <f ca="1">INDIRECT(CONCATENATE("MENU!"&amp;TEXT(ADDRESS(ROW(),MENU!$AP$6,4),"")))</f>
        <v/>
      </c>
      <c r="D12" s="15" t="str">
        <f ca="1">INDIRECT(CONCATENATE("MENU!"&amp;TEXT(ADDRESS(ROW(),MENU!$AP$6+1,4),"")))</f>
        <v/>
      </c>
      <c r="E12" s="15" t="str">
        <f ca="1">INDIRECT(CONCATENATE("MENU!"&amp;TEXT(ADDRESS(ROW(),MENU!$AP$6+2,4),"")))</f>
        <v/>
      </c>
      <c r="F12" s="15" t="str">
        <f ca="1">INDIRECT(CONCATENATE("MENU!"&amp;TEXT(ADDRESS(ROW(),MENU!$AP$6+3,4),"")))</f>
        <v/>
      </c>
      <c r="G12" s="317" t="str">
        <f>MENU!$AQ12</f>
        <v>****</v>
      </c>
      <c r="H12" s="317"/>
      <c r="I12" s="15" t="str">
        <f>MENU!$AR12</f>
        <v>****</v>
      </c>
      <c r="J12" s="317" t="str">
        <f>MENU!$AS12</f>
        <v>****</v>
      </c>
      <c r="K12" s="317"/>
      <c r="L12" s="15" t="str">
        <f>MENU!$AT12</f>
        <v>****</v>
      </c>
      <c r="M12" s="44" t="str">
        <f ca="1">INDIRECT(CONCATENATE("MENU!"&amp;TEXT(ADDRESS(ROW(),MENU!$AP$6+4,4),"")))</f>
        <v/>
      </c>
      <c r="N12" s="15" t="str">
        <f t="shared" ref="N12:N39" si="2">IF(AND(G12="****",J12="****"),"****",IF(AND(G12&lt;&gt;"****",J12&lt;&gt;"****"),G12+J12,IF(G12&lt;&gt;"****",G12,IF(J12&lt;&gt;"****",J12,"****"))))</f>
        <v>****</v>
      </c>
      <c r="O12" s="143" t="str">
        <f t="shared" si="1"/>
        <v/>
      </c>
      <c r="P12" s="28"/>
    </row>
    <row r="13" spans="1:16" ht="16.5" thickBot="1">
      <c r="A13" s="27">
        <f t="shared" si="0"/>
        <v>4</v>
      </c>
      <c r="B13" s="14" t="str">
        <f>MENU!B13</f>
        <v/>
      </c>
      <c r="C13" s="15" t="str">
        <f ca="1">INDIRECT(CONCATENATE("MENU!"&amp;TEXT(ADDRESS(ROW(),MENU!$AP$6,4),"")))</f>
        <v/>
      </c>
      <c r="D13" s="15" t="str">
        <f ca="1">INDIRECT(CONCATENATE("MENU!"&amp;TEXT(ADDRESS(ROW(),MENU!$AP$6+1,4),"")))</f>
        <v/>
      </c>
      <c r="E13" s="15" t="str">
        <f ca="1">INDIRECT(CONCATENATE("MENU!"&amp;TEXT(ADDRESS(ROW(),MENU!$AP$6+2,4),"")))</f>
        <v/>
      </c>
      <c r="F13" s="15" t="str">
        <f ca="1">INDIRECT(CONCATENATE("MENU!"&amp;TEXT(ADDRESS(ROW(),MENU!$AP$6+3,4),"")))</f>
        <v/>
      </c>
      <c r="G13" s="317" t="str">
        <f>MENU!$AQ13</f>
        <v>****</v>
      </c>
      <c r="H13" s="317"/>
      <c r="I13" s="15" t="str">
        <f>MENU!$AR13</f>
        <v>****</v>
      </c>
      <c r="J13" s="317" t="str">
        <f>MENU!$AS13</f>
        <v>****</v>
      </c>
      <c r="K13" s="317"/>
      <c r="L13" s="15" t="str">
        <f>MENU!$AT13</f>
        <v>****</v>
      </c>
      <c r="M13" s="44" t="str">
        <f ca="1">INDIRECT(CONCATENATE("MENU!"&amp;TEXT(ADDRESS(ROW(),MENU!$AP$6+4,4),"")))</f>
        <v/>
      </c>
      <c r="N13" s="15" t="str">
        <f t="shared" si="2"/>
        <v>****</v>
      </c>
      <c r="O13" s="143" t="str">
        <f t="shared" si="1"/>
        <v/>
      </c>
      <c r="P13" s="28"/>
    </row>
    <row r="14" spans="1:16" ht="16.5" thickBot="1">
      <c r="A14" s="27">
        <f t="shared" si="0"/>
        <v>5</v>
      </c>
      <c r="B14" s="14" t="str">
        <f>MENU!B14</f>
        <v/>
      </c>
      <c r="C14" s="15" t="str">
        <f ca="1">INDIRECT(CONCATENATE("MENU!"&amp;TEXT(ADDRESS(ROW(),MENU!$AP$6,4),"")))</f>
        <v/>
      </c>
      <c r="D14" s="15" t="str">
        <f ca="1">INDIRECT(CONCATENATE("MENU!"&amp;TEXT(ADDRESS(ROW(),MENU!$AP$6+1,4),"")))</f>
        <v/>
      </c>
      <c r="E14" s="15" t="str">
        <f ca="1">INDIRECT(CONCATENATE("MENU!"&amp;TEXT(ADDRESS(ROW(),MENU!$AP$6+2,4),"")))</f>
        <v/>
      </c>
      <c r="F14" s="15" t="str">
        <f ca="1">INDIRECT(CONCATENATE("MENU!"&amp;TEXT(ADDRESS(ROW(),MENU!$AP$6+3,4),"")))</f>
        <v/>
      </c>
      <c r="G14" s="317" t="str">
        <f>MENU!$AQ14</f>
        <v>****</v>
      </c>
      <c r="H14" s="317"/>
      <c r="I14" s="15" t="str">
        <f>MENU!$AR14</f>
        <v>****</v>
      </c>
      <c r="J14" s="317" t="str">
        <f>MENU!$AS14</f>
        <v>****</v>
      </c>
      <c r="K14" s="317"/>
      <c r="L14" s="15" t="str">
        <f>MENU!$AT14</f>
        <v>****</v>
      </c>
      <c r="M14" s="44" t="str">
        <f ca="1">INDIRECT(CONCATENATE("MENU!"&amp;TEXT(ADDRESS(ROW(),MENU!$AP$6+4,4),"")))</f>
        <v/>
      </c>
      <c r="N14" s="15" t="str">
        <f t="shared" si="2"/>
        <v>****</v>
      </c>
      <c r="O14" s="143" t="str">
        <f t="shared" si="1"/>
        <v/>
      </c>
      <c r="P14" s="28"/>
    </row>
    <row r="15" spans="1:16" ht="16.5" thickBot="1">
      <c r="A15" s="27">
        <f t="shared" si="0"/>
        <v>6</v>
      </c>
      <c r="B15" s="14" t="str">
        <f>MENU!B15</f>
        <v/>
      </c>
      <c r="C15" s="15" t="str">
        <f ca="1">INDIRECT(CONCATENATE("MENU!"&amp;TEXT(ADDRESS(ROW(),MENU!$AP$6,4),"")))</f>
        <v/>
      </c>
      <c r="D15" s="15" t="str">
        <f ca="1">INDIRECT(CONCATENATE("MENU!"&amp;TEXT(ADDRESS(ROW(),MENU!$AP$6+1,4),"")))</f>
        <v/>
      </c>
      <c r="E15" s="15" t="str">
        <f ca="1">INDIRECT(CONCATENATE("MENU!"&amp;TEXT(ADDRESS(ROW(),MENU!$AP$6+2,4),"")))</f>
        <v/>
      </c>
      <c r="F15" s="15" t="str">
        <f ca="1">INDIRECT(CONCATENATE("MENU!"&amp;TEXT(ADDRESS(ROW(),MENU!$AP$6+3,4),"")))</f>
        <v/>
      </c>
      <c r="G15" s="317" t="str">
        <f>MENU!$AQ15</f>
        <v>****</v>
      </c>
      <c r="H15" s="317"/>
      <c r="I15" s="15" t="str">
        <f>MENU!$AR15</f>
        <v>****</v>
      </c>
      <c r="J15" s="317" t="str">
        <f>MENU!$AS15</f>
        <v>****</v>
      </c>
      <c r="K15" s="317"/>
      <c r="L15" s="15" t="str">
        <f>MENU!$AT15</f>
        <v>****</v>
      </c>
      <c r="M15" s="44" t="str">
        <f ca="1">INDIRECT(CONCATENATE("MENU!"&amp;TEXT(ADDRESS(ROW(),MENU!$AP$6+4,4),"")))</f>
        <v/>
      </c>
      <c r="N15" s="15" t="str">
        <f t="shared" si="2"/>
        <v>****</v>
      </c>
      <c r="O15" s="143" t="str">
        <f t="shared" si="1"/>
        <v/>
      </c>
      <c r="P15" s="28"/>
    </row>
    <row r="16" spans="1:16" ht="16.5" thickBot="1">
      <c r="A16" s="27">
        <f t="shared" si="0"/>
        <v>7</v>
      </c>
      <c r="B16" s="14" t="str">
        <f>MENU!B16</f>
        <v/>
      </c>
      <c r="C16" s="15" t="str">
        <f ca="1">INDIRECT(CONCATENATE("MENU!"&amp;TEXT(ADDRESS(ROW(),MENU!$AP$6,4),"")))</f>
        <v/>
      </c>
      <c r="D16" s="15" t="str">
        <f ca="1">INDIRECT(CONCATENATE("MENU!"&amp;TEXT(ADDRESS(ROW(),MENU!$AP$6+1,4),"")))</f>
        <v/>
      </c>
      <c r="E16" s="15" t="str">
        <f ca="1">INDIRECT(CONCATENATE("MENU!"&amp;TEXT(ADDRESS(ROW(),MENU!$AP$6+2,4),"")))</f>
        <v/>
      </c>
      <c r="F16" s="15" t="str">
        <f ca="1">INDIRECT(CONCATENATE("MENU!"&amp;TEXT(ADDRESS(ROW(),MENU!$AP$6+3,4),"")))</f>
        <v/>
      </c>
      <c r="G16" s="317" t="str">
        <f>MENU!$AQ16</f>
        <v>****</v>
      </c>
      <c r="H16" s="317"/>
      <c r="I16" s="15" t="str">
        <f>MENU!$AR16</f>
        <v>****</v>
      </c>
      <c r="J16" s="317" t="str">
        <f>MENU!$AS16</f>
        <v>****</v>
      </c>
      <c r="K16" s="317"/>
      <c r="L16" s="15" t="str">
        <f>MENU!$AT16</f>
        <v>****</v>
      </c>
      <c r="M16" s="44" t="str">
        <f ca="1">INDIRECT(CONCATENATE("MENU!"&amp;TEXT(ADDRESS(ROW(),MENU!$AP$6+4,4),"")))</f>
        <v/>
      </c>
      <c r="N16" s="15" t="str">
        <f t="shared" si="2"/>
        <v>****</v>
      </c>
      <c r="O16" s="143" t="str">
        <f t="shared" si="1"/>
        <v/>
      </c>
      <c r="P16" s="28"/>
    </row>
    <row r="17" spans="1:16" ht="16.5" thickBot="1">
      <c r="A17" s="27">
        <f t="shared" si="0"/>
        <v>8</v>
      </c>
      <c r="B17" s="14" t="str">
        <f>MENU!B17</f>
        <v/>
      </c>
      <c r="C17" s="15" t="str">
        <f ca="1">INDIRECT(CONCATENATE("MENU!"&amp;TEXT(ADDRESS(ROW(),MENU!$AP$6,4),"")))</f>
        <v/>
      </c>
      <c r="D17" s="15" t="str">
        <f ca="1">INDIRECT(CONCATENATE("MENU!"&amp;TEXT(ADDRESS(ROW(),MENU!$AP$6+1,4),"")))</f>
        <v/>
      </c>
      <c r="E17" s="15" t="str">
        <f ca="1">INDIRECT(CONCATENATE("MENU!"&amp;TEXT(ADDRESS(ROW(),MENU!$AP$6+2,4),"")))</f>
        <v/>
      </c>
      <c r="F17" s="15" t="str">
        <f ca="1">INDIRECT(CONCATENATE("MENU!"&amp;TEXT(ADDRESS(ROW(),MENU!$AP$6+3,4),"")))</f>
        <v/>
      </c>
      <c r="G17" s="317" t="str">
        <f>MENU!$AQ17</f>
        <v>****</v>
      </c>
      <c r="H17" s="317"/>
      <c r="I17" s="15" t="str">
        <f>MENU!$AR17</f>
        <v>****</v>
      </c>
      <c r="J17" s="317" t="str">
        <f>MENU!$AS17</f>
        <v>****</v>
      </c>
      <c r="K17" s="317"/>
      <c r="L17" s="15" t="str">
        <f>MENU!$AT17</f>
        <v>****</v>
      </c>
      <c r="M17" s="44" t="str">
        <f ca="1">INDIRECT(CONCATENATE("MENU!"&amp;TEXT(ADDRESS(ROW(),MENU!$AP$6+4,4),"")))</f>
        <v/>
      </c>
      <c r="N17" s="15" t="str">
        <f t="shared" si="2"/>
        <v>****</v>
      </c>
      <c r="O17" s="143" t="str">
        <f t="shared" si="1"/>
        <v/>
      </c>
      <c r="P17" s="28"/>
    </row>
    <row r="18" spans="1:16" ht="16.5" thickBot="1">
      <c r="A18" s="27">
        <f t="shared" si="0"/>
        <v>9</v>
      </c>
      <c r="B18" s="14" t="str">
        <f>MENU!B18</f>
        <v/>
      </c>
      <c r="C18" s="15" t="str">
        <f ca="1">INDIRECT(CONCATENATE("MENU!"&amp;TEXT(ADDRESS(ROW(),MENU!$AP$6,4),"")))</f>
        <v/>
      </c>
      <c r="D18" s="15" t="str">
        <f ca="1">INDIRECT(CONCATENATE("MENU!"&amp;TEXT(ADDRESS(ROW(),MENU!$AP$6+1,4),"")))</f>
        <v/>
      </c>
      <c r="E18" s="15" t="str">
        <f ca="1">INDIRECT(CONCATENATE("MENU!"&amp;TEXT(ADDRESS(ROW(),MENU!$AP$6+2,4),"")))</f>
        <v/>
      </c>
      <c r="F18" s="15" t="str">
        <f ca="1">INDIRECT(CONCATENATE("MENU!"&amp;TEXT(ADDRESS(ROW(),MENU!$AP$6+3,4),"")))</f>
        <v/>
      </c>
      <c r="G18" s="317" t="str">
        <f>MENU!$AQ18</f>
        <v>****</v>
      </c>
      <c r="H18" s="317"/>
      <c r="I18" s="15" t="str">
        <f>MENU!$AR18</f>
        <v>****</v>
      </c>
      <c r="J18" s="317" t="str">
        <f>MENU!$AS18</f>
        <v>****</v>
      </c>
      <c r="K18" s="317"/>
      <c r="L18" s="15" t="str">
        <f>MENU!$AT18</f>
        <v>****</v>
      </c>
      <c r="M18" s="44" t="str">
        <f ca="1">INDIRECT(CONCATENATE("MENU!"&amp;TEXT(ADDRESS(ROW(),MENU!$AP$6+4,4),"")))</f>
        <v/>
      </c>
      <c r="N18" s="15" t="str">
        <f t="shared" si="2"/>
        <v>****</v>
      </c>
      <c r="O18" s="143" t="str">
        <f t="shared" si="1"/>
        <v/>
      </c>
      <c r="P18" s="28"/>
    </row>
    <row r="19" spans="1:16" ht="16.5" thickBot="1">
      <c r="A19" s="27">
        <f t="shared" si="0"/>
        <v>10</v>
      </c>
      <c r="B19" s="14" t="str">
        <f>MENU!B19</f>
        <v/>
      </c>
      <c r="C19" s="15" t="str">
        <f ca="1">INDIRECT(CONCATENATE("MENU!"&amp;TEXT(ADDRESS(ROW(),MENU!$AP$6,4),"")))</f>
        <v/>
      </c>
      <c r="D19" s="15" t="str">
        <f ca="1">INDIRECT(CONCATENATE("MENU!"&amp;TEXT(ADDRESS(ROW(),MENU!$AP$6+1,4),"")))</f>
        <v/>
      </c>
      <c r="E19" s="15" t="str">
        <f ca="1">INDIRECT(CONCATENATE("MENU!"&amp;TEXT(ADDRESS(ROW(),MENU!$AP$6+2,4),"")))</f>
        <v/>
      </c>
      <c r="F19" s="15" t="str">
        <f ca="1">INDIRECT(CONCATENATE("MENU!"&amp;TEXT(ADDRESS(ROW(),MENU!$AP$6+3,4),"")))</f>
        <v/>
      </c>
      <c r="G19" s="317" t="str">
        <f>MENU!$AQ19</f>
        <v>****</v>
      </c>
      <c r="H19" s="317"/>
      <c r="I19" s="15" t="str">
        <f>MENU!$AR19</f>
        <v>****</v>
      </c>
      <c r="J19" s="317" t="str">
        <f>MENU!$AS19</f>
        <v>****</v>
      </c>
      <c r="K19" s="317"/>
      <c r="L19" s="15" t="str">
        <f>MENU!$AT19</f>
        <v>****</v>
      </c>
      <c r="M19" s="44" t="str">
        <f ca="1">INDIRECT(CONCATENATE("MENU!"&amp;TEXT(ADDRESS(ROW(),MENU!$AP$6+4,4),"")))</f>
        <v/>
      </c>
      <c r="N19" s="15" t="str">
        <f t="shared" si="2"/>
        <v>****</v>
      </c>
      <c r="O19" s="143" t="str">
        <f t="shared" si="1"/>
        <v/>
      </c>
      <c r="P19" s="28"/>
    </row>
    <row r="20" spans="1:16" ht="16.5" thickBot="1">
      <c r="A20" s="27">
        <f t="shared" si="0"/>
        <v>11</v>
      </c>
      <c r="B20" s="14" t="str">
        <f>MENU!B20</f>
        <v/>
      </c>
      <c r="C20" s="15" t="str">
        <f ca="1">INDIRECT(CONCATENATE("MENU!"&amp;TEXT(ADDRESS(ROW(),MENU!$AP$6,4),"")))</f>
        <v/>
      </c>
      <c r="D20" s="15" t="str">
        <f ca="1">INDIRECT(CONCATENATE("MENU!"&amp;TEXT(ADDRESS(ROW(),MENU!$AP$6+1,4),"")))</f>
        <v/>
      </c>
      <c r="E20" s="15" t="str">
        <f ca="1">INDIRECT(CONCATENATE("MENU!"&amp;TEXT(ADDRESS(ROW(),MENU!$AP$6+2,4),"")))</f>
        <v/>
      </c>
      <c r="F20" s="15" t="str">
        <f ca="1">INDIRECT(CONCATENATE("MENU!"&amp;TEXT(ADDRESS(ROW(),MENU!$AP$6+3,4),"")))</f>
        <v/>
      </c>
      <c r="G20" s="317" t="str">
        <f>MENU!$AQ20</f>
        <v>****</v>
      </c>
      <c r="H20" s="317"/>
      <c r="I20" s="15" t="str">
        <f>MENU!$AR20</f>
        <v>****</v>
      </c>
      <c r="J20" s="317" t="str">
        <f>MENU!$AS20</f>
        <v>****</v>
      </c>
      <c r="K20" s="317"/>
      <c r="L20" s="15" t="str">
        <f>MENU!$AT20</f>
        <v>****</v>
      </c>
      <c r="M20" s="44" t="str">
        <f ca="1">INDIRECT(CONCATENATE("MENU!"&amp;TEXT(ADDRESS(ROW(),MENU!$AP$6+4,4),"")))</f>
        <v/>
      </c>
      <c r="N20" s="15" t="str">
        <f t="shared" si="2"/>
        <v>****</v>
      </c>
      <c r="O20" s="143" t="str">
        <f t="shared" si="1"/>
        <v/>
      </c>
      <c r="P20" s="28"/>
    </row>
    <row r="21" spans="1:16" ht="16.5" thickBot="1">
      <c r="A21" s="27">
        <f t="shared" si="0"/>
        <v>12</v>
      </c>
      <c r="B21" s="14" t="str">
        <f>MENU!B21</f>
        <v/>
      </c>
      <c r="C21" s="15" t="str">
        <f ca="1">INDIRECT(CONCATENATE("MENU!"&amp;TEXT(ADDRESS(ROW(),MENU!$AP$6,4),"")))</f>
        <v/>
      </c>
      <c r="D21" s="15" t="str">
        <f ca="1">INDIRECT(CONCATENATE("MENU!"&amp;TEXT(ADDRESS(ROW(),MENU!$AP$6+1,4),"")))</f>
        <v/>
      </c>
      <c r="E21" s="15" t="str">
        <f ca="1">INDIRECT(CONCATENATE("MENU!"&amp;TEXT(ADDRESS(ROW(),MENU!$AP$6+2,4),"")))</f>
        <v/>
      </c>
      <c r="F21" s="15" t="str">
        <f ca="1">INDIRECT(CONCATENATE("MENU!"&amp;TEXT(ADDRESS(ROW(),MENU!$AP$6+3,4),"")))</f>
        <v/>
      </c>
      <c r="G21" s="317" t="str">
        <f>MENU!$AQ21</f>
        <v>****</v>
      </c>
      <c r="H21" s="317"/>
      <c r="I21" s="15" t="str">
        <f>MENU!$AR21</f>
        <v>****</v>
      </c>
      <c r="J21" s="317" t="str">
        <f>MENU!$AS21</f>
        <v>****</v>
      </c>
      <c r="K21" s="317"/>
      <c r="L21" s="15" t="str">
        <f>MENU!$AT21</f>
        <v>****</v>
      </c>
      <c r="M21" s="44" t="str">
        <f ca="1">INDIRECT(CONCATENATE("MENU!"&amp;TEXT(ADDRESS(ROW(),MENU!$AP$6+4,4),"")))</f>
        <v/>
      </c>
      <c r="N21" s="15" t="str">
        <f t="shared" si="2"/>
        <v>****</v>
      </c>
      <c r="O21" s="143" t="str">
        <f t="shared" si="1"/>
        <v/>
      </c>
      <c r="P21" s="28"/>
    </row>
    <row r="22" spans="1:16" ht="16.5" thickBot="1">
      <c r="A22" s="27">
        <f t="shared" si="0"/>
        <v>13</v>
      </c>
      <c r="B22" s="14" t="str">
        <f>MENU!B22</f>
        <v/>
      </c>
      <c r="C22" s="15" t="str">
        <f ca="1">INDIRECT(CONCATENATE("MENU!"&amp;TEXT(ADDRESS(ROW(),MENU!$AP$6,4),"")))</f>
        <v/>
      </c>
      <c r="D22" s="15" t="str">
        <f ca="1">INDIRECT(CONCATENATE("MENU!"&amp;TEXT(ADDRESS(ROW(),MENU!$AP$6+1,4),"")))</f>
        <v/>
      </c>
      <c r="E22" s="15" t="str">
        <f ca="1">INDIRECT(CONCATENATE("MENU!"&amp;TEXT(ADDRESS(ROW(),MENU!$AP$6+2,4),"")))</f>
        <v/>
      </c>
      <c r="F22" s="15" t="str">
        <f ca="1">INDIRECT(CONCATENATE("MENU!"&amp;TEXT(ADDRESS(ROW(),MENU!$AP$6+3,4),"")))</f>
        <v/>
      </c>
      <c r="G22" s="317" t="str">
        <f>MENU!$AQ22</f>
        <v>****</v>
      </c>
      <c r="H22" s="317"/>
      <c r="I22" s="15" t="str">
        <f>MENU!$AR22</f>
        <v>****</v>
      </c>
      <c r="J22" s="317" t="str">
        <f>MENU!$AS22</f>
        <v>****</v>
      </c>
      <c r="K22" s="317"/>
      <c r="L22" s="15" t="str">
        <f>MENU!$AT22</f>
        <v>****</v>
      </c>
      <c r="M22" s="44" t="str">
        <f ca="1">INDIRECT(CONCATENATE("MENU!"&amp;TEXT(ADDRESS(ROW(),MENU!$AP$6+4,4),"")))</f>
        <v/>
      </c>
      <c r="N22" s="15" t="str">
        <f t="shared" si="2"/>
        <v>****</v>
      </c>
      <c r="O22" s="143" t="str">
        <f t="shared" si="1"/>
        <v/>
      </c>
      <c r="P22" s="28"/>
    </row>
    <row r="23" spans="1:16" ht="16.5" thickBot="1">
      <c r="A23" s="27">
        <f t="shared" si="0"/>
        <v>14</v>
      </c>
      <c r="B23" s="14" t="str">
        <f>MENU!B23</f>
        <v/>
      </c>
      <c r="C23" s="15" t="str">
        <f ca="1">INDIRECT(CONCATENATE("MENU!"&amp;TEXT(ADDRESS(ROW(),MENU!$AP$6,4),"")))</f>
        <v/>
      </c>
      <c r="D23" s="15" t="str">
        <f ca="1">INDIRECT(CONCATENATE("MENU!"&amp;TEXT(ADDRESS(ROW(),MENU!$AP$6+1,4),"")))</f>
        <v/>
      </c>
      <c r="E23" s="15" t="str">
        <f ca="1">INDIRECT(CONCATENATE("MENU!"&amp;TEXT(ADDRESS(ROW(),MENU!$AP$6+2,4),"")))</f>
        <v/>
      </c>
      <c r="F23" s="15" t="str">
        <f ca="1">INDIRECT(CONCATENATE("MENU!"&amp;TEXT(ADDRESS(ROW(),MENU!$AP$6+3,4),"")))</f>
        <v/>
      </c>
      <c r="G23" s="317" t="str">
        <f>MENU!$AQ23</f>
        <v>****</v>
      </c>
      <c r="H23" s="317"/>
      <c r="I23" s="15" t="str">
        <f>MENU!$AR23</f>
        <v>****</v>
      </c>
      <c r="J23" s="317" t="str">
        <f>MENU!$AS23</f>
        <v>****</v>
      </c>
      <c r="K23" s="317"/>
      <c r="L23" s="15" t="str">
        <f>MENU!$AT23</f>
        <v>****</v>
      </c>
      <c r="M23" s="44" t="str">
        <f ca="1">INDIRECT(CONCATENATE("MENU!"&amp;TEXT(ADDRESS(ROW(),MENU!$AP$6+4,4),"")))</f>
        <v/>
      </c>
      <c r="N23" s="15" t="str">
        <f t="shared" si="2"/>
        <v>****</v>
      </c>
      <c r="O23" s="143" t="str">
        <f t="shared" si="1"/>
        <v/>
      </c>
      <c r="P23" s="28"/>
    </row>
    <row r="24" spans="1:16" ht="16.5" thickBot="1">
      <c r="A24" s="27">
        <f t="shared" si="0"/>
        <v>15</v>
      </c>
      <c r="B24" s="14" t="str">
        <f>MENU!B24</f>
        <v/>
      </c>
      <c r="C24" s="15" t="str">
        <f ca="1">INDIRECT(CONCATENATE("MENU!"&amp;TEXT(ADDRESS(ROW(),MENU!$AP$6,4),"")))</f>
        <v/>
      </c>
      <c r="D24" s="15" t="str">
        <f ca="1">INDIRECT(CONCATENATE("MENU!"&amp;TEXT(ADDRESS(ROW(),MENU!$AP$6+1,4),"")))</f>
        <v/>
      </c>
      <c r="E24" s="15" t="str">
        <f ca="1">INDIRECT(CONCATENATE("MENU!"&amp;TEXT(ADDRESS(ROW(),MENU!$AP$6+2,4),"")))</f>
        <v/>
      </c>
      <c r="F24" s="15" t="str">
        <f ca="1">INDIRECT(CONCATENATE("MENU!"&amp;TEXT(ADDRESS(ROW(),MENU!$AP$6+3,4),"")))</f>
        <v/>
      </c>
      <c r="G24" s="317" t="str">
        <f>MENU!$AQ24</f>
        <v>****</v>
      </c>
      <c r="H24" s="317"/>
      <c r="I24" s="15" t="str">
        <f>MENU!$AR24</f>
        <v>****</v>
      </c>
      <c r="J24" s="317" t="str">
        <f>MENU!$AS24</f>
        <v>****</v>
      </c>
      <c r="K24" s="317"/>
      <c r="L24" s="15" t="str">
        <f>MENU!$AT24</f>
        <v>****</v>
      </c>
      <c r="M24" s="44" t="str">
        <f ca="1">INDIRECT(CONCATENATE("MENU!"&amp;TEXT(ADDRESS(ROW(),MENU!$AP$6+4,4),"")))</f>
        <v/>
      </c>
      <c r="N24" s="15" t="str">
        <f t="shared" si="2"/>
        <v>****</v>
      </c>
      <c r="O24" s="143" t="str">
        <f t="shared" si="1"/>
        <v/>
      </c>
      <c r="P24" s="28"/>
    </row>
    <row r="25" spans="1:16" ht="16.5" thickBot="1">
      <c r="A25" s="27">
        <f t="shared" si="0"/>
        <v>16</v>
      </c>
      <c r="B25" s="14" t="str">
        <f>MENU!B25</f>
        <v/>
      </c>
      <c r="C25" s="15" t="str">
        <f ca="1">INDIRECT(CONCATENATE("MENU!"&amp;TEXT(ADDRESS(ROW(),MENU!$AP$6,4),"")))</f>
        <v/>
      </c>
      <c r="D25" s="15" t="str">
        <f ca="1">INDIRECT(CONCATENATE("MENU!"&amp;TEXT(ADDRESS(ROW(),MENU!$AP$6+1,4),"")))</f>
        <v/>
      </c>
      <c r="E25" s="15" t="str">
        <f ca="1">INDIRECT(CONCATENATE("MENU!"&amp;TEXT(ADDRESS(ROW(),MENU!$AP$6+2,4),"")))</f>
        <v/>
      </c>
      <c r="F25" s="15" t="str">
        <f ca="1">INDIRECT(CONCATENATE("MENU!"&amp;TEXT(ADDRESS(ROW(),MENU!$AP$6+3,4),"")))</f>
        <v/>
      </c>
      <c r="G25" s="317" t="str">
        <f>MENU!$AQ25</f>
        <v>****</v>
      </c>
      <c r="H25" s="317"/>
      <c r="I25" s="15" t="str">
        <f>MENU!$AR25</f>
        <v>****</v>
      </c>
      <c r="J25" s="317" t="str">
        <f>MENU!$AS25</f>
        <v>****</v>
      </c>
      <c r="K25" s="317"/>
      <c r="L25" s="15" t="str">
        <f>MENU!$AT25</f>
        <v>****</v>
      </c>
      <c r="M25" s="44" t="str">
        <f ca="1">INDIRECT(CONCATENATE("MENU!"&amp;TEXT(ADDRESS(ROW(),MENU!$AP$6+4,4),"")))</f>
        <v/>
      </c>
      <c r="N25" s="15" t="str">
        <f t="shared" si="2"/>
        <v>****</v>
      </c>
      <c r="O25" s="143" t="str">
        <f t="shared" si="1"/>
        <v/>
      </c>
      <c r="P25" s="28"/>
    </row>
    <row r="26" spans="1:16" ht="16.5" thickBot="1">
      <c r="A26" s="27">
        <f t="shared" si="0"/>
        <v>17</v>
      </c>
      <c r="B26" s="14" t="str">
        <f>MENU!B26</f>
        <v/>
      </c>
      <c r="C26" s="15" t="str">
        <f ca="1">INDIRECT(CONCATENATE("MENU!"&amp;TEXT(ADDRESS(ROW(),MENU!$AP$6,4),"")))</f>
        <v/>
      </c>
      <c r="D26" s="15" t="str">
        <f ca="1">INDIRECT(CONCATENATE("MENU!"&amp;TEXT(ADDRESS(ROW(),MENU!$AP$6+1,4),"")))</f>
        <v/>
      </c>
      <c r="E26" s="15" t="str">
        <f ca="1">INDIRECT(CONCATENATE("MENU!"&amp;TEXT(ADDRESS(ROW(),MENU!$AP$6+2,4),"")))</f>
        <v/>
      </c>
      <c r="F26" s="15" t="str">
        <f ca="1">INDIRECT(CONCATENATE("MENU!"&amp;TEXT(ADDRESS(ROW(),MENU!$AP$6+3,4),"")))</f>
        <v/>
      </c>
      <c r="G26" s="317" t="str">
        <f>MENU!$AQ26</f>
        <v>****</v>
      </c>
      <c r="H26" s="317"/>
      <c r="I26" s="15" t="str">
        <f>MENU!$AR26</f>
        <v>****</v>
      </c>
      <c r="J26" s="317" t="str">
        <f>MENU!$AS26</f>
        <v>****</v>
      </c>
      <c r="K26" s="317"/>
      <c r="L26" s="15" t="str">
        <f>MENU!$AT26</f>
        <v>****</v>
      </c>
      <c r="M26" s="44" t="str">
        <f ca="1">INDIRECT(CONCATENATE("MENU!"&amp;TEXT(ADDRESS(ROW(),MENU!$AP$6+4,4),"")))</f>
        <v/>
      </c>
      <c r="N26" s="15" t="str">
        <f t="shared" si="2"/>
        <v>****</v>
      </c>
      <c r="O26" s="143" t="str">
        <f t="shared" si="1"/>
        <v/>
      </c>
      <c r="P26" s="28"/>
    </row>
    <row r="27" spans="1:16" ht="16.5" thickBot="1">
      <c r="A27" s="27">
        <f t="shared" si="0"/>
        <v>18</v>
      </c>
      <c r="B27" s="14" t="str">
        <f>MENU!B27</f>
        <v/>
      </c>
      <c r="C27" s="15" t="str">
        <f ca="1">INDIRECT(CONCATENATE("MENU!"&amp;TEXT(ADDRESS(ROW(),MENU!$AP$6,4),"")))</f>
        <v/>
      </c>
      <c r="D27" s="15" t="str">
        <f ca="1">INDIRECT(CONCATENATE("MENU!"&amp;TEXT(ADDRESS(ROW(),MENU!$AP$6+1,4),"")))</f>
        <v/>
      </c>
      <c r="E27" s="15" t="str">
        <f ca="1">INDIRECT(CONCATENATE("MENU!"&amp;TEXT(ADDRESS(ROW(),MENU!$AP$6+2,4),"")))</f>
        <v/>
      </c>
      <c r="F27" s="15" t="str">
        <f ca="1">INDIRECT(CONCATENATE("MENU!"&amp;TEXT(ADDRESS(ROW(),MENU!$AP$6+3,4),"")))</f>
        <v/>
      </c>
      <c r="G27" s="317" t="str">
        <f>MENU!$AQ27</f>
        <v>****</v>
      </c>
      <c r="H27" s="317"/>
      <c r="I27" s="15" t="str">
        <f>MENU!$AR27</f>
        <v>****</v>
      </c>
      <c r="J27" s="317" t="str">
        <f>MENU!$AS27</f>
        <v>****</v>
      </c>
      <c r="K27" s="317"/>
      <c r="L27" s="15" t="str">
        <f>MENU!$AT27</f>
        <v>****</v>
      </c>
      <c r="M27" s="44" t="str">
        <f ca="1">INDIRECT(CONCATENATE("MENU!"&amp;TEXT(ADDRESS(ROW(),MENU!$AP$6+4,4),"")))</f>
        <v/>
      </c>
      <c r="N27" s="15" t="str">
        <f t="shared" si="2"/>
        <v>****</v>
      </c>
      <c r="O27" s="143" t="str">
        <f t="shared" si="1"/>
        <v/>
      </c>
      <c r="P27" s="28"/>
    </row>
    <row r="28" spans="1:16" ht="16.5" thickBot="1">
      <c r="A28" s="27">
        <f t="shared" si="0"/>
        <v>19</v>
      </c>
      <c r="B28" s="14" t="str">
        <f>MENU!B28</f>
        <v/>
      </c>
      <c r="C28" s="15" t="str">
        <f ca="1">INDIRECT(CONCATENATE("MENU!"&amp;TEXT(ADDRESS(ROW(),MENU!$AP$6,4),"")))</f>
        <v/>
      </c>
      <c r="D28" s="15" t="str">
        <f ca="1">INDIRECT(CONCATENATE("MENU!"&amp;TEXT(ADDRESS(ROW(),MENU!$AP$6+1,4),"")))</f>
        <v/>
      </c>
      <c r="E28" s="15" t="str">
        <f ca="1">INDIRECT(CONCATENATE("MENU!"&amp;TEXT(ADDRESS(ROW(),MENU!$AP$6+2,4),"")))</f>
        <v/>
      </c>
      <c r="F28" s="15" t="str">
        <f ca="1">INDIRECT(CONCATENATE("MENU!"&amp;TEXT(ADDRESS(ROW(),MENU!$AP$6+3,4),"")))</f>
        <v/>
      </c>
      <c r="G28" s="317" t="str">
        <f>MENU!$AQ28</f>
        <v>****</v>
      </c>
      <c r="H28" s="317"/>
      <c r="I28" s="15" t="str">
        <f>MENU!$AR28</f>
        <v>****</v>
      </c>
      <c r="J28" s="317" t="str">
        <f>MENU!$AS28</f>
        <v>****</v>
      </c>
      <c r="K28" s="317"/>
      <c r="L28" s="15" t="str">
        <f>MENU!$AT28</f>
        <v>****</v>
      </c>
      <c r="M28" s="44" t="str">
        <f ca="1">INDIRECT(CONCATENATE("MENU!"&amp;TEXT(ADDRESS(ROW(),MENU!$AP$6+4,4),"")))</f>
        <v/>
      </c>
      <c r="N28" s="15" t="str">
        <f t="shared" si="2"/>
        <v>****</v>
      </c>
      <c r="O28" s="143" t="str">
        <f t="shared" si="1"/>
        <v/>
      </c>
      <c r="P28" s="28"/>
    </row>
    <row r="29" spans="1:16" ht="16.5" thickBot="1">
      <c r="A29" s="27">
        <f t="shared" si="0"/>
        <v>20</v>
      </c>
      <c r="B29" s="14" t="str">
        <f>MENU!B29</f>
        <v/>
      </c>
      <c r="C29" s="15" t="str">
        <f ca="1">INDIRECT(CONCATENATE("MENU!"&amp;TEXT(ADDRESS(ROW(),MENU!$AP$6,4),"")))</f>
        <v/>
      </c>
      <c r="D29" s="15" t="str">
        <f ca="1">INDIRECT(CONCATENATE("MENU!"&amp;TEXT(ADDRESS(ROW(),MENU!$AP$6+1,4),"")))</f>
        <v/>
      </c>
      <c r="E29" s="15" t="str">
        <f ca="1">INDIRECT(CONCATENATE("MENU!"&amp;TEXT(ADDRESS(ROW(),MENU!$AP$6+2,4),"")))</f>
        <v/>
      </c>
      <c r="F29" s="15" t="str">
        <f ca="1">INDIRECT(CONCATENATE("MENU!"&amp;TEXT(ADDRESS(ROW(),MENU!$AP$6+3,4),"")))</f>
        <v/>
      </c>
      <c r="G29" s="317" t="str">
        <f>MENU!$AQ29</f>
        <v>****</v>
      </c>
      <c r="H29" s="317"/>
      <c r="I29" s="15" t="str">
        <f>MENU!$AR29</f>
        <v>****</v>
      </c>
      <c r="J29" s="317" t="str">
        <f>MENU!$AS29</f>
        <v>****</v>
      </c>
      <c r="K29" s="317"/>
      <c r="L29" s="15" t="str">
        <f>MENU!$AT29</f>
        <v>****</v>
      </c>
      <c r="M29" s="44" t="str">
        <f ca="1">INDIRECT(CONCATENATE("MENU!"&amp;TEXT(ADDRESS(ROW(),MENU!$AP$6+4,4),"")))</f>
        <v/>
      </c>
      <c r="N29" s="15" t="str">
        <f t="shared" si="2"/>
        <v>****</v>
      </c>
      <c r="O29" s="143" t="str">
        <f t="shared" si="1"/>
        <v/>
      </c>
      <c r="P29" s="28"/>
    </row>
    <row r="30" spans="1:16" ht="16.5" thickBot="1">
      <c r="A30" s="27">
        <f t="shared" si="0"/>
        <v>21</v>
      </c>
      <c r="B30" s="14" t="str">
        <f>MENU!B30</f>
        <v/>
      </c>
      <c r="C30" s="15" t="str">
        <f ca="1">INDIRECT(CONCATENATE("MENU!"&amp;TEXT(ADDRESS(ROW(),MENU!$AP$6,4),"")))</f>
        <v/>
      </c>
      <c r="D30" s="15" t="str">
        <f ca="1">INDIRECT(CONCATENATE("MENU!"&amp;TEXT(ADDRESS(ROW(),MENU!$AP$6+1,4),"")))</f>
        <v/>
      </c>
      <c r="E30" s="15" t="str">
        <f ca="1">INDIRECT(CONCATENATE("MENU!"&amp;TEXT(ADDRESS(ROW(),MENU!$AP$6+2,4),"")))</f>
        <v/>
      </c>
      <c r="F30" s="15" t="str">
        <f ca="1">INDIRECT(CONCATENATE("MENU!"&amp;TEXT(ADDRESS(ROW(),MENU!$AP$6+3,4),"")))</f>
        <v/>
      </c>
      <c r="G30" s="317" t="str">
        <f>MENU!$AQ30</f>
        <v>****</v>
      </c>
      <c r="H30" s="317"/>
      <c r="I30" s="15" t="str">
        <f>MENU!$AR30</f>
        <v>****</v>
      </c>
      <c r="J30" s="317" t="str">
        <f>MENU!$AS30</f>
        <v>****</v>
      </c>
      <c r="K30" s="317"/>
      <c r="L30" s="15" t="str">
        <f>MENU!$AT30</f>
        <v>****</v>
      </c>
      <c r="M30" s="44" t="str">
        <f ca="1">INDIRECT(CONCATENATE("MENU!"&amp;TEXT(ADDRESS(ROW(),MENU!$AP$6+4,4),"")))</f>
        <v/>
      </c>
      <c r="N30" s="15" t="str">
        <f t="shared" si="2"/>
        <v>****</v>
      </c>
      <c r="O30" s="143" t="str">
        <f t="shared" si="1"/>
        <v/>
      </c>
      <c r="P30" s="28"/>
    </row>
    <row r="31" spans="1:16" ht="16.5" thickBot="1">
      <c r="A31" s="29">
        <f t="shared" si="0"/>
        <v>22</v>
      </c>
      <c r="B31" s="14" t="str">
        <f>MENU!B31</f>
        <v/>
      </c>
      <c r="C31" s="15" t="str">
        <f ca="1">INDIRECT(CONCATENATE("MENU!"&amp;TEXT(ADDRESS(ROW(),MENU!$AP$6,4),"")))</f>
        <v/>
      </c>
      <c r="D31" s="15" t="str">
        <f ca="1">INDIRECT(CONCATENATE("MENU!"&amp;TEXT(ADDRESS(ROW(),MENU!$AP$6+1,4),"")))</f>
        <v/>
      </c>
      <c r="E31" s="15" t="str">
        <f ca="1">INDIRECT(CONCATENATE("MENU!"&amp;TEXT(ADDRESS(ROW(),MENU!$AP$6+2,4),"")))</f>
        <v/>
      </c>
      <c r="F31" s="15" t="str">
        <f ca="1">INDIRECT(CONCATENATE("MENU!"&amp;TEXT(ADDRESS(ROW(),MENU!$AP$6+3,4),"")))</f>
        <v/>
      </c>
      <c r="G31" s="317" t="str">
        <f>MENU!$AQ31</f>
        <v>****</v>
      </c>
      <c r="H31" s="317"/>
      <c r="I31" s="15" t="str">
        <f>MENU!$AR31</f>
        <v>****</v>
      </c>
      <c r="J31" s="317" t="str">
        <f>MENU!$AS31</f>
        <v>****</v>
      </c>
      <c r="K31" s="317"/>
      <c r="L31" s="15" t="str">
        <f>MENU!$AT31</f>
        <v>****</v>
      </c>
      <c r="M31" s="44" t="str">
        <f ca="1">INDIRECT(CONCATENATE("MENU!"&amp;TEXT(ADDRESS(ROW(),MENU!$AP$6+4,4),"")))</f>
        <v/>
      </c>
      <c r="N31" s="15" t="str">
        <f t="shared" si="2"/>
        <v>****</v>
      </c>
      <c r="O31" s="143" t="str">
        <f t="shared" si="1"/>
        <v/>
      </c>
      <c r="P31" s="30"/>
    </row>
    <row r="32" spans="1:16" ht="16.5" thickBot="1">
      <c r="A32" s="16">
        <f t="shared" si="0"/>
        <v>23</v>
      </c>
      <c r="B32" s="14" t="str">
        <f>MENU!B32</f>
        <v/>
      </c>
      <c r="C32" s="15" t="str">
        <f ca="1">INDIRECT(CONCATENATE("MENU!"&amp;TEXT(ADDRESS(ROW(),MENU!$AP$6,4),"")))</f>
        <v/>
      </c>
      <c r="D32" s="15" t="str">
        <f ca="1">INDIRECT(CONCATENATE("MENU!"&amp;TEXT(ADDRESS(ROW(),MENU!$AP$6+1,4),"")))</f>
        <v/>
      </c>
      <c r="E32" s="15" t="str">
        <f ca="1">INDIRECT(CONCATENATE("MENU!"&amp;TEXT(ADDRESS(ROW(),MENU!$AP$6+2,4),"")))</f>
        <v/>
      </c>
      <c r="F32" s="15" t="str">
        <f ca="1">INDIRECT(CONCATENATE("MENU!"&amp;TEXT(ADDRESS(ROW(),MENU!$AP$6+3,4),"")))</f>
        <v/>
      </c>
      <c r="G32" s="317" t="str">
        <f>MENU!$AQ32</f>
        <v>****</v>
      </c>
      <c r="H32" s="317"/>
      <c r="I32" s="15" t="str">
        <f>MENU!$AR32</f>
        <v>****</v>
      </c>
      <c r="J32" s="317" t="str">
        <f>MENU!$AS32</f>
        <v>****</v>
      </c>
      <c r="K32" s="317"/>
      <c r="L32" s="15" t="str">
        <f>MENU!$AT32</f>
        <v>****</v>
      </c>
      <c r="M32" s="44" t="str">
        <f ca="1">INDIRECT(CONCATENATE("MENU!"&amp;TEXT(ADDRESS(ROW(),MENU!$AP$6+4,4),"")))</f>
        <v/>
      </c>
      <c r="N32" s="15" t="str">
        <f t="shared" si="2"/>
        <v>****</v>
      </c>
      <c r="O32" s="143" t="str">
        <f t="shared" si="1"/>
        <v/>
      </c>
      <c r="P32" s="2"/>
    </row>
    <row r="33" spans="1:16" ht="16.5" thickBot="1">
      <c r="A33" s="27">
        <f t="shared" si="0"/>
        <v>24</v>
      </c>
      <c r="B33" s="14" t="str">
        <f>MENU!B33</f>
        <v/>
      </c>
      <c r="C33" s="15" t="str">
        <f ca="1">INDIRECT(CONCATENATE("MENU!"&amp;TEXT(ADDRESS(ROW(),MENU!$AP$6,4),"")))</f>
        <v/>
      </c>
      <c r="D33" s="15" t="str">
        <f ca="1">INDIRECT(CONCATENATE("MENU!"&amp;TEXT(ADDRESS(ROW(),MENU!$AP$6+1,4),"")))</f>
        <v/>
      </c>
      <c r="E33" s="15" t="str">
        <f ca="1">INDIRECT(CONCATENATE("MENU!"&amp;TEXT(ADDRESS(ROW(),MENU!$AP$6+2,4),"")))</f>
        <v/>
      </c>
      <c r="F33" s="15" t="str">
        <f ca="1">INDIRECT(CONCATENATE("MENU!"&amp;TEXT(ADDRESS(ROW(),MENU!$AP$6+3,4),"")))</f>
        <v/>
      </c>
      <c r="G33" s="317" t="str">
        <f>MENU!$AQ33</f>
        <v>****</v>
      </c>
      <c r="H33" s="317"/>
      <c r="I33" s="15" t="str">
        <f>MENU!$AR33</f>
        <v>****</v>
      </c>
      <c r="J33" s="317" t="str">
        <f>MENU!$AS33</f>
        <v>****</v>
      </c>
      <c r="K33" s="317"/>
      <c r="L33" s="15" t="str">
        <f>MENU!$AT33</f>
        <v>****</v>
      </c>
      <c r="M33" s="44" t="str">
        <f ca="1">INDIRECT(CONCATENATE("MENU!"&amp;TEXT(ADDRESS(ROW(),MENU!$AP$6+4,4),"")))</f>
        <v/>
      </c>
      <c r="N33" s="15" t="str">
        <f t="shared" si="2"/>
        <v>****</v>
      </c>
      <c r="O33" s="143" t="str">
        <f t="shared" si="1"/>
        <v/>
      </c>
      <c r="P33" s="28"/>
    </row>
    <row r="34" spans="1:16" ht="16.5" thickBot="1">
      <c r="A34" s="27">
        <f t="shared" si="0"/>
        <v>25</v>
      </c>
      <c r="B34" s="14" t="str">
        <f>MENU!B34</f>
        <v/>
      </c>
      <c r="C34" s="15" t="str">
        <f ca="1">INDIRECT(CONCATENATE("MENU!"&amp;TEXT(ADDRESS(ROW(),MENU!$AP$6,4),"")))</f>
        <v/>
      </c>
      <c r="D34" s="15" t="str">
        <f ca="1">INDIRECT(CONCATENATE("MENU!"&amp;TEXT(ADDRESS(ROW(),MENU!$AP$6+1,4),"")))</f>
        <v/>
      </c>
      <c r="E34" s="15" t="str">
        <f ca="1">INDIRECT(CONCATENATE("MENU!"&amp;TEXT(ADDRESS(ROW(),MENU!$AP$6+2,4),"")))</f>
        <v/>
      </c>
      <c r="F34" s="15" t="str">
        <f ca="1">INDIRECT(CONCATENATE("MENU!"&amp;TEXT(ADDRESS(ROW(),MENU!$AP$6+3,4),"")))</f>
        <v/>
      </c>
      <c r="G34" s="317" t="str">
        <f>MENU!$AQ34</f>
        <v>****</v>
      </c>
      <c r="H34" s="317"/>
      <c r="I34" s="15" t="str">
        <f>MENU!$AR34</f>
        <v>****</v>
      </c>
      <c r="J34" s="317" t="str">
        <f>MENU!$AS34</f>
        <v>****</v>
      </c>
      <c r="K34" s="317"/>
      <c r="L34" s="15" t="str">
        <f>MENU!$AT34</f>
        <v>****</v>
      </c>
      <c r="M34" s="44" t="str">
        <f ca="1">INDIRECT(CONCATENATE("MENU!"&amp;TEXT(ADDRESS(ROW(),MENU!$AP$6+4,4),"")))</f>
        <v/>
      </c>
      <c r="N34" s="15" t="str">
        <f t="shared" si="2"/>
        <v>****</v>
      </c>
      <c r="O34" s="143" t="str">
        <f t="shared" si="1"/>
        <v/>
      </c>
      <c r="P34" s="28"/>
    </row>
    <row r="35" spans="1:16" ht="16.5" thickBot="1">
      <c r="A35" s="27">
        <f t="shared" si="0"/>
        <v>26</v>
      </c>
      <c r="B35" s="14" t="str">
        <f>MENU!B35</f>
        <v/>
      </c>
      <c r="C35" s="15" t="str">
        <f ca="1">INDIRECT(CONCATENATE("MENU!"&amp;TEXT(ADDRESS(ROW(),MENU!$AP$6,4),"")))</f>
        <v/>
      </c>
      <c r="D35" s="15" t="str">
        <f ca="1">INDIRECT(CONCATENATE("MENU!"&amp;TEXT(ADDRESS(ROW(),MENU!$AP$6+1,4),"")))</f>
        <v/>
      </c>
      <c r="E35" s="15" t="str">
        <f ca="1">INDIRECT(CONCATENATE("MENU!"&amp;TEXT(ADDRESS(ROW(),MENU!$AP$6+2,4),"")))</f>
        <v/>
      </c>
      <c r="F35" s="15" t="str">
        <f ca="1">INDIRECT(CONCATENATE("MENU!"&amp;TEXT(ADDRESS(ROW(),MENU!$AP$6+3,4),"")))</f>
        <v/>
      </c>
      <c r="G35" s="317" t="str">
        <f>MENU!$AQ35</f>
        <v>****</v>
      </c>
      <c r="H35" s="317"/>
      <c r="I35" s="15" t="str">
        <f>MENU!$AR35</f>
        <v>****</v>
      </c>
      <c r="J35" s="317" t="str">
        <f>MENU!$AS35</f>
        <v>****</v>
      </c>
      <c r="K35" s="317"/>
      <c r="L35" s="15" t="str">
        <f>MENU!$AT35</f>
        <v>****</v>
      </c>
      <c r="M35" s="44" t="str">
        <f ca="1">INDIRECT(CONCATENATE("MENU!"&amp;TEXT(ADDRESS(ROW(),MENU!$AP$6+4,4),"")))</f>
        <v/>
      </c>
      <c r="N35" s="15" t="str">
        <f t="shared" si="2"/>
        <v>****</v>
      </c>
      <c r="O35" s="143" t="str">
        <f t="shared" si="1"/>
        <v/>
      </c>
      <c r="P35" s="28"/>
    </row>
    <row r="36" spans="1:16" ht="16.5" thickBot="1">
      <c r="A36" s="27">
        <f t="shared" si="0"/>
        <v>27</v>
      </c>
      <c r="B36" s="14" t="str">
        <f>MENU!B36</f>
        <v/>
      </c>
      <c r="C36" s="15" t="str">
        <f ca="1">INDIRECT(CONCATENATE("MENU!"&amp;TEXT(ADDRESS(ROW(),MENU!$AP$6,4),"")))</f>
        <v/>
      </c>
      <c r="D36" s="15" t="str">
        <f ca="1">INDIRECT(CONCATENATE("MENU!"&amp;TEXT(ADDRESS(ROW(),MENU!$AP$6+1,4),"")))</f>
        <v/>
      </c>
      <c r="E36" s="15" t="str">
        <f ca="1">INDIRECT(CONCATENATE("MENU!"&amp;TEXT(ADDRESS(ROW(),MENU!$AP$6+2,4),"")))</f>
        <v/>
      </c>
      <c r="F36" s="15" t="str">
        <f ca="1">INDIRECT(CONCATENATE("MENU!"&amp;TEXT(ADDRESS(ROW(),MENU!$AP$6+3,4),"")))</f>
        <v/>
      </c>
      <c r="G36" s="317" t="str">
        <f>MENU!$AQ36</f>
        <v>****</v>
      </c>
      <c r="H36" s="317"/>
      <c r="I36" s="15" t="str">
        <f>MENU!$AR36</f>
        <v>****</v>
      </c>
      <c r="J36" s="317" t="str">
        <f>MENU!$AS36</f>
        <v>****</v>
      </c>
      <c r="K36" s="317"/>
      <c r="L36" s="15" t="str">
        <f>MENU!$AT36</f>
        <v>****</v>
      </c>
      <c r="M36" s="44" t="str">
        <f ca="1">INDIRECT(CONCATENATE("MENU!"&amp;TEXT(ADDRESS(ROW(),MENU!$AP$6+4,4),"")))</f>
        <v/>
      </c>
      <c r="N36" s="15" t="str">
        <f t="shared" si="2"/>
        <v>****</v>
      </c>
      <c r="O36" s="143" t="str">
        <f t="shared" si="1"/>
        <v/>
      </c>
      <c r="P36" s="28"/>
    </row>
    <row r="37" spans="1:16" ht="16.5" thickBot="1">
      <c r="A37" s="27">
        <f t="shared" si="0"/>
        <v>28</v>
      </c>
      <c r="B37" s="14" t="str">
        <f>MENU!B37</f>
        <v/>
      </c>
      <c r="C37" s="15" t="str">
        <f ca="1">INDIRECT(CONCATENATE("MENU!"&amp;TEXT(ADDRESS(ROW(),MENU!$AP$6,4),"")))</f>
        <v/>
      </c>
      <c r="D37" s="15" t="str">
        <f ca="1">INDIRECT(CONCATENATE("MENU!"&amp;TEXT(ADDRESS(ROW(),MENU!$AP$6+1,4),"")))</f>
        <v/>
      </c>
      <c r="E37" s="15" t="str">
        <f ca="1">INDIRECT(CONCATENATE("MENU!"&amp;TEXT(ADDRESS(ROW(),MENU!$AP$6+2,4),"")))</f>
        <v/>
      </c>
      <c r="F37" s="15" t="str">
        <f ca="1">INDIRECT(CONCATENATE("MENU!"&amp;TEXT(ADDRESS(ROW(),MENU!$AP$6+3,4),"")))</f>
        <v/>
      </c>
      <c r="G37" s="317" t="str">
        <f>MENU!$AQ37</f>
        <v>****</v>
      </c>
      <c r="H37" s="317"/>
      <c r="I37" s="15" t="str">
        <f>MENU!$AR37</f>
        <v>****</v>
      </c>
      <c r="J37" s="317" t="str">
        <f>MENU!$AS37</f>
        <v>****</v>
      </c>
      <c r="K37" s="317"/>
      <c r="L37" s="15" t="str">
        <f>MENU!$AT37</f>
        <v>****</v>
      </c>
      <c r="M37" s="44" t="str">
        <f ca="1">INDIRECT(CONCATENATE("MENU!"&amp;TEXT(ADDRESS(ROW(),MENU!$AP$6+4,4),"")))</f>
        <v/>
      </c>
      <c r="N37" s="15" t="str">
        <f t="shared" si="2"/>
        <v>****</v>
      </c>
      <c r="O37" s="143" t="str">
        <f t="shared" si="1"/>
        <v/>
      </c>
      <c r="P37" s="28"/>
    </row>
    <row r="38" spans="1:16" ht="16.5" thickBot="1">
      <c r="A38" s="27">
        <f t="shared" si="0"/>
        <v>29</v>
      </c>
      <c r="B38" s="14" t="str">
        <f>MENU!B38</f>
        <v/>
      </c>
      <c r="C38" s="15" t="str">
        <f ca="1">INDIRECT(CONCATENATE("MENU!"&amp;TEXT(ADDRESS(ROW(),MENU!$AP$6,4),"")))</f>
        <v/>
      </c>
      <c r="D38" s="15" t="str">
        <f ca="1">INDIRECT(CONCATENATE("MENU!"&amp;TEXT(ADDRESS(ROW(),MENU!$AP$6+1,4),"")))</f>
        <v/>
      </c>
      <c r="E38" s="15" t="str">
        <f ca="1">INDIRECT(CONCATENATE("MENU!"&amp;TEXT(ADDRESS(ROW(),MENU!$AP$6+2,4),"")))</f>
        <v/>
      </c>
      <c r="F38" s="15" t="str">
        <f ca="1">INDIRECT(CONCATENATE("MENU!"&amp;TEXT(ADDRESS(ROW(),MENU!$AP$6+3,4),"")))</f>
        <v/>
      </c>
      <c r="G38" s="309" t="str">
        <f>MENU!$AQ38</f>
        <v>****</v>
      </c>
      <c r="H38" s="310"/>
      <c r="I38" s="15" t="str">
        <f>MENU!$AR38</f>
        <v>****</v>
      </c>
      <c r="J38" s="309" t="str">
        <f>MENU!$AS38</f>
        <v>****</v>
      </c>
      <c r="K38" s="310"/>
      <c r="L38" s="15" t="str">
        <f>MENU!$AT38</f>
        <v>****</v>
      </c>
      <c r="M38" s="44" t="str">
        <f ca="1">INDIRECT(CONCATENATE("MENU!"&amp;TEXT(ADDRESS(ROW(),MENU!$AP$6+4,4),"")))</f>
        <v/>
      </c>
      <c r="N38" s="15" t="str">
        <f t="shared" si="2"/>
        <v>****</v>
      </c>
      <c r="O38" s="143" t="str">
        <f t="shared" si="1"/>
        <v/>
      </c>
      <c r="P38" s="28"/>
    </row>
    <row r="39" spans="1:16" ht="16.5" thickBot="1">
      <c r="A39" s="31">
        <f t="shared" si="0"/>
        <v>30</v>
      </c>
      <c r="B39" s="14" t="str">
        <f>MENU!B39</f>
        <v/>
      </c>
      <c r="C39" s="15" t="str">
        <f ca="1">INDIRECT(CONCATENATE("MENU!"&amp;TEXT(ADDRESS(ROW(),MENU!$AP$6,4),"")))</f>
        <v/>
      </c>
      <c r="D39" s="15" t="str">
        <f ca="1">INDIRECT(CONCATENATE("MENU!"&amp;TEXT(ADDRESS(ROW(),MENU!$AP$6+1,4),"")))</f>
        <v/>
      </c>
      <c r="E39" s="15" t="str">
        <f ca="1">INDIRECT(CONCATENATE("MENU!"&amp;TEXT(ADDRESS(ROW(),MENU!$AP$6+2,4),"")))</f>
        <v/>
      </c>
      <c r="F39" s="15" t="str">
        <f ca="1">INDIRECT(CONCATENATE("MENU!"&amp;TEXT(ADDRESS(ROW(),MENU!$AP$6+3,4),"")))</f>
        <v/>
      </c>
      <c r="G39" s="309" t="str">
        <f>MENU!$AQ39</f>
        <v>****</v>
      </c>
      <c r="H39" s="310"/>
      <c r="I39" s="15" t="str">
        <f>MENU!$AR39</f>
        <v>****</v>
      </c>
      <c r="J39" s="309" t="str">
        <f>MENU!$AS39</f>
        <v>****</v>
      </c>
      <c r="K39" s="310"/>
      <c r="L39" s="15" t="str">
        <f>MENU!$AT39</f>
        <v>****</v>
      </c>
      <c r="M39" s="44" t="str">
        <f ca="1">INDIRECT(CONCATENATE("MENU!"&amp;TEXT(ADDRESS(ROW(),MENU!$AP$6+4,4),"")))</f>
        <v/>
      </c>
      <c r="N39" s="15" t="str">
        <f t="shared" si="2"/>
        <v>****</v>
      </c>
      <c r="O39" s="143" t="str">
        <f t="shared" si="1"/>
        <v/>
      </c>
      <c r="P39" s="32"/>
    </row>
  </sheetData>
  <sheetProtection algorithmName="SHA-512" hashValue="aiUx2ghTlN3Lf22taFne0I2UiGMQ+wVIFxKQB+6i8EFs+dkXL5PBscN440xzRwcZeS8poATOyNgSdnf85Ic9pA==" saltValue="iwCeZQNT/7t9XXE6VtUxSw==" spinCount="100000" sheet="1" objects="1" scenarios="1" selectLockedCells="1"/>
  <mergeCells count="85">
    <mergeCell ref="C6:F8"/>
    <mergeCell ref="G15:H15"/>
    <mergeCell ref="J15:K15"/>
    <mergeCell ref="G16:H16"/>
    <mergeCell ref="J16:K16"/>
    <mergeCell ref="G12:H12"/>
    <mergeCell ref="J12:K12"/>
    <mergeCell ref="G17:H17"/>
    <mergeCell ref="J17:K17"/>
    <mergeCell ref="G18:H18"/>
    <mergeCell ref="J18:K18"/>
    <mergeCell ref="G19:H19"/>
    <mergeCell ref="J19:K19"/>
    <mergeCell ref="J25:K25"/>
    <mergeCell ref="G20:H20"/>
    <mergeCell ref="J20:K20"/>
    <mergeCell ref="G21:H21"/>
    <mergeCell ref="J21:K21"/>
    <mergeCell ref="A1:P1"/>
    <mergeCell ref="N3:O4"/>
    <mergeCell ref="P3:P4"/>
    <mergeCell ref="G11:H11"/>
    <mergeCell ref="J11:K11"/>
    <mergeCell ref="G10:H10"/>
    <mergeCell ref="J10:K10"/>
    <mergeCell ref="G6:L6"/>
    <mergeCell ref="M6:M9"/>
    <mergeCell ref="N6:N9"/>
    <mergeCell ref="P6:P9"/>
    <mergeCell ref="G9:H9"/>
    <mergeCell ref="J9:K9"/>
    <mergeCell ref="A3:M4"/>
    <mergeCell ref="A6:A9"/>
    <mergeCell ref="B6:B9"/>
    <mergeCell ref="I5:M5"/>
    <mergeCell ref="O5:P5"/>
    <mergeCell ref="G22:H22"/>
    <mergeCell ref="J22:K22"/>
    <mergeCell ref="G26:H26"/>
    <mergeCell ref="J26:K26"/>
    <mergeCell ref="G5:H5"/>
    <mergeCell ref="G13:H13"/>
    <mergeCell ref="J13:K13"/>
    <mergeCell ref="G14:H14"/>
    <mergeCell ref="J14:K14"/>
    <mergeCell ref="G23:H23"/>
    <mergeCell ref="J23:K23"/>
    <mergeCell ref="G24:H24"/>
    <mergeCell ref="J24:K24"/>
    <mergeCell ref="G25:H25"/>
    <mergeCell ref="G27:H27"/>
    <mergeCell ref="J27:K27"/>
    <mergeCell ref="G28:H28"/>
    <mergeCell ref="J28:K28"/>
    <mergeCell ref="G29:H29"/>
    <mergeCell ref="J29:K29"/>
    <mergeCell ref="G30:H30"/>
    <mergeCell ref="J30:K30"/>
    <mergeCell ref="G31:H31"/>
    <mergeCell ref="J31:K31"/>
    <mergeCell ref="G32:H32"/>
    <mergeCell ref="J32:K32"/>
    <mergeCell ref="J38:K38"/>
    <mergeCell ref="G33:H33"/>
    <mergeCell ref="J33:K33"/>
    <mergeCell ref="G34:H34"/>
    <mergeCell ref="J34:K34"/>
    <mergeCell ref="G35:H35"/>
    <mergeCell ref="J35:K35"/>
    <mergeCell ref="A2:K2"/>
    <mergeCell ref="A5:F5"/>
    <mergeCell ref="G39:H39"/>
    <mergeCell ref="J39:K39"/>
    <mergeCell ref="O6:O9"/>
    <mergeCell ref="L2:M2"/>
    <mergeCell ref="N2:P2"/>
    <mergeCell ref="G7:I7"/>
    <mergeCell ref="G8:I8"/>
    <mergeCell ref="J7:L7"/>
    <mergeCell ref="J8:L8"/>
    <mergeCell ref="G36:H36"/>
    <mergeCell ref="J36:K36"/>
    <mergeCell ref="G37:H37"/>
    <mergeCell ref="J37:K37"/>
    <mergeCell ref="G38:H38"/>
  </mergeCells>
  <pageMargins left="0.39370078740157483" right="0.35433070866141736" top="1.1417322834645669" bottom="0.39370078740157483" header="0.31496062992125984" footer="0.31496062992125984"/>
  <pageSetup paperSize="9" scale="75" orientation="landscape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L25"/>
  <sheetViews>
    <sheetView showGridLines="0" showRowColHeaders="0" showRuler="0" showWhiteSpace="0" view="pageLayout" zoomScaleNormal="100" zoomScaleSheetLayoutView="100" workbookViewId="0">
      <selection activeCell="K6" sqref="K6:K10"/>
    </sheetView>
  </sheetViews>
  <sheetFormatPr defaultColWidth="9.140625" defaultRowHeight="15"/>
  <cols>
    <col min="1" max="1" width="31.140625" customWidth="1"/>
    <col min="2" max="5" width="7.5703125" customWidth="1"/>
    <col min="10" max="10" width="10.5703125" customWidth="1"/>
    <col min="11" max="11" width="12.5703125" customWidth="1"/>
    <col min="12" max="12" width="13.5703125" customWidth="1"/>
    <col min="13" max="68" width="3.42578125" customWidth="1"/>
  </cols>
  <sheetData>
    <row r="1" spans="1:12" ht="18.75" thickBot="1">
      <c r="A1" s="348" t="s">
        <v>28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</row>
    <row r="2" spans="1:12" ht="15" customHeight="1" thickBot="1">
      <c r="A2" s="20" t="s">
        <v>0</v>
      </c>
      <c r="B2" s="307" t="str">
        <f ca="1">MENU!BA1</f>
        <v>E.M.E.I.E.F. Fictício</v>
      </c>
      <c r="C2" s="307"/>
      <c r="D2" s="307"/>
      <c r="E2" s="307"/>
      <c r="F2" s="307"/>
      <c r="G2" s="307"/>
      <c r="H2" s="307"/>
      <c r="I2" s="307"/>
      <c r="J2" s="307"/>
      <c r="K2" s="307"/>
      <c r="L2" s="308"/>
    </row>
    <row r="3" spans="1:12" ht="15" customHeight="1" thickBot="1">
      <c r="A3" s="20" t="s">
        <v>29</v>
      </c>
      <c r="B3" s="307" t="str">
        <f ca="1">MENU!BA5</f>
        <v>Fictício Sobrenome</v>
      </c>
      <c r="C3" s="307"/>
      <c r="D3" s="307"/>
      <c r="E3" s="307"/>
      <c r="F3" s="307"/>
      <c r="G3" s="307"/>
      <c r="H3" s="307"/>
      <c r="I3" s="307"/>
      <c r="J3" s="307"/>
      <c r="K3" s="307"/>
      <c r="L3" s="308"/>
    </row>
    <row r="4" spans="1:12" ht="15" customHeight="1" thickBot="1">
      <c r="A4" s="20" t="s">
        <v>1</v>
      </c>
      <c r="B4" s="307" t="str">
        <f ca="1">MENU!BA4</f>
        <v>Fulano Sobrenome</v>
      </c>
      <c r="C4" s="307"/>
      <c r="D4" s="307"/>
      <c r="E4" s="307"/>
      <c r="F4" s="307"/>
      <c r="G4" s="307"/>
      <c r="H4" s="307"/>
      <c r="I4" s="307"/>
      <c r="J4" s="308"/>
      <c r="K4" s="20" t="s">
        <v>23</v>
      </c>
      <c r="L4" s="4">
        <f ca="1">MENU!BA6</f>
        <v>2022</v>
      </c>
    </row>
    <row r="5" spans="1:12" ht="15" customHeight="1" thickBot="1">
      <c r="A5" s="20" t="s">
        <v>2</v>
      </c>
      <c r="B5" s="307">
        <f ca="1">MENU!BA6</f>
        <v>2022</v>
      </c>
      <c r="C5" s="307"/>
      <c r="D5" s="307"/>
      <c r="E5" s="308"/>
      <c r="F5" s="21" t="s">
        <v>3</v>
      </c>
      <c r="G5" s="307" t="str">
        <f ca="1">MENU!BA2</f>
        <v>1 ANO - A ao 5 Ano Fundamental</v>
      </c>
      <c r="H5" s="307"/>
      <c r="I5" s="307"/>
      <c r="J5" s="308"/>
      <c r="K5" s="20" t="s">
        <v>4</v>
      </c>
      <c r="L5" s="4" t="str">
        <f ca="1">MENU!BA3</f>
        <v>Intermediario</v>
      </c>
    </row>
    <row r="6" spans="1:12" ht="15" customHeight="1">
      <c r="A6" s="350" t="s">
        <v>30</v>
      </c>
      <c r="B6" s="248" t="s">
        <v>7</v>
      </c>
      <c r="C6" s="249"/>
      <c r="D6" s="249"/>
      <c r="E6" s="250"/>
      <c r="F6" s="248" t="s">
        <v>8</v>
      </c>
      <c r="G6" s="249"/>
      <c r="H6" s="249"/>
      <c r="I6" s="250"/>
      <c r="J6" s="332" t="s">
        <v>9</v>
      </c>
      <c r="K6" s="332" t="s">
        <v>10</v>
      </c>
      <c r="L6" s="332" t="s">
        <v>24</v>
      </c>
    </row>
    <row r="7" spans="1:12" ht="15" customHeight="1" thickBot="1">
      <c r="A7" s="351"/>
      <c r="B7" s="286"/>
      <c r="C7" s="287"/>
      <c r="D7" s="287"/>
      <c r="E7" s="349"/>
      <c r="F7" s="251"/>
      <c r="G7" s="252"/>
      <c r="H7" s="252"/>
      <c r="I7" s="253"/>
      <c r="J7" s="333"/>
      <c r="K7" s="333"/>
      <c r="L7" s="333"/>
    </row>
    <row r="8" spans="1:12" ht="15" customHeight="1">
      <c r="A8" s="351"/>
      <c r="B8" s="286"/>
      <c r="C8" s="287"/>
      <c r="D8" s="287"/>
      <c r="E8" s="349"/>
      <c r="F8" s="254" t="s">
        <v>12</v>
      </c>
      <c r="G8" s="255"/>
      <c r="H8" s="254" t="s">
        <v>14</v>
      </c>
      <c r="I8" s="255"/>
      <c r="J8" s="333"/>
      <c r="K8" s="333"/>
      <c r="L8" s="333"/>
    </row>
    <row r="9" spans="1:12" ht="15" customHeight="1" thickBot="1">
      <c r="A9" s="351"/>
      <c r="B9" s="251"/>
      <c r="C9" s="252"/>
      <c r="D9" s="252"/>
      <c r="E9" s="253"/>
      <c r="F9" s="230" t="s">
        <v>13</v>
      </c>
      <c r="G9" s="229"/>
      <c r="H9" s="230" t="s">
        <v>15</v>
      </c>
      <c r="I9" s="229"/>
      <c r="J9" s="333"/>
      <c r="K9" s="333"/>
      <c r="L9" s="333"/>
    </row>
    <row r="10" spans="1:12" ht="15" customHeight="1" thickBot="1">
      <c r="A10" s="352"/>
      <c r="B10" s="18" t="s">
        <v>16</v>
      </c>
      <c r="C10" s="18" t="s">
        <v>17</v>
      </c>
      <c r="D10" s="18" t="s">
        <v>18</v>
      </c>
      <c r="E10" s="18" t="s">
        <v>19</v>
      </c>
      <c r="F10" s="19" t="s">
        <v>20</v>
      </c>
      <c r="G10" s="19" t="s">
        <v>21</v>
      </c>
      <c r="H10" s="19" t="s">
        <v>20</v>
      </c>
      <c r="I10" s="19" t="s">
        <v>21</v>
      </c>
      <c r="J10" s="333"/>
      <c r="K10" s="333"/>
      <c r="L10" s="333"/>
    </row>
    <row r="11" spans="1:12" ht="15" customHeight="1" thickBot="1">
      <c r="A11" s="22" t="s">
        <v>31</v>
      </c>
      <c r="B11" s="23" t="str">
        <f ca="1">INDIRECT("MENU!C"&amp;MENU!$C$6)</f>
        <v>R</v>
      </c>
      <c r="C11" s="23" t="str">
        <f ca="1">INDIRECT("MENU!D"&amp;MENU!$C$6)</f>
        <v>R</v>
      </c>
      <c r="D11" s="23" t="str">
        <f ca="1">INDIRECT("MENU!E"&amp;MENU!$C$6)</f>
        <v>E</v>
      </c>
      <c r="E11" s="23" t="str">
        <f ca="1">INDIRECT("MENU!F"&amp;MENU!$C$6)</f>
        <v>E</v>
      </c>
      <c r="F11" s="24">
        <f ca="1">INDIRECT(CONCATENATE("MENU!$AQ$",MENU!$C$6))</f>
        <v>44</v>
      </c>
      <c r="G11" s="24">
        <f ca="1">INDIRECT(CONCATENATE("MENU!$AR$",MENU!$C$6))</f>
        <v>18</v>
      </c>
      <c r="H11" s="24">
        <f ca="1">INDIRECT(CONCATENATE("MENU!$AS$",MENU!$C$6))</f>
        <v>49</v>
      </c>
      <c r="I11" s="24">
        <f ca="1">INDIRECT(CONCATENATE("MENU!$AT$",MENU!$C$6))</f>
        <v>14</v>
      </c>
      <c r="J11" s="24" t="str">
        <f ca="1">INDIRECT("MENU!G"&amp;MENU!$C$6)</f>
        <v>B</v>
      </c>
      <c r="K11" s="24">
        <f ca="1">IF(AND(F11="****",H11="****"),"****",IF(AND(F11&lt;&gt;"****",H11&lt;&gt;"****"),F11+H11,IF(F11&lt;&gt;"****",F11,IF(H11&lt;&gt;"****",H11,"****"))))</f>
        <v>93</v>
      </c>
      <c r="L11" s="144">
        <f ca="1">IF(K11="****","",IF(F11="","",((K11*100)/IF(F11="****",H11+I11,SUM(F11:I11)))))</f>
        <v>74.400000000000006</v>
      </c>
    </row>
    <row r="12" spans="1:12" ht="15" customHeight="1" thickBot="1">
      <c r="A12" s="25" t="s">
        <v>32</v>
      </c>
      <c r="B12" s="26" t="str">
        <f ca="1">INDIRECT("MENU!H"&amp;MENU!$C$6)</f>
        <v>EC</v>
      </c>
      <c r="C12" s="26" t="str">
        <f ca="1">INDIRECT("MENU!I"&amp;MENU!$C$6)</f>
        <v>B</v>
      </c>
      <c r="D12" s="26" t="str">
        <f ca="1">INDIRECT("MENU!J"&amp;MENU!$C$6)</f>
        <v>B</v>
      </c>
      <c r="E12" s="26" t="str">
        <f ca="1">INDIRECT("MENU!K"&amp;MENU!$C$6)</f>
        <v>E</v>
      </c>
      <c r="F12" s="24">
        <f ca="1">INDIRECT(CONCATENATE("MENU!$AQ$",MENU!$C$6))</f>
        <v>44</v>
      </c>
      <c r="G12" s="24">
        <f ca="1">INDIRECT(CONCATENATE("MENU!$AR$",MENU!$C$6))</f>
        <v>18</v>
      </c>
      <c r="H12" s="24">
        <f ca="1">INDIRECT(CONCATENATE("MENU!$AS$",MENU!$C$6))</f>
        <v>49</v>
      </c>
      <c r="I12" s="24">
        <f ca="1">INDIRECT(CONCATENATE("MENU!$AT$",MENU!$C$6))</f>
        <v>14</v>
      </c>
      <c r="J12" s="24" t="str">
        <f ca="1">INDIRECT("MENU!L"&amp;MENU!$C$6)</f>
        <v>B</v>
      </c>
      <c r="K12" s="24">
        <f t="shared" ref="K12:K18" ca="1" si="0">IF(AND(F12="****",H12="****"),"****",IF(AND(F12&lt;&gt;"****",H12&lt;&gt;"****"),F12+H12,IF(F12&lt;&gt;"****",F12,IF(H12&lt;&gt;"****",H12,"****"))))</f>
        <v>93</v>
      </c>
      <c r="L12" s="144">
        <f t="shared" ref="L12:L18" ca="1" si="1">IF(K12="****","",IF(F12="","",((K12*100)/IF(F12="****",H12+I12,SUM(F12:I12)))))</f>
        <v>74.400000000000006</v>
      </c>
    </row>
    <row r="13" spans="1:12" ht="15" customHeight="1" thickBot="1">
      <c r="A13" s="25" t="s">
        <v>33</v>
      </c>
      <c r="B13" s="26" t="str">
        <f ca="1">INDIRECT("MENU!M"&amp;MENU!$C$6)</f>
        <v>E</v>
      </c>
      <c r="C13" s="26" t="str">
        <f ca="1">INDIRECT("MENU!N"&amp;MENU!$C$6)</f>
        <v>EC</v>
      </c>
      <c r="D13" s="26" t="str">
        <f ca="1">INDIRECT("MENU!O"&amp;MENU!$C$6)</f>
        <v>EC</v>
      </c>
      <c r="E13" s="26" t="str">
        <f ca="1">INDIRECT("MENU!P"&amp;MENU!$C$6)</f>
        <v>EC</v>
      </c>
      <c r="F13" s="24">
        <f ca="1">INDIRECT(CONCATENATE("MENU!$AQ$",MENU!$C$6))</f>
        <v>44</v>
      </c>
      <c r="G13" s="24">
        <f ca="1">INDIRECT(CONCATENATE("MENU!$AR$",MENU!$C$6))</f>
        <v>18</v>
      </c>
      <c r="H13" s="24">
        <f ca="1">INDIRECT(CONCATENATE("MENU!$AS$",MENU!$C$6))</f>
        <v>49</v>
      </c>
      <c r="I13" s="24">
        <f ca="1">INDIRECT(CONCATENATE("MENU!$AT$",MENU!$C$6))</f>
        <v>14</v>
      </c>
      <c r="J13" s="24" t="str">
        <f ca="1">INDIRECT("MENU!Q"&amp;MENU!$C$6)</f>
        <v>R</v>
      </c>
      <c r="K13" s="24">
        <f t="shared" ca="1" si="0"/>
        <v>93</v>
      </c>
      <c r="L13" s="144">
        <f t="shared" ca="1" si="1"/>
        <v>74.400000000000006</v>
      </c>
    </row>
    <row r="14" spans="1:12" ht="15" customHeight="1" thickBot="1">
      <c r="A14" s="25" t="s">
        <v>34</v>
      </c>
      <c r="B14" s="26" t="str">
        <f ca="1">INDIRECT("MENU!R"&amp;MENU!$C$6)</f>
        <v>EC</v>
      </c>
      <c r="C14" s="26" t="str">
        <f ca="1">INDIRECT("MENU!S"&amp;MENU!$C$6)</f>
        <v>EC</v>
      </c>
      <c r="D14" s="26" t="str">
        <f ca="1">INDIRECT("MENU!T"&amp;MENU!$C$6)</f>
        <v>EC</v>
      </c>
      <c r="E14" s="26" t="str">
        <f ca="1">INDIRECT("MENU!U"&amp;MENU!$C$6)</f>
        <v>EC</v>
      </c>
      <c r="F14" s="24">
        <f ca="1">INDIRECT(CONCATENATE("MENU!$AQ$",MENU!$C$6))</f>
        <v>44</v>
      </c>
      <c r="G14" s="24">
        <f ca="1">INDIRECT(CONCATENATE("MENU!$AR$",MENU!$C$6))</f>
        <v>18</v>
      </c>
      <c r="H14" s="24">
        <f ca="1">INDIRECT(CONCATENATE("MENU!$AS$",MENU!$C$6))</f>
        <v>49</v>
      </c>
      <c r="I14" s="24">
        <f ca="1">INDIRECT(CONCATENATE("MENU!$AT$",MENU!$C$6))</f>
        <v>14</v>
      </c>
      <c r="J14" s="24" t="str">
        <f ca="1">INDIRECT("MENU!V"&amp;MENU!$C$6)</f>
        <v>EC</v>
      </c>
      <c r="K14" s="24">
        <f t="shared" ca="1" si="0"/>
        <v>93</v>
      </c>
      <c r="L14" s="144">
        <f t="shared" ca="1" si="1"/>
        <v>74.400000000000006</v>
      </c>
    </row>
    <row r="15" spans="1:12" ht="15" customHeight="1" thickBot="1">
      <c r="A15" s="25" t="s">
        <v>35</v>
      </c>
      <c r="B15" s="26" t="str">
        <f ca="1">INDIRECT("MENU!W"&amp;MENU!$C$6)</f>
        <v>E</v>
      </c>
      <c r="C15" s="26" t="str">
        <f ca="1">INDIRECT("MENU!X"&amp;MENU!$C$6)</f>
        <v>E</v>
      </c>
      <c r="D15" s="26" t="str">
        <f ca="1">INDIRECT("MENU!Y"&amp;MENU!$C$6)</f>
        <v>B</v>
      </c>
      <c r="E15" s="26" t="str">
        <f ca="1">INDIRECT("MENU!Z"&amp;MENU!$C$6)</f>
        <v>R</v>
      </c>
      <c r="F15" s="24">
        <f ca="1">INDIRECT(CONCATENATE("MENU!$AQ$",MENU!$C$6))</f>
        <v>44</v>
      </c>
      <c r="G15" s="24">
        <f ca="1">INDIRECT(CONCATENATE("MENU!$AR$",MENU!$C$6))</f>
        <v>18</v>
      </c>
      <c r="H15" s="24">
        <f ca="1">INDIRECT(CONCATENATE("MENU!$AS$",MENU!$C$6))</f>
        <v>49</v>
      </c>
      <c r="I15" s="24">
        <f ca="1">INDIRECT(CONCATENATE("MENU!$AT$",MENU!$C$6))</f>
        <v>14</v>
      </c>
      <c r="J15" s="24" t="str">
        <f ca="1">INDIRECT("MENU!AA"&amp;MENU!$C$6)</f>
        <v>B</v>
      </c>
      <c r="K15" s="24">
        <f t="shared" ca="1" si="0"/>
        <v>93</v>
      </c>
      <c r="L15" s="144">
        <f t="shared" ca="1" si="1"/>
        <v>74.400000000000006</v>
      </c>
    </row>
    <row r="16" spans="1:12" ht="15" customHeight="1" thickBot="1">
      <c r="A16" s="25" t="s">
        <v>36</v>
      </c>
      <c r="B16" s="26" t="str">
        <f ca="1">INDIRECT("MENU!AB"&amp;MENU!$C$6)</f>
        <v>B</v>
      </c>
      <c r="C16" s="26" t="str">
        <f ca="1">INDIRECT("MENU!AC"&amp;MENU!$C$6)</f>
        <v>B</v>
      </c>
      <c r="D16" s="26" t="str">
        <f ca="1">INDIRECT("MENU!AD"&amp;MENU!$C$6)</f>
        <v>E</v>
      </c>
      <c r="E16" s="26" t="str">
        <f ca="1">INDIRECT("MENU!AE"&amp;MENU!$C$6)</f>
        <v>E</v>
      </c>
      <c r="F16" s="24">
        <f ca="1">INDIRECT(CONCATENATE("MENU!$AQ$",MENU!$C$6))</f>
        <v>44</v>
      </c>
      <c r="G16" s="24">
        <f ca="1">INDIRECT(CONCATENATE("MENU!$AR$",MENU!$C$6))</f>
        <v>18</v>
      </c>
      <c r="H16" s="24">
        <f ca="1">INDIRECT(CONCATENATE("MENU!$AS$",MENU!$C$6))</f>
        <v>49</v>
      </c>
      <c r="I16" s="24">
        <f ca="1">INDIRECT(CONCATENATE("MENU!$AT$",MENU!$C$6))</f>
        <v>14</v>
      </c>
      <c r="J16" s="24" t="str">
        <f ca="1">INDIRECT("MENU!AF"&amp;MENU!$C$6)</f>
        <v>B</v>
      </c>
      <c r="K16" s="24">
        <f t="shared" ca="1" si="0"/>
        <v>93</v>
      </c>
      <c r="L16" s="144">
        <f t="shared" ca="1" si="1"/>
        <v>74.400000000000006</v>
      </c>
    </row>
    <row r="17" spans="1:12" ht="15" customHeight="1" thickBot="1">
      <c r="A17" s="25" t="s">
        <v>37</v>
      </c>
      <c r="B17" s="26" t="str">
        <f ca="1">INDIRECT("MENU!AG"&amp;MENU!$C$6)</f>
        <v>EC</v>
      </c>
      <c r="C17" s="26" t="str">
        <f ca="1">INDIRECT("MENU!AH"&amp;MENU!$C$6)</f>
        <v>EC</v>
      </c>
      <c r="D17" s="26" t="str">
        <f ca="1">INDIRECT("MENU!AI"&amp;MENU!$C$6)</f>
        <v>EC</v>
      </c>
      <c r="E17" s="26" t="str">
        <f ca="1">INDIRECT("MENU!AJ"&amp;MENU!$C$6)</f>
        <v>EC</v>
      </c>
      <c r="F17" s="24">
        <f ca="1">INDIRECT(CONCATENATE("MENU!$AQ$",MENU!$C$6))</f>
        <v>44</v>
      </c>
      <c r="G17" s="24">
        <f ca="1">INDIRECT(CONCATENATE("MENU!$AR$",MENU!$C$6))</f>
        <v>18</v>
      </c>
      <c r="H17" s="24">
        <f ca="1">INDIRECT(CONCATENATE("MENU!$AS$",MENU!$C$6))</f>
        <v>49</v>
      </c>
      <c r="I17" s="24">
        <f ca="1">INDIRECT(CONCATENATE("MENU!$AT$",MENU!$C$6))</f>
        <v>14</v>
      </c>
      <c r="J17" s="24" t="str">
        <f ca="1">INDIRECT("MENU!AK"&amp;MENU!$C$6)</f>
        <v>EC</v>
      </c>
      <c r="K17" s="24">
        <f t="shared" ca="1" si="0"/>
        <v>93</v>
      </c>
      <c r="L17" s="144">
        <f t="shared" ca="1" si="1"/>
        <v>74.400000000000006</v>
      </c>
    </row>
    <row r="18" spans="1:12" ht="15" customHeight="1" thickBot="1">
      <c r="A18" s="25" t="s">
        <v>38</v>
      </c>
      <c r="B18" s="26" t="str">
        <f ca="1">INDIRECT("MENU!AL"&amp;MENU!$C$6)</f>
        <v>E</v>
      </c>
      <c r="C18" s="26" t="str">
        <f ca="1">INDIRECT("MENU!AM"&amp;MENU!$C$6)</f>
        <v>E</v>
      </c>
      <c r="D18" s="26" t="str">
        <f ca="1">INDIRECT("MENU!AN"&amp;MENU!$C$6)</f>
        <v>E</v>
      </c>
      <c r="E18" s="26" t="str">
        <f ca="1">INDIRECT("MENU!AO"&amp;MENU!$C$6)</f>
        <v>E</v>
      </c>
      <c r="F18" s="24">
        <f ca="1">INDIRECT(CONCATENATE("MENU!$AQ$",MENU!$C$6))</f>
        <v>44</v>
      </c>
      <c r="G18" s="24">
        <f ca="1">INDIRECT(CONCATENATE("MENU!$AR$",MENU!$C$6))</f>
        <v>18</v>
      </c>
      <c r="H18" s="24">
        <f ca="1">INDIRECT(CONCATENATE("MENU!$AS$",MENU!$C$6))</f>
        <v>49</v>
      </c>
      <c r="I18" s="24">
        <f ca="1">INDIRECT(CONCATENATE("MENU!$AT$",MENU!$C$6))</f>
        <v>14</v>
      </c>
      <c r="J18" s="24" t="str">
        <f ca="1">INDIRECT("MENU!AP"&amp;MENU!$C$6)</f>
        <v>E</v>
      </c>
      <c r="K18" s="24">
        <f t="shared" ca="1" si="0"/>
        <v>93</v>
      </c>
      <c r="L18" s="144">
        <f t="shared" ca="1" si="1"/>
        <v>74.400000000000006</v>
      </c>
    </row>
    <row r="25" spans="1:12">
      <c r="J25" s="347"/>
      <c r="K25" s="347"/>
      <c r="L25" s="347"/>
    </row>
  </sheetData>
  <sheetProtection algorithmName="SHA-512" hashValue="SUofS26lDRAqvlcMarki4tj7A/Z/nNLhMHVzPz3tF6b5zwjKyb3cP8UJJVLhx3jIB2h+FNsTGHpQuE+7qfCoyA==" saltValue="ONByB5qkZdRBTRuZzVJnCQ==" spinCount="100000" sheet="1" objects="1" scenarios="1" selectLockedCells="1" selectUnlockedCells="1"/>
  <mergeCells count="17">
    <mergeCell ref="B3:L3"/>
    <mergeCell ref="J25:L25"/>
    <mergeCell ref="B5:E5"/>
    <mergeCell ref="B2:L2"/>
    <mergeCell ref="A1:L1"/>
    <mergeCell ref="G5:J5"/>
    <mergeCell ref="J6:J10"/>
    <mergeCell ref="B6:E9"/>
    <mergeCell ref="F6:I7"/>
    <mergeCell ref="F8:G8"/>
    <mergeCell ref="F9:G9"/>
    <mergeCell ref="H8:I8"/>
    <mergeCell ref="H9:I9"/>
    <mergeCell ref="K6:K10"/>
    <mergeCell ref="L6:L10"/>
    <mergeCell ref="A6:A10"/>
    <mergeCell ref="B4:J4"/>
  </mergeCells>
  <pageMargins left="0.51181102362204722" right="0.51181102362204722" top="1.2598425196850394" bottom="0.78740157480314965" header="0.31496062992125984" footer="0.31496062992125984"/>
  <pageSetup paperSize="9" orientation="landscape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K6"/>
  <sheetViews>
    <sheetView showGridLines="0" showRowColHeaders="0" view="pageBreakPreview" zoomScaleNormal="100" zoomScaleSheetLayoutView="100" workbookViewId="0">
      <selection activeCell="B3" sqref="B3"/>
    </sheetView>
  </sheetViews>
  <sheetFormatPr defaultRowHeight="15"/>
  <cols>
    <col min="1" max="1" width="50.42578125" style="3" customWidth="1"/>
    <col min="2" max="4" width="17.7109375" customWidth="1"/>
    <col min="5" max="5" width="1.7109375" customWidth="1"/>
    <col min="6" max="8" width="17.7109375" customWidth="1"/>
    <col min="10" max="10" width="9.42578125" customWidth="1"/>
    <col min="11" max="11" width="9.7109375" customWidth="1"/>
  </cols>
  <sheetData>
    <row r="1" spans="1:11" ht="102.75" customHeight="1" thickBot="1">
      <c r="A1" s="5" t="s">
        <v>98</v>
      </c>
      <c r="B1" s="353" t="s">
        <v>43</v>
      </c>
      <c r="C1" s="353"/>
      <c r="D1" s="353"/>
      <c r="E1" s="8"/>
      <c r="F1" s="353" t="s">
        <v>44</v>
      </c>
      <c r="G1" s="353"/>
      <c r="H1" s="353"/>
      <c r="J1" s="45" t="s">
        <v>59</v>
      </c>
      <c r="K1" s="46" t="s">
        <v>60</v>
      </c>
    </row>
    <row r="2" spans="1:11" ht="47.25" thickBot="1">
      <c r="A2" s="5"/>
      <c r="B2" s="9" t="s">
        <v>16</v>
      </c>
      <c r="C2" s="9" t="s">
        <v>17</v>
      </c>
      <c r="D2" s="11" t="s">
        <v>41</v>
      </c>
      <c r="E2" s="10"/>
      <c r="F2" s="9" t="s">
        <v>18</v>
      </c>
      <c r="G2" s="9" t="s">
        <v>19</v>
      </c>
      <c r="H2" s="11" t="s">
        <v>42</v>
      </c>
      <c r="J2" s="359" t="s">
        <v>71</v>
      </c>
      <c r="K2" s="360"/>
    </row>
    <row r="3" spans="1:11" ht="47.25" thickBot="1">
      <c r="A3" s="7" t="s">
        <v>40</v>
      </c>
      <c r="B3" s="50">
        <v>0</v>
      </c>
      <c r="C3" s="50">
        <v>0</v>
      </c>
      <c r="D3" s="50">
        <v>0</v>
      </c>
      <c r="E3" s="48"/>
      <c r="F3" s="50">
        <v>0</v>
      </c>
      <c r="G3" s="50">
        <v>0</v>
      </c>
      <c r="H3" s="50">
        <v>0</v>
      </c>
      <c r="I3" s="49"/>
      <c r="J3" s="356">
        <f>SUM(LARGE(B3:D3,1),LARGE(B3:D3,2),LARGE(F3:H3,1),LARGE(F3:H3,2))/4</f>
        <v>0</v>
      </c>
      <c r="K3" s="357"/>
    </row>
    <row r="4" spans="1:11" ht="68.25" thickBot="1">
      <c r="A4" s="6" t="s">
        <v>39</v>
      </c>
      <c r="B4" s="9" t="str">
        <f>IF(B3&lt;=4.5,"EC",IF(B3&lt;=6.5,"R",IF(B3&lt;=8.5,"B",IF(B3&lt;=10,"E","Error"))))</f>
        <v>EC</v>
      </c>
      <c r="C4" s="9" t="str">
        <f>IF(C3&lt;=4.5,"EC",IF(C3&lt;=6.5,"R",IF(C3&lt;=8.5,"B",IF(C3&lt;=10,"E","Error"))))</f>
        <v>EC</v>
      </c>
      <c r="D4" s="9" t="str">
        <f>IF(D3&lt;=4.5,"EC",IF(D3&lt;=6.5,"R",IF(D3&lt;=8.5,"B",IF(D3&lt;=10,"E","Error"))))</f>
        <v>EC</v>
      </c>
      <c r="E4" s="10"/>
      <c r="F4" s="9" t="str">
        <f>IF(F3&lt;=4.5,"EC",IF(F3&lt;=6.5,"R",IF(F3&lt;=8.5,"B",IF(F3&lt;=10,"E","Error"))))</f>
        <v>EC</v>
      </c>
      <c r="G4" s="9" t="str">
        <f>IF(G3&lt;=4.5,"EC",IF(G3&lt;=6.5,"R",IF(G3&lt;=8.5,"B",IF(G3&lt;=10,"E","Error"))))</f>
        <v>EC</v>
      </c>
      <c r="H4" s="9" t="str">
        <f>IF(H3&lt;=4.5,"EC",IF(H3&lt;=6.5,"R",IF(H3&lt;=8.5,"B",IF(H3&lt;=10,"E","Error"))))</f>
        <v>EC</v>
      </c>
      <c r="I4" s="12"/>
      <c r="J4" s="354" t="str">
        <f>IF(J3&lt;=4.5,"EC",IF(J3&lt;=6.5,"R",IF(J3&lt;=8.5,"B",IF(J3&lt;=10,"E","Error"))))</f>
        <v>EC</v>
      </c>
      <c r="K4" s="355"/>
    </row>
    <row r="6" spans="1:11" ht="18.75">
      <c r="A6" s="47" t="s">
        <v>69</v>
      </c>
      <c r="B6" s="358" t="s">
        <v>70</v>
      </c>
      <c r="C6" s="358"/>
      <c r="D6" s="358"/>
      <c r="E6" s="358"/>
      <c r="F6" s="358"/>
      <c r="G6" s="358"/>
      <c r="H6" s="358"/>
    </row>
  </sheetData>
  <sheetProtection algorithmName="SHA-512" hashValue="4dzt3LNDqm0EC6XcFqbF9rBOL3PZeFPq007wMqA/FqwJ8RS1YhEAWiXfGXkir5YyFFeHXHtEjuwDMn5npGR3Yg==" saltValue="jyRtKwqJLmKQhv+M1i9kQw==" spinCount="100000" sheet="1" objects="1" scenarios="1" selectLockedCells="1"/>
  <mergeCells count="6">
    <mergeCell ref="F1:H1"/>
    <mergeCell ref="B1:D1"/>
    <mergeCell ref="J4:K4"/>
    <mergeCell ref="J3:K3"/>
    <mergeCell ref="B6:H6"/>
    <mergeCell ref="J2:K2"/>
  </mergeCells>
  <pageMargins left="0.511811024" right="0.511811024" top="0.78740157499999996" bottom="0.78740157499999996" header="0.31496062000000002" footer="0.31496062000000002"/>
  <pageSetup paperSize="9" scale="4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"/>
  <dimension ref="A1:H8"/>
  <sheetViews>
    <sheetView showGridLines="0" showRowColHeaders="0" view="pageBreakPreview" zoomScale="290" zoomScaleNormal="280" zoomScaleSheetLayoutView="290" zoomScalePageLayoutView="240" workbookViewId="0">
      <selection activeCell="A7" sqref="A7:F7"/>
    </sheetView>
  </sheetViews>
  <sheetFormatPr defaultRowHeight="15"/>
  <cols>
    <col min="1" max="1" width="4.42578125" bestFit="1" customWidth="1"/>
    <col min="2" max="3" width="5.140625" bestFit="1" customWidth="1"/>
    <col min="4" max="4" width="5.140625" customWidth="1"/>
    <col min="5" max="5" width="4.7109375" bestFit="1" customWidth="1"/>
    <col min="6" max="6" width="16.5703125" bestFit="1" customWidth="1"/>
  </cols>
  <sheetData>
    <row r="1" spans="1:8" ht="15.75" thickBot="1">
      <c r="A1" s="361" t="s">
        <v>82</v>
      </c>
      <c r="B1" s="362"/>
      <c r="C1" s="362"/>
      <c r="D1" s="362"/>
      <c r="E1" s="362"/>
      <c r="F1" s="362"/>
      <c r="G1" s="364" t="s">
        <v>99</v>
      </c>
      <c r="H1" s="365"/>
    </row>
    <row r="2" spans="1:8" ht="15.75" thickBot="1">
      <c r="A2" s="361" t="s">
        <v>83</v>
      </c>
      <c r="B2" s="362"/>
      <c r="C2" s="362"/>
      <c r="D2" s="363"/>
      <c r="E2" s="361" t="s">
        <v>84</v>
      </c>
      <c r="F2" s="362"/>
      <c r="G2" s="366"/>
      <c r="H2" s="367"/>
    </row>
    <row r="3" spans="1:8" ht="15.75" thickBot="1">
      <c r="A3" s="145" t="s">
        <v>92</v>
      </c>
      <c r="B3" s="146">
        <v>0</v>
      </c>
      <c r="C3" s="146" t="s">
        <v>85</v>
      </c>
      <c r="D3" s="147">
        <v>4.5</v>
      </c>
      <c r="E3" s="148" t="s">
        <v>86</v>
      </c>
      <c r="F3" s="149" t="s">
        <v>93</v>
      </c>
      <c r="G3" s="366"/>
      <c r="H3" s="367"/>
    </row>
    <row r="4" spans="1:8" ht="15.75" thickBot="1">
      <c r="A4" s="150" t="s">
        <v>92</v>
      </c>
      <c r="B4" s="151">
        <f>D3+0.1</f>
        <v>4.5999999999999996</v>
      </c>
      <c r="C4" s="151" t="str">
        <f>C3</f>
        <v>Ate</v>
      </c>
      <c r="D4" s="152">
        <f>D3+2</f>
        <v>6.5</v>
      </c>
      <c r="E4" s="153" t="s">
        <v>58</v>
      </c>
      <c r="F4" s="154" t="s">
        <v>89</v>
      </c>
      <c r="G4" s="366"/>
      <c r="H4" s="367"/>
    </row>
    <row r="5" spans="1:8" ht="15.75" thickBot="1">
      <c r="A5" s="150" t="s">
        <v>92</v>
      </c>
      <c r="B5" s="151">
        <f t="shared" ref="B5:B6" si="0">D4+0.1</f>
        <v>6.6</v>
      </c>
      <c r="C5" s="151" t="str">
        <f t="shared" ref="C5:C6" si="1">C4</f>
        <v>Ate</v>
      </c>
      <c r="D5" s="152">
        <f t="shared" ref="D5" si="2">D4+2</f>
        <v>8.5</v>
      </c>
      <c r="E5" s="153" t="s">
        <v>87</v>
      </c>
      <c r="F5" s="154" t="s">
        <v>90</v>
      </c>
      <c r="G5" s="366"/>
      <c r="H5" s="367"/>
    </row>
    <row r="6" spans="1:8" ht="15.75" thickBot="1">
      <c r="A6" s="150" t="s">
        <v>92</v>
      </c>
      <c r="B6" s="151">
        <f t="shared" si="0"/>
        <v>8.6</v>
      </c>
      <c r="C6" s="151" t="str">
        <f t="shared" si="1"/>
        <v>Ate</v>
      </c>
      <c r="D6" s="152">
        <v>10</v>
      </c>
      <c r="E6" s="153" t="s">
        <v>88</v>
      </c>
      <c r="F6" s="154" t="s">
        <v>91</v>
      </c>
      <c r="G6" s="366"/>
      <c r="H6" s="367"/>
    </row>
    <row r="7" spans="1:8" ht="15.75" thickBot="1">
      <c r="A7" s="370" t="s">
        <v>102</v>
      </c>
      <c r="B7" s="371"/>
      <c r="C7" s="371"/>
      <c r="D7" s="371"/>
      <c r="E7" s="371"/>
      <c r="F7" s="372"/>
      <c r="G7" s="368"/>
      <c r="H7" s="369"/>
    </row>
    <row r="8" spans="1:8">
      <c r="A8" s="347"/>
      <c r="B8" s="347"/>
      <c r="C8" s="347"/>
      <c r="D8" s="347"/>
      <c r="E8" s="347"/>
      <c r="F8" s="347"/>
      <c r="G8" s="347"/>
      <c r="H8" s="347"/>
    </row>
  </sheetData>
  <sheetProtection algorithmName="SHA-512" hashValue="86Yln8Fb2alPEUbA00/DWHr8WsUA6/SvNFOH0gKKAWTZfhjza+D+gnymeLfOxQHepPyftgIJaVld2ZcXumai9Q==" saltValue="9IQrw2U0IVLqkBW19cebtA==" spinCount="100000" sheet="1" objects="1" scenarios="1" selectLockedCells="1" selectUnlockedCells="1"/>
  <mergeCells count="6">
    <mergeCell ref="A8:H8"/>
    <mergeCell ref="A2:D2"/>
    <mergeCell ref="E2:F2"/>
    <mergeCell ref="A1:F1"/>
    <mergeCell ref="G1:H7"/>
    <mergeCell ref="A7:F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</vt:i4>
      </vt:variant>
    </vt:vector>
  </HeadingPairs>
  <TitlesOfParts>
    <vt:vector size="11" baseType="lpstr">
      <vt:lpstr>MENU</vt:lpstr>
      <vt:lpstr>NOTAS</vt:lpstr>
      <vt:lpstr>PRESENCA</vt:lpstr>
      <vt:lpstr>MAPADERENDIMENTO</vt:lpstr>
      <vt:lpstr>FICHAINDIVIDUAL</vt:lpstr>
      <vt:lpstr>Conversor</vt:lpstr>
      <vt:lpstr>Tabela</vt:lpstr>
      <vt:lpstr>MENU!Area_de_impressao</vt:lpstr>
      <vt:lpstr>NOTAS!Area_de_impressao</vt:lpstr>
      <vt:lpstr>PRESENCA!Area_de_impressao</vt:lpstr>
      <vt:lpstr>MAPADERENDIMENTO!Titulos_de_impressao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2022-11-06T14:32:53Z</dcterms:modified>
</cp:coreProperties>
</file>