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tables/table4.xml" ContentType="application/vnd.openxmlformats-officedocument.spreadsheetml.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tables/table5.xml" ContentType="application/vnd.openxmlformats-officedocument.spreadsheetml.table+xml"/>
  <Override PartName="/xl/drawings/drawing10.xml" ContentType="application/vnd.openxmlformats-officedocument.drawing+xml"/>
  <Override PartName="/xl/tables/table6.xml" ContentType="application/vnd.openxmlformats-officedocument.spreadsheetml.tab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tables/table7.xml" ContentType="application/vnd.openxmlformats-officedocument.spreadsheetml.table+xml"/>
  <Override PartName="/xl/drawings/drawing13.xml" ContentType="application/vnd.openxmlformats-officedocument.drawing+xml"/>
  <Override PartName="/xl/tables/table8.xml" ContentType="application/vnd.openxmlformats-officedocument.spreadsheetml.table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tables/table9.xml" ContentType="application/vnd.openxmlformats-officedocument.spreadsheetml.table+xml"/>
  <Override PartName="/xl/drawings/drawing16.xml" ContentType="application/vnd.openxmlformats-officedocument.drawing+xml"/>
  <Override PartName="/xl/tables/table10.xml" ContentType="application/vnd.openxmlformats-officedocument.spreadsheetml.tab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tables/table11.xml" ContentType="application/vnd.openxmlformats-officedocument.spreadsheetml.table+xml"/>
  <Override PartName="/xl/drawings/drawing19.xml" ContentType="application/vnd.openxmlformats-officedocument.drawing+xml"/>
  <Override PartName="/xl/tables/table12.xml" ContentType="application/vnd.openxmlformats-officedocument.spreadsheetml.table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tables/table13.xml" ContentType="application/vnd.openxmlformats-officedocument.spreadsheetml.table+xml"/>
  <Override PartName="/xl/drawings/drawing22.xml" ContentType="application/vnd.openxmlformats-officedocument.drawing+xml"/>
  <Override PartName="/xl/tables/table14.xml" ContentType="application/vnd.openxmlformats-officedocument.spreadsheetml.table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tables/table15.xml" ContentType="application/vnd.openxmlformats-officedocument.spreadsheetml.table+xml"/>
  <Override PartName="/xl/drawings/drawing25.xml" ContentType="application/vnd.openxmlformats-officedocument.drawing+xml"/>
  <Override PartName="/xl/tables/table16.xml" ContentType="application/vnd.openxmlformats-officedocument.spreadsheetml.table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tables/table17.xml" ContentType="application/vnd.openxmlformats-officedocument.spreadsheetml.table+xml"/>
  <Override PartName="/xl/drawings/drawing28.xml" ContentType="application/vnd.openxmlformats-officedocument.drawing+xml"/>
  <Override PartName="/xl/tables/table18.xml" ContentType="application/vnd.openxmlformats-officedocument.spreadsheetml.table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tables/table19.xml" ContentType="application/vnd.openxmlformats-officedocument.spreadsheetml.table+xml"/>
  <Override PartName="/xl/drawings/drawing31.xml" ContentType="application/vnd.openxmlformats-officedocument.drawing+xml"/>
  <Override PartName="/xl/tables/table20.xml" ContentType="application/vnd.openxmlformats-officedocument.spreadsheetml.table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tables/table21.xml" ContentType="application/vnd.openxmlformats-officedocument.spreadsheetml.table+xml"/>
  <Override PartName="/xl/drawings/drawing34.xml" ContentType="application/vnd.openxmlformats-officedocument.drawing+xml"/>
  <Override PartName="/xl/tables/table22.xml" ContentType="application/vnd.openxmlformats-officedocument.spreadsheetml.table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tables/table23.xml" ContentType="application/vnd.openxmlformats-officedocument.spreadsheetml.table+xml"/>
  <Override PartName="/xl/drawings/drawing37.xml" ContentType="application/vnd.openxmlformats-officedocument.drawing+xml"/>
  <Override PartName="/xl/tables/table24.xml" ContentType="application/vnd.openxmlformats-officedocument.spreadsheetml.table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tables/table25.xml" ContentType="application/vnd.openxmlformats-officedocument.spreadsheetml.table+xml"/>
  <Override PartName="/xl/drawings/drawing40.xml" ContentType="application/vnd.openxmlformats-officedocument.drawing+xml"/>
  <Override PartName="/xl/tables/table26.xml" ContentType="application/vnd.openxmlformats-officedocument.spreadsheetml.table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tables/table27.xml" ContentType="application/vnd.openxmlformats-officedocument.spreadsheetml.table+xml"/>
  <Override PartName="/xl/drawings/drawing43.xml" ContentType="application/vnd.openxmlformats-officedocument.drawing+xml"/>
  <Override PartName="/xl/tables/table28.xml" ContentType="application/vnd.openxmlformats-officedocument.spreadsheetml.table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028" codeName="{AE6600E7-7A62-396C-DE95-9942FA9DD81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Admin\Documents\ESCOLA\"/>
    </mc:Choice>
  </mc:AlternateContent>
  <xr:revisionPtr revIDLastSave="0" documentId="13_ncr:1_{00E66B56-5EDF-403F-AAFC-D085B90B01B7}" xr6:coauthVersionLast="47" xr6:coauthVersionMax="47" xr10:uidLastSave="{00000000-0000-0000-0000-000000000000}"/>
  <bookViews>
    <workbookView showSheetTabs="0" xWindow="-120" yWindow="-120" windowWidth="20730" windowHeight="11040" tabRatio="845" activeTab="43" xr2:uid="{00000000-000D-0000-FFFF-FFFF00000000}"/>
  </bookViews>
  <sheets>
    <sheet name="MENU" sheetId="16" r:id="rId1"/>
    <sheet name="1P-A-Turma" sheetId="19" r:id="rId2"/>
    <sheet name="1P-A" sheetId="1" r:id="rId3"/>
    <sheet name="Presença1P-A" sheetId="17" r:id="rId4"/>
    <sheet name="1P-B-Turma" sheetId="20" r:id="rId5"/>
    <sheet name="1P-B" sheetId="21" r:id="rId6"/>
    <sheet name="Presença1P-B" sheetId="22" r:id="rId7"/>
    <sheet name="2P-A-Turma" sheetId="23" r:id="rId8"/>
    <sheet name="2P-A" sheetId="24" r:id="rId9"/>
    <sheet name="Presença2P-A" sheetId="25" r:id="rId10"/>
    <sheet name="2P-B-Turma" sheetId="26" r:id="rId11"/>
    <sheet name="2P-B" sheetId="27" r:id="rId12"/>
    <sheet name="Presença2P-B" sheetId="28" r:id="rId13"/>
    <sheet name="1A-A-Turma" sheetId="29" r:id="rId14"/>
    <sheet name="1A-A" sheetId="30" r:id="rId15"/>
    <sheet name="Presença1A-A" sheetId="31" r:id="rId16"/>
    <sheet name="1A-B-Turma" sheetId="32" r:id="rId17"/>
    <sheet name="1A-B" sheetId="33" r:id="rId18"/>
    <sheet name="Presença1A-B" sheetId="34" r:id="rId19"/>
    <sheet name="2A-A-Turma" sheetId="35" r:id="rId20"/>
    <sheet name="2A-A" sheetId="36" r:id="rId21"/>
    <sheet name="Presença2A-A" sheetId="37" r:id="rId22"/>
    <sheet name="2A-B-Turma" sheetId="38" r:id="rId23"/>
    <sheet name="2A-B" sheetId="39" r:id="rId24"/>
    <sheet name="Presença2A-B" sheetId="40" r:id="rId25"/>
    <sheet name="3A-A-Turma" sheetId="41" r:id="rId26"/>
    <sheet name="3A-A" sheetId="42" r:id="rId27"/>
    <sheet name="Presença3A-A" sheetId="43" r:id="rId28"/>
    <sheet name="3A-B-Turma" sheetId="44" r:id="rId29"/>
    <sheet name="3A-B" sheetId="45" r:id="rId30"/>
    <sheet name="Presença3A-B" sheetId="46" r:id="rId31"/>
    <sheet name="4A-A-Turma" sheetId="47" r:id="rId32"/>
    <sheet name="4A-A" sheetId="48" r:id="rId33"/>
    <sheet name="Presença4A-A" sheetId="49" r:id="rId34"/>
    <sheet name="4A-B-Turma" sheetId="50" r:id="rId35"/>
    <sheet name="4A-B" sheetId="51" r:id="rId36"/>
    <sheet name="Presença4A-B" sheetId="52" r:id="rId37"/>
    <sheet name="5A-A-Turma" sheetId="53" r:id="rId38"/>
    <sheet name="5A-A" sheetId="54" r:id="rId39"/>
    <sheet name="Presença5A-A" sheetId="55" r:id="rId40"/>
    <sheet name="5A-B-Turma" sheetId="56" r:id="rId41"/>
    <sheet name="5A-B" sheetId="57" r:id="rId42"/>
    <sheet name="Presença5A-B" sheetId="58" r:id="rId43"/>
    <sheet name="TOTAL" sheetId="14" r:id="rId44"/>
    <sheet name="PERCENTAGEM" sheetId="15" r:id="rId45"/>
  </sheets>
  <definedNames>
    <definedName name="_xlnm.Print_Area" localSheetId="14">'1A-A'!$A$2:$K$27</definedName>
    <definedName name="_xlnm.Print_Area" localSheetId="13">'1A-A-Turma'!$A$1:$K$48</definedName>
    <definedName name="_xlnm.Print_Area" localSheetId="17">'1A-B'!$A$2:$K$27</definedName>
    <definedName name="_xlnm.Print_Area" localSheetId="16">'1A-B-Turma'!$A$1:$K$48</definedName>
    <definedName name="_xlnm.Print_Area" localSheetId="2">'1P-A'!$A$2:$K$27</definedName>
    <definedName name="_xlnm.Print_Area" localSheetId="1">'1P-A-Turma'!$A$1:$K$48</definedName>
    <definedName name="_xlnm.Print_Area" localSheetId="5">'1P-B'!$A$2:$K$27</definedName>
    <definedName name="_xlnm.Print_Area" localSheetId="4">'1P-B-Turma'!$A$1:$K$48</definedName>
    <definedName name="_xlnm.Print_Area" localSheetId="20">'2A-A'!$A$2:$K$27</definedName>
    <definedName name="_xlnm.Print_Area" localSheetId="19">'2A-A-Turma'!$A$1:$K$48</definedName>
    <definedName name="_xlnm.Print_Area" localSheetId="23">'2A-B'!$A$2:$K$27</definedName>
    <definedName name="_xlnm.Print_Area" localSheetId="22">'2A-B-Turma'!$A$1:$K$48</definedName>
    <definedName name="_xlnm.Print_Area" localSheetId="8">'2P-A'!$A$2:$K$27</definedName>
    <definedName name="_xlnm.Print_Area" localSheetId="7">'2P-A-Turma'!$A$1:$K$48</definedName>
    <definedName name="_xlnm.Print_Area" localSheetId="11">'2P-B'!$A$2:$K$27</definedName>
    <definedName name="_xlnm.Print_Area" localSheetId="10">'2P-B-Turma'!$A$1:$K$48</definedName>
    <definedName name="_xlnm.Print_Area" localSheetId="26">'3A-A'!$A$2:$K$27</definedName>
    <definedName name="_xlnm.Print_Area" localSheetId="25">'3A-A-Turma'!$A$1:$K$48</definedName>
    <definedName name="_xlnm.Print_Area" localSheetId="29">'3A-B'!$A$2:$K$27</definedName>
    <definedName name="_xlnm.Print_Area" localSheetId="28">'3A-B-Turma'!$A$1:$K$48</definedName>
    <definedName name="_xlnm.Print_Area" localSheetId="32">'4A-A'!$A$2:$K$32</definedName>
    <definedName name="_xlnm.Print_Area" localSheetId="31">'4A-A-Turma'!$A$1:$K$48</definedName>
    <definedName name="_xlnm.Print_Area" localSheetId="35">'4A-B'!$A$2:$K$32</definedName>
    <definedName name="_xlnm.Print_Area" localSheetId="34">'4A-B-Turma'!$A$1:$K$48</definedName>
    <definedName name="_xlnm.Print_Area" localSheetId="38">'5A-A'!$A$2:$K$32</definedName>
    <definedName name="_xlnm.Print_Area" localSheetId="37">'5A-A-Turma'!$A$1:$K$48</definedName>
    <definedName name="_xlnm.Print_Area" localSheetId="41">'5A-B'!$A$2:$K$32</definedName>
    <definedName name="_xlnm.Print_Area" localSheetId="40">'5A-B-Turma'!$A$1:$K$48</definedName>
    <definedName name="_xlnm.Print_Area" localSheetId="0">MENU!$A$1:$K$51</definedName>
    <definedName name="_xlnm.Print_Area" localSheetId="43">TOTAL!$A$1:$J$53</definedName>
    <definedName name="_xlnm.Print_Titles" localSheetId="14">'1A-A'!$2:$2</definedName>
    <definedName name="_xlnm.Print_Titles" localSheetId="13">'1A-A-Turma'!$1:$3</definedName>
    <definedName name="_xlnm.Print_Titles" localSheetId="17">'1A-B'!$2:$2</definedName>
    <definedName name="_xlnm.Print_Titles" localSheetId="16">'1A-B-Turma'!$1:$3</definedName>
    <definedName name="_xlnm.Print_Titles" localSheetId="2">'1P-A'!$2:$2</definedName>
    <definedName name="_xlnm.Print_Titles" localSheetId="1">'1P-A-Turma'!$1:$3</definedName>
    <definedName name="_xlnm.Print_Titles" localSheetId="5">'1P-B'!$2:$2</definedName>
    <definedName name="_xlnm.Print_Titles" localSheetId="4">'1P-B-Turma'!$1:$3</definedName>
    <definedName name="_xlnm.Print_Titles" localSheetId="20">'2A-A'!$2:$2</definedName>
    <definedName name="_xlnm.Print_Titles" localSheetId="19">'2A-A-Turma'!$1:$3</definedName>
    <definedName name="_xlnm.Print_Titles" localSheetId="23">'2A-B'!$2:$2</definedName>
    <definedName name="_xlnm.Print_Titles" localSheetId="22">'2A-B-Turma'!$1:$3</definedName>
    <definedName name="_xlnm.Print_Titles" localSheetId="8">'2P-A'!$2:$2</definedName>
    <definedName name="_xlnm.Print_Titles" localSheetId="7">'2P-A-Turma'!$1:$3</definedName>
    <definedName name="_xlnm.Print_Titles" localSheetId="11">'2P-B'!$2:$2</definedName>
    <definedName name="_xlnm.Print_Titles" localSheetId="10">'2P-B-Turma'!$1:$3</definedName>
    <definedName name="_xlnm.Print_Titles" localSheetId="26">'3A-A'!$2:$2</definedName>
    <definedName name="_xlnm.Print_Titles" localSheetId="25">'3A-A-Turma'!$1:$3</definedName>
    <definedName name="_xlnm.Print_Titles" localSheetId="29">'3A-B'!$2:$2</definedName>
    <definedName name="_xlnm.Print_Titles" localSheetId="28">'3A-B-Turma'!$1:$3</definedName>
    <definedName name="_xlnm.Print_Titles" localSheetId="32">'4A-A'!$2:$2</definedName>
    <definedName name="_xlnm.Print_Titles" localSheetId="31">'4A-A-Turma'!$1:$3</definedName>
    <definedName name="_xlnm.Print_Titles" localSheetId="35">'4A-B'!$2:$2</definedName>
    <definedName name="_xlnm.Print_Titles" localSheetId="34">'4A-B-Turma'!$1:$3</definedName>
    <definedName name="_xlnm.Print_Titles" localSheetId="38">'5A-A'!$2:$2</definedName>
    <definedName name="_xlnm.Print_Titles" localSheetId="37">'5A-A-Turma'!$1:$3</definedName>
    <definedName name="_xlnm.Print_Titles" localSheetId="41">'5A-B'!$2:$2</definedName>
    <definedName name="_xlnm.Print_Titles" localSheetId="40">'5A-B-Turma'!$1:$3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8" i="14" l="1"/>
  <c r="B27" i="14"/>
  <c r="B26" i="14"/>
  <c r="B25" i="14"/>
  <c r="B24" i="14"/>
  <c r="B23" i="14"/>
  <c r="B22" i="14"/>
  <c r="B21" i="14"/>
  <c r="B20" i="14"/>
  <c r="B19" i="14"/>
  <c r="B18" i="14"/>
  <c r="B17" i="14"/>
  <c r="B16" i="14"/>
  <c r="B15" i="14"/>
  <c r="D28" i="14"/>
  <c r="D27" i="14"/>
  <c r="D26" i="14"/>
  <c r="D25" i="14"/>
  <c r="D24" i="14"/>
  <c r="D23" i="14"/>
  <c r="D22" i="14"/>
  <c r="D21" i="14"/>
  <c r="D20" i="14"/>
  <c r="D19" i="14"/>
  <c r="D5" i="58"/>
  <c r="D6" i="58"/>
  <c r="D7" i="58"/>
  <c r="D8" i="58"/>
  <c r="D9" i="58"/>
  <c r="D10" i="58"/>
  <c r="D11" i="58"/>
  <c r="D12" i="58"/>
  <c r="D13" i="58"/>
  <c r="D14" i="58"/>
  <c r="D15" i="58"/>
  <c r="D16" i="58"/>
  <c r="D17" i="58"/>
  <c r="D18" i="58"/>
  <c r="D19" i="58"/>
  <c r="D20" i="58"/>
  <c r="D21" i="58"/>
  <c r="D22" i="58"/>
  <c r="D23" i="58"/>
  <c r="D24" i="58"/>
  <c r="D25" i="58"/>
  <c r="D26" i="58"/>
  <c r="D27" i="58"/>
  <c r="D28" i="58"/>
  <c r="D29" i="58"/>
  <c r="D30" i="58"/>
  <c r="D31" i="58"/>
  <c r="D32" i="58"/>
  <c r="D33" i="58"/>
  <c r="D34" i="58"/>
  <c r="C5" i="58"/>
  <c r="C6" i="58"/>
  <c r="C7" i="58"/>
  <c r="C8" i="58"/>
  <c r="C9" i="58"/>
  <c r="C10" i="58"/>
  <c r="C11" i="58"/>
  <c r="C12" i="58"/>
  <c r="C13" i="58"/>
  <c r="C14" i="58"/>
  <c r="C15" i="58"/>
  <c r="C16" i="58"/>
  <c r="C17" i="58"/>
  <c r="C18" i="58"/>
  <c r="C19" i="58"/>
  <c r="C20" i="58"/>
  <c r="C21" i="58"/>
  <c r="C22" i="58"/>
  <c r="C23" i="58"/>
  <c r="C24" i="58"/>
  <c r="C25" i="58"/>
  <c r="C26" i="58"/>
  <c r="C27" i="58"/>
  <c r="C28" i="58"/>
  <c r="C29" i="58"/>
  <c r="C30" i="58"/>
  <c r="C31" i="58"/>
  <c r="C32" i="58"/>
  <c r="C33" i="58"/>
  <c r="C34" i="58"/>
  <c r="B5" i="58"/>
  <c r="B6" i="58"/>
  <c r="B7" i="58"/>
  <c r="B8" i="58"/>
  <c r="B9" i="58"/>
  <c r="B10" i="58"/>
  <c r="B11" i="58"/>
  <c r="B12" i="58"/>
  <c r="B13" i="58"/>
  <c r="B14" i="58"/>
  <c r="B15" i="58"/>
  <c r="B16" i="58"/>
  <c r="B17" i="58"/>
  <c r="B18" i="58"/>
  <c r="B19" i="58"/>
  <c r="B20" i="58"/>
  <c r="B21" i="58"/>
  <c r="B22" i="58"/>
  <c r="B23" i="58"/>
  <c r="B24" i="58"/>
  <c r="B25" i="58"/>
  <c r="B26" i="58"/>
  <c r="B27" i="58"/>
  <c r="B28" i="58"/>
  <c r="B29" i="58"/>
  <c r="B30" i="58"/>
  <c r="B31" i="58"/>
  <c r="B32" i="58"/>
  <c r="B33" i="58"/>
  <c r="B34" i="58"/>
  <c r="A1" i="58"/>
  <c r="E43" i="56"/>
  <c r="J13" i="56"/>
  <c r="J14" i="56"/>
  <c r="J15" i="56"/>
  <c r="J16" i="56"/>
  <c r="J17" i="56"/>
  <c r="J18" i="56"/>
  <c r="J19" i="56"/>
  <c r="J20" i="56"/>
  <c r="J21" i="56"/>
  <c r="J22" i="56"/>
  <c r="J23" i="56"/>
  <c r="J24" i="56"/>
  <c r="J25" i="56"/>
  <c r="J26" i="56"/>
  <c r="J27" i="56"/>
  <c r="J28" i="56"/>
  <c r="J29" i="56"/>
  <c r="J30" i="56"/>
  <c r="J31" i="56"/>
  <c r="J32" i="56"/>
  <c r="J33" i="56"/>
  <c r="J34" i="56"/>
  <c r="J35" i="56"/>
  <c r="J36" i="56"/>
  <c r="J37" i="56"/>
  <c r="J38" i="56"/>
  <c r="J39" i="56"/>
  <c r="J40" i="56"/>
  <c r="J41" i="56"/>
  <c r="H13" i="56"/>
  <c r="H14" i="56"/>
  <c r="H15" i="56"/>
  <c r="H16" i="56"/>
  <c r="H17" i="56"/>
  <c r="H18" i="56"/>
  <c r="H19" i="56"/>
  <c r="H20" i="56"/>
  <c r="H21" i="56"/>
  <c r="H22" i="56"/>
  <c r="H23" i="56"/>
  <c r="H24" i="56"/>
  <c r="H25" i="56"/>
  <c r="H26" i="56"/>
  <c r="H27" i="56"/>
  <c r="H28" i="56"/>
  <c r="H29" i="56"/>
  <c r="H30" i="56"/>
  <c r="H31" i="56"/>
  <c r="H32" i="56"/>
  <c r="H33" i="56"/>
  <c r="H34" i="56"/>
  <c r="H35" i="56"/>
  <c r="H36" i="56"/>
  <c r="H37" i="56"/>
  <c r="H38" i="56"/>
  <c r="H39" i="56"/>
  <c r="H40" i="56"/>
  <c r="H41" i="56"/>
  <c r="F13" i="56"/>
  <c r="F14" i="56"/>
  <c r="F15" i="56"/>
  <c r="F16" i="56"/>
  <c r="F17" i="56"/>
  <c r="F18" i="56"/>
  <c r="F19" i="56"/>
  <c r="F20" i="56"/>
  <c r="F21" i="56"/>
  <c r="F22" i="56"/>
  <c r="F23" i="56"/>
  <c r="F24" i="56"/>
  <c r="F25" i="56"/>
  <c r="F26" i="56"/>
  <c r="F27" i="56"/>
  <c r="F28" i="56"/>
  <c r="F29" i="56"/>
  <c r="F30" i="56"/>
  <c r="F31" i="56"/>
  <c r="F32" i="56"/>
  <c r="F33" i="56"/>
  <c r="F34" i="56"/>
  <c r="F35" i="56"/>
  <c r="F36" i="56"/>
  <c r="F37" i="56"/>
  <c r="F38" i="56"/>
  <c r="F39" i="56"/>
  <c r="F40" i="56"/>
  <c r="F41" i="56"/>
  <c r="B13" i="56"/>
  <c r="B14" i="56"/>
  <c r="B15" i="56"/>
  <c r="B16" i="56"/>
  <c r="B17" i="56"/>
  <c r="B18" i="56"/>
  <c r="B19" i="56"/>
  <c r="B20" i="56"/>
  <c r="B21" i="56"/>
  <c r="B22" i="56"/>
  <c r="B23" i="56"/>
  <c r="B24" i="56"/>
  <c r="B25" i="56"/>
  <c r="B26" i="56"/>
  <c r="B27" i="56"/>
  <c r="B28" i="56"/>
  <c r="B29" i="56"/>
  <c r="B30" i="56"/>
  <c r="B31" i="56"/>
  <c r="B32" i="56"/>
  <c r="B33" i="56"/>
  <c r="B34" i="56"/>
  <c r="B35" i="56"/>
  <c r="B36" i="56"/>
  <c r="B37" i="56"/>
  <c r="B38" i="56"/>
  <c r="B39" i="56"/>
  <c r="B40" i="56"/>
  <c r="B41" i="56"/>
  <c r="A13" i="56"/>
  <c r="A14" i="56"/>
  <c r="A15" i="56"/>
  <c r="A16" i="56"/>
  <c r="A17" i="56"/>
  <c r="A18" i="56"/>
  <c r="A19" i="56"/>
  <c r="A20" i="56"/>
  <c r="A21" i="56"/>
  <c r="A22" i="56"/>
  <c r="A23" i="56"/>
  <c r="A24" i="56"/>
  <c r="A25" i="56"/>
  <c r="A26" i="56"/>
  <c r="A27" i="56"/>
  <c r="A28" i="56"/>
  <c r="A29" i="56"/>
  <c r="A30" i="56"/>
  <c r="A31" i="56"/>
  <c r="A32" i="56"/>
  <c r="A33" i="56"/>
  <c r="A34" i="56"/>
  <c r="A35" i="56"/>
  <c r="A36" i="56"/>
  <c r="A37" i="56"/>
  <c r="A38" i="56"/>
  <c r="A39" i="56"/>
  <c r="A40" i="56"/>
  <c r="A41" i="56"/>
  <c r="J12" i="56"/>
  <c r="H12" i="56"/>
  <c r="F12" i="56"/>
  <c r="B12" i="56"/>
  <c r="A12" i="56"/>
  <c r="AE34" i="58"/>
  <c r="AB34" i="58"/>
  <c r="Y34" i="58"/>
  <c r="X34" i="58"/>
  <c r="U34" i="58"/>
  <c r="R34" i="58"/>
  <c r="Q34" i="58"/>
  <c r="N34" i="58"/>
  <c r="K34" i="58"/>
  <c r="J34" i="58"/>
  <c r="G34" i="58"/>
  <c r="AE33" i="58"/>
  <c r="AB33" i="58"/>
  <c r="Y33" i="58"/>
  <c r="X33" i="58"/>
  <c r="U33" i="58"/>
  <c r="R33" i="58"/>
  <c r="Q33" i="58"/>
  <c r="N33" i="58"/>
  <c r="K33" i="58"/>
  <c r="J33" i="58"/>
  <c r="G33" i="58"/>
  <c r="AE32" i="58"/>
  <c r="AB32" i="58"/>
  <c r="Y32" i="58"/>
  <c r="X32" i="58"/>
  <c r="U32" i="58"/>
  <c r="R32" i="58"/>
  <c r="Q32" i="58"/>
  <c r="N32" i="58"/>
  <c r="K32" i="58"/>
  <c r="J32" i="58"/>
  <c r="G32" i="58"/>
  <c r="AE31" i="58"/>
  <c r="AB31" i="58"/>
  <c r="Y31" i="58"/>
  <c r="X31" i="58"/>
  <c r="U31" i="58"/>
  <c r="R31" i="58"/>
  <c r="Q31" i="58"/>
  <c r="N31" i="58"/>
  <c r="K31" i="58"/>
  <c r="J31" i="58"/>
  <c r="G31" i="58"/>
  <c r="AE30" i="58"/>
  <c r="AB30" i="58"/>
  <c r="Y30" i="58"/>
  <c r="X30" i="58"/>
  <c r="U30" i="58"/>
  <c r="R30" i="58"/>
  <c r="Q30" i="58"/>
  <c r="N30" i="58"/>
  <c r="K30" i="58"/>
  <c r="J30" i="58"/>
  <c r="G30" i="58"/>
  <c r="AE29" i="58"/>
  <c r="AB29" i="58"/>
  <c r="Y29" i="58"/>
  <c r="X29" i="58"/>
  <c r="U29" i="58"/>
  <c r="R29" i="58"/>
  <c r="Q29" i="58"/>
  <c r="N29" i="58"/>
  <c r="K29" i="58"/>
  <c r="J29" i="58"/>
  <c r="G29" i="58"/>
  <c r="AE28" i="58"/>
  <c r="AB28" i="58"/>
  <c r="Y28" i="58"/>
  <c r="X28" i="58"/>
  <c r="U28" i="58"/>
  <c r="R28" i="58"/>
  <c r="Q28" i="58"/>
  <c r="N28" i="58"/>
  <c r="K28" i="58"/>
  <c r="J28" i="58"/>
  <c r="G28" i="58"/>
  <c r="AE27" i="58"/>
  <c r="AB27" i="58"/>
  <c r="Y27" i="58"/>
  <c r="X27" i="58"/>
  <c r="U27" i="58"/>
  <c r="R27" i="58"/>
  <c r="Q27" i="58"/>
  <c r="N27" i="58"/>
  <c r="K27" i="58"/>
  <c r="J27" i="58"/>
  <c r="G27" i="58"/>
  <c r="AE26" i="58"/>
  <c r="AB26" i="58"/>
  <c r="Y26" i="58"/>
  <c r="X26" i="58"/>
  <c r="U26" i="58"/>
  <c r="R26" i="58"/>
  <c r="Q26" i="58"/>
  <c r="N26" i="58"/>
  <c r="K26" i="58"/>
  <c r="J26" i="58"/>
  <c r="G26" i="58"/>
  <c r="AE25" i="58"/>
  <c r="AB25" i="58"/>
  <c r="Y25" i="58"/>
  <c r="X25" i="58"/>
  <c r="U25" i="58"/>
  <c r="R25" i="58"/>
  <c r="Q25" i="58"/>
  <c r="N25" i="58"/>
  <c r="K25" i="58"/>
  <c r="J25" i="58"/>
  <c r="G25" i="58"/>
  <c r="AE24" i="58"/>
  <c r="AB24" i="58"/>
  <c r="Y24" i="58"/>
  <c r="X24" i="58"/>
  <c r="U24" i="58"/>
  <c r="R24" i="58"/>
  <c r="Q24" i="58"/>
  <c r="N24" i="58"/>
  <c r="K24" i="58"/>
  <c r="J24" i="58"/>
  <c r="G24" i="58"/>
  <c r="AE23" i="58"/>
  <c r="AB23" i="58"/>
  <c r="Y23" i="58"/>
  <c r="X23" i="58"/>
  <c r="U23" i="58"/>
  <c r="R23" i="58"/>
  <c r="Q23" i="58"/>
  <c r="N23" i="58"/>
  <c r="K23" i="58"/>
  <c r="J23" i="58"/>
  <c r="G23" i="58"/>
  <c r="AE22" i="58"/>
  <c r="AB22" i="58"/>
  <c r="Y22" i="58"/>
  <c r="X22" i="58"/>
  <c r="U22" i="58"/>
  <c r="R22" i="58"/>
  <c r="Q22" i="58"/>
  <c r="N22" i="58"/>
  <c r="K22" i="58"/>
  <c r="J22" i="58"/>
  <c r="G22" i="58"/>
  <c r="AE21" i="58"/>
  <c r="AB21" i="58"/>
  <c r="Y21" i="58"/>
  <c r="X21" i="58"/>
  <c r="U21" i="58"/>
  <c r="R21" i="58"/>
  <c r="Q21" i="58"/>
  <c r="N21" i="58"/>
  <c r="K21" i="58"/>
  <c r="J21" i="58"/>
  <c r="G21" i="58"/>
  <c r="AE20" i="58"/>
  <c r="AB20" i="58"/>
  <c r="Y20" i="58"/>
  <c r="X20" i="58"/>
  <c r="U20" i="58"/>
  <c r="R20" i="58"/>
  <c r="Q20" i="58"/>
  <c r="N20" i="58"/>
  <c r="K20" i="58"/>
  <c r="J20" i="58"/>
  <c r="G20" i="58"/>
  <c r="AE19" i="58"/>
  <c r="AB19" i="58"/>
  <c r="Y19" i="58"/>
  <c r="X19" i="58"/>
  <c r="U19" i="58"/>
  <c r="R19" i="58"/>
  <c r="Q19" i="58"/>
  <c r="N19" i="58"/>
  <c r="K19" i="58"/>
  <c r="J19" i="58"/>
  <c r="G19" i="58"/>
  <c r="AE18" i="58"/>
  <c r="AB18" i="58"/>
  <c r="Y18" i="58"/>
  <c r="X18" i="58"/>
  <c r="U18" i="58"/>
  <c r="R18" i="58"/>
  <c r="Q18" i="58"/>
  <c r="N18" i="58"/>
  <c r="K18" i="58"/>
  <c r="J18" i="58"/>
  <c r="G18" i="58"/>
  <c r="AE17" i="58"/>
  <c r="AB17" i="58"/>
  <c r="Y17" i="58"/>
  <c r="X17" i="58"/>
  <c r="U17" i="58"/>
  <c r="R17" i="58"/>
  <c r="Q17" i="58"/>
  <c r="N17" i="58"/>
  <c r="K17" i="58"/>
  <c r="J17" i="58"/>
  <c r="G17" i="58"/>
  <c r="AE16" i="58"/>
  <c r="AB16" i="58"/>
  <c r="Y16" i="58"/>
  <c r="X16" i="58"/>
  <c r="U16" i="58"/>
  <c r="R16" i="58"/>
  <c r="Q16" i="58"/>
  <c r="N16" i="58"/>
  <c r="K16" i="58"/>
  <c r="J16" i="58"/>
  <c r="G16" i="58"/>
  <c r="AE15" i="58"/>
  <c r="AB15" i="58"/>
  <c r="Y15" i="58"/>
  <c r="X15" i="58"/>
  <c r="U15" i="58"/>
  <c r="R15" i="58"/>
  <c r="Q15" i="58"/>
  <c r="N15" i="58"/>
  <c r="K15" i="58"/>
  <c r="J15" i="58"/>
  <c r="G15" i="58"/>
  <c r="AE14" i="58"/>
  <c r="AB14" i="58"/>
  <c r="Y14" i="58"/>
  <c r="X14" i="58"/>
  <c r="U14" i="58"/>
  <c r="R14" i="58"/>
  <c r="Q14" i="58"/>
  <c r="N14" i="58"/>
  <c r="K14" i="58"/>
  <c r="J14" i="58"/>
  <c r="G14" i="58"/>
  <c r="AE13" i="58"/>
  <c r="AB13" i="58"/>
  <c r="Y13" i="58"/>
  <c r="X13" i="58"/>
  <c r="U13" i="58"/>
  <c r="R13" i="58"/>
  <c r="Q13" i="58"/>
  <c r="N13" i="58"/>
  <c r="K13" i="58"/>
  <c r="J13" i="58"/>
  <c r="G13" i="58"/>
  <c r="AE12" i="58"/>
  <c r="AB12" i="58"/>
  <c r="Y12" i="58"/>
  <c r="X12" i="58"/>
  <c r="U12" i="58"/>
  <c r="R12" i="58"/>
  <c r="Q12" i="58"/>
  <c r="N12" i="58"/>
  <c r="K12" i="58"/>
  <c r="J12" i="58"/>
  <c r="G12" i="58"/>
  <c r="AE11" i="58"/>
  <c r="AB11" i="58"/>
  <c r="Y11" i="58"/>
  <c r="X11" i="58"/>
  <c r="U11" i="58"/>
  <c r="R11" i="58"/>
  <c r="Q11" i="58"/>
  <c r="N11" i="58"/>
  <c r="K11" i="58"/>
  <c r="J11" i="58"/>
  <c r="G11" i="58"/>
  <c r="AE10" i="58"/>
  <c r="AB10" i="58"/>
  <c r="Y10" i="58"/>
  <c r="X10" i="58"/>
  <c r="U10" i="58"/>
  <c r="R10" i="58"/>
  <c r="Q10" i="58"/>
  <c r="N10" i="58"/>
  <c r="K10" i="58"/>
  <c r="J10" i="58"/>
  <c r="G10" i="58"/>
  <c r="AE9" i="58"/>
  <c r="AB9" i="58"/>
  <c r="Y9" i="58"/>
  <c r="X9" i="58"/>
  <c r="U9" i="58"/>
  <c r="R9" i="58"/>
  <c r="Q9" i="58"/>
  <c r="N9" i="58"/>
  <c r="K9" i="58"/>
  <c r="J9" i="58"/>
  <c r="G9" i="58"/>
  <c r="AE8" i="58"/>
  <c r="AB8" i="58"/>
  <c r="Y8" i="58"/>
  <c r="X8" i="58"/>
  <c r="U8" i="58"/>
  <c r="R8" i="58"/>
  <c r="Q8" i="58"/>
  <c r="N8" i="58"/>
  <c r="K8" i="58"/>
  <c r="J8" i="58"/>
  <c r="G8" i="58"/>
  <c r="AE7" i="58"/>
  <c r="AB7" i="58"/>
  <c r="Y7" i="58"/>
  <c r="X7" i="58"/>
  <c r="U7" i="58"/>
  <c r="R7" i="58"/>
  <c r="Q7" i="58"/>
  <c r="N7" i="58"/>
  <c r="K7" i="58"/>
  <c r="J7" i="58"/>
  <c r="G7" i="58"/>
  <c r="AE6" i="58"/>
  <c r="AB6" i="58"/>
  <c r="Y6" i="58"/>
  <c r="X6" i="58"/>
  <c r="U6" i="58"/>
  <c r="R6" i="58"/>
  <c r="Q6" i="58"/>
  <c r="N6" i="58"/>
  <c r="K6" i="58"/>
  <c r="J6" i="58"/>
  <c r="G6" i="58"/>
  <c r="AE5" i="58"/>
  <c r="AB5" i="58"/>
  <c r="Y5" i="58"/>
  <c r="X5" i="58"/>
  <c r="U5" i="58"/>
  <c r="R5" i="58"/>
  <c r="Q5" i="58"/>
  <c r="N5" i="58"/>
  <c r="K5" i="58"/>
  <c r="J5" i="58"/>
  <c r="G5" i="58"/>
  <c r="N32" i="57"/>
  <c r="K32" i="57"/>
  <c r="N31" i="57"/>
  <c r="K31" i="57"/>
  <c r="N30" i="57"/>
  <c r="K30" i="57"/>
  <c r="N29" i="57"/>
  <c r="K29" i="57"/>
  <c r="N28" i="57"/>
  <c r="K28" i="57"/>
  <c r="O27" i="57"/>
  <c r="N27" i="57"/>
  <c r="K27" i="57"/>
  <c r="O26" i="57"/>
  <c r="N26" i="57"/>
  <c r="K26" i="57"/>
  <c r="O25" i="57"/>
  <c r="N25" i="57"/>
  <c r="K25" i="57"/>
  <c r="O24" i="57"/>
  <c r="N24" i="57"/>
  <c r="K24" i="57"/>
  <c r="O23" i="57"/>
  <c r="N23" i="57"/>
  <c r="K23" i="57"/>
  <c r="O22" i="57"/>
  <c r="N22" i="57"/>
  <c r="K22" i="57"/>
  <c r="O21" i="57"/>
  <c r="N21" i="57"/>
  <c r="K21" i="57"/>
  <c r="O20" i="57"/>
  <c r="N20" i="57"/>
  <c r="K20" i="57"/>
  <c r="O19" i="57"/>
  <c r="N19" i="57"/>
  <c r="K19" i="57"/>
  <c r="O18" i="57"/>
  <c r="N18" i="57"/>
  <c r="K18" i="57"/>
  <c r="O17" i="57"/>
  <c r="N17" i="57"/>
  <c r="K17" i="57"/>
  <c r="O16" i="57"/>
  <c r="N16" i="57"/>
  <c r="K16" i="57"/>
  <c r="O15" i="57"/>
  <c r="N15" i="57"/>
  <c r="K15" i="57"/>
  <c r="O14" i="57"/>
  <c r="N14" i="57"/>
  <c r="K14" i="57"/>
  <c r="O13" i="57"/>
  <c r="N13" i="57"/>
  <c r="K13" i="57"/>
  <c r="O12" i="57"/>
  <c r="N12" i="57"/>
  <c r="K12" i="57"/>
  <c r="O11" i="57"/>
  <c r="N11" i="57"/>
  <c r="K11" i="57"/>
  <c r="O10" i="57"/>
  <c r="N10" i="57"/>
  <c r="K10" i="57"/>
  <c r="O9" i="57"/>
  <c r="N9" i="57"/>
  <c r="K9" i="57"/>
  <c r="O8" i="57"/>
  <c r="N8" i="57"/>
  <c r="K8" i="57"/>
  <c r="O7" i="57"/>
  <c r="N7" i="57"/>
  <c r="K7" i="57"/>
  <c r="O6" i="57"/>
  <c r="N6" i="57"/>
  <c r="K6" i="57"/>
  <c r="O5" i="57"/>
  <c r="N5" i="57"/>
  <c r="K5" i="57"/>
  <c r="U4" i="57"/>
  <c r="O4" i="57"/>
  <c r="N4" i="57"/>
  <c r="K4" i="57"/>
  <c r="T3" i="57"/>
  <c r="O3" i="57"/>
  <c r="N3" i="57"/>
  <c r="K3" i="57"/>
  <c r="C48" i="56"/>
  <c r="B7" i="56"/>
  <c r="B1" i="56"/>
  <c r="D5" i="55"/>
  <c r="D6" i="55"/>
  <c r="D7" i="55"/>
  <c r="D8" i="55"/>
  <c r="D9" i="55"/>
  <c r="D10" i="55"/>
  <c r="D11" i="55"/>
  <c r="D12" i="55"/>
  <c r="D13" i="55"/>
  <c r="D14" i="55"/>
  <c r="D15" i="55"/>
  <c r="D16" i="55"/>
  <c r="D17" i="55"/>
  <c r="D18" i="55"/>
  <c r="D19" i="55"/>
  <c r="D20" i="55"/>
  <c r="D21" i="55"/>
  <c r="D22" i="55"/>
  <c r="D23" i="55"/>
  <c r="D24" i="55"/>
  <c r="D25" i="55"/>
  <c r="D26" i="55"/>
  <c r="D27" i="55"/>
  <c r="D28" i="55"/>
  <c r="D29" i="55"/>
  <c r="D30" i="55"/>
  <c r="D31" i="55"/>
  <c r="D32" i="55"/>
  <c r="D33" i="55"/>
  <c r="D34" i="55"/>
  <c r="C5" i="55"/>
  <c r="C6" i="55"/>
  <c r="C7" i="55"/>
  <c r="C8" i="55"/>
  <c r="C9" i="55"/>
  <c r="C10" i="55"/>
  <c r="C11" i="55"/>
  <c r="C12" i="55"/>
  <c r="C13" i="55"/>
  <c r="C14" i="55"/>
  <c r="C15" i="55"/>
  <c r="C16" i="55"/>
  <c r="C17" i="55"/>
  <c r="C18" i="55"/>
  <c r="C19" i="55"/>
  <c r="C20" i="55"/>
  <c r="C21" i="55"/>
  <c r="C22" i="55"/>
  <c r="C23" i="55"/>
  <c r="C24" i="55"/>
  <c r="C25" i="55"/>
  <c r="C26" i="55"/>
  <c r="C27" i="55"/>
  <c r="C28" i="55"/>
  <c r="C29" i="55"/>
  <c r="C30" i="55"/>
  <c r="C31" i="55"/>
  <c r="C32" i="55"/>
  <c r="C33" i="55"/>
  <c r="C34" i="55"/>
  <c r="B5" i="55"/>
  <c r="B6" i="55"/>
  <c r="B7" i="55"/>
  <c r="B8" i="55"/>
  <c r="B9" i="55"/>
  <c r="B10" i="55"/>
  <c r="B11" i="55"/>
  <c r="B12" i="55"/>
  <c r="B13" i="55"/>
  <c r="B14" i="55"/>
  <c r="B15" i="55"/>
  <c r="B16" i="55"/>
  <c r="B17" i="55"/>
  <c r="B18" i="55"/>
  <c r="B19" i="55"/>
  <c r="B20" i="55"/>
  <c r="B21" i="55"/>
  <c r="B22" i="55"/>
  <c r="B23" i="55"/>
  <c r="B24" i="55"/>
  <c r="B25" i="55"/>
  <c r="B26" i="55"/>
  <c r="B27" i="55"/>
  <c r="B28" i="55"/>
  <c r="B29" i="55"/>
  <c r="B30" i="55"/>
  <c r="B31" i="55"/>
  <c r="B32" i="55"/>
  <c r="B33" i="55"/>
  <c r="B34" i="55"/>
  <c r="A1" i="55"/>
  <c r="E43" i="53"/>
  <c r="J13" i="53"/>
  <c r="J14" i="53"/>
  <c r="J15" i="53"/>
  <c r="J16" i="53"/>
  <c r="J17" i="53"/>
  <c r="J18" i="53"/>
  <c r="J19" i="53"/>
  <c r="J20" i="53"/>
  <c r="J21" i="53"/>
  <c r="J22" i="53"/>
  <c r="J23" i="53"/>
  <c r="J24" i="53"/>
  <c r="J25" i="53"/>
  <c r="J26" i="53"/>
  <c r="J27" i="53"/>
  <c r="J28" i="53"/>
  <c r="J29" i="53"/>
  <c r="J30" i="53"/>
  <c r="J31" i="53"/>
  <c r="J32" i="53"/>
  <c r="J33" i="53"/>
  <c r="J34" i="53"/>
  <c r="J35" i="53"/>
  <c r="J36" i="53"/>
  <c r="J37" i="53"/>
  <c r="J38" i="53"/>
  <c r="J39" i="53"/>
  <c r="J40" i="53"/>
  <c r="J41" i="53"/>
  <c r="H13" i="53"/>
  <c r="H14" i="53"/>
  <c r="H15" i="53"/>
  <c r="H16" i="53"/>
  <c r="H17" i="53"/>
  <c r="H18" i="53"/>
  <c r="H19" i="53"/>
  <c r="H20" i="53"/>
  <c r="H21" i="53"/>
  <c r="H22" i="53"/>
  <c r="H23" i="53"/>
  <c r="H24" i="53"/>
  <c r="H25" i="53"/>
  <c r="H26" i="53"/>
  <c r="H27" i="53"/>
  <c r="H28" i="53"/>
  <c r="H29" i="53"/>
  <c r="H30" i="53"/>
  <c r="H31" i="53"/>
  <c r="H32" i="53"/>
  <c r="H33" i="53"/>
  <c r="H34" i="53"/>
  <c r="H35" i="53"/>
  <c r="H36" i="53"/>
  <c r="H37" i="53"/>
  <c r="H38" i="53"/>
  <c r="H39" i="53"/>
  <c r="H40" i="53"/>
  <c r="H41" i="53"/>
  <c r="F13" i="53"/>
  <c r="F14" i="53"/>
  <c r="F15" i="53"/>
  <c r="F16" i="53"/>
  <c r="F17" i="53"/>
  <c r="F18" i="53"/>
  <c r="F19" i="53"/>
  <c r="F20" i="53"/>
  <c r="F21" i="53"/>
  <c r="F22" i="53"/>
  <c r="F23" i="53"/>
  <c r="F24" i="53"/>
  <c r="F25" i="53"/>
  <c r="F26" i="53"/>
  <c r="F27" i="53"/>
  <c r="F28" i="53"/>
  <c r="F29" i="53"/>
  <c r="F30" i="53"/>
  <c r="F31" i="53"/>
  <c r="F32" i="53"/>
  <c r="F33" i="53"/>
  <c r="F34" i="53"/>
  <c r="F35" i="53"/>
  <c r="F36" i="53"/>
  <c r="F37" i="53"/>
  <c r="F38" i="53"/>
  <c r="F39" i="53"/>
  <c r="F40" i="53"/>
  <c r="F41" i="53"/>
  <c r="B13" i="53"/>
  <c r="B14" i="53"/>
  <c r="B15" i="53"/>
  <c r="B16" i="53"/>
  <c r="B17" i="53"/>
  <c r="B18" i="53"/>
  <c r="B19" i="53"/>
  <c r="B20" i="53"/>
  <c r="B21" i="53"/>
  <c r="B22" i="53"/>
  <c r="B23" i="53"/>
  <c r="B24" i="53"/>
  <c r="B25" i="53"/>
  <c r="B26" i="53"/>
  <c r="B27" i="53"/>
  <c r="B28" i="53"/>
  <c r="B29" i="53"/>
  <c r="B30" i="53"/>
  <c r="B31" i="53"/>
  <c r="B32" i="53"/>
  <c r="B33" i="53"/>
  <c r="B34" i="53"/>
  <c r="B35" i="53"/>
  <c r="B36" i="53"/>
  <c r="B37" i="53"/>
  <c r="B38" i="53"/>
  <c r="B39" i="53"/>
  <c r="B40" i="53"/>
  <c r="B41" i="53"/>
  <c r="A13" i="53"/>
  <c r="A14" i="53"/>
  <c r="A15" i="53"/>
  <c r="A16" i="53"/>
  <c r="A17" i="53"/>
  <c r="A18" i="53"/>
  <c r="A19" i="53"/>
  <c r="A20" i="53"/>
  <c r="A21" i="53"/>
  <c r="A22" i="53"/>
  <c r="A23" i="53"/>
  <c r="A24" i="53"/>
  <c r="A25" i="53"/>
  <c r="A26" i="53"/>
  <c r="A27" i="53"/>
  <c r="A28" i="53"/>
  <c r="A29" i="53"/>
  <c r="A30" i="53"/>
  <c r="A31" i="53"/>
  <c r="A32" i="53"/>
  <c r="A33" i="53"/>
  <c r="A34" i="53"/>
  <c r="A35" i="53"/>
  <c r="A36" i="53"/>
  <c r="A37" i="53"/>
  <c r="A38" i="53"/>
  <c r="A39" i="53"/>
  <c r="A40" i="53"/>
  <c r="A41" i="53"/>
  <c r="J12" i="53"/>
  <c r="H12" i="53"/>
  <c r="F12" i="53"/>
  <c r="B12" i="53"/>
  <c r="A12" i="53"/>
  <c r="AE34" i="55"/>
  <c r="AB34" i="55"/>
  <c r="Y34" i="55"/>
  <c r="X34" i="55"/>
  <c r="U34" i="55"/>
  <c r="R34" i="55"/>
  <c r="Q34" i="55"/>
  <c r="N34" i="55"/>
  <c r="K34" i="55"/>
  <c r="J34" i="55"/>
  <c r="G34" i="55"/>
  <c r="AE33" i="55"/>
  <c r="AB33" i="55"/>
  <c r="Y33" i="55"/>
  <c r="X33" i="55"/>
  <c r="U33" i="55"/>
  <c r="R33" i="55"/>
  <c r="Q33" i="55"/>
  <c r="N33" i="55"/>
  <c r="K33" i="55"/>
  <c r="J33" i="55"/>
  <c r="G33" i="55"/>
  <c r="AE32" i="55"/>
  <c r="AB32" i="55"/>
  <c r="Y32" i="55"/>
  <c r="X32" i="55"/>
  <c r="U32" i="55"/>
  <c r="R32" i="55"/>
  <c r="Q32" i="55"/>
  <c r="N32" i="55"/>
  <c r="K32" i="55"/>
  <c r="J32" i="55"/>
  <c r="G32" i="55"/>
  <c r="AE31" i="55"/>
  <c r="AB31" i="55"/>
  <c r="Y31" i="55"/>
  <c r="X31" i="55"/>
  <c r="U31" i="55"/>
  <c r="R31" i="55"/>
  <c r="Q31" i="55"/>
  <c r="N31" i="55"/>
  <c r="K31" i="55"/>
  <c r="J31" i="55"/>
  <c r="G31" i="55"/>
  <c r="AE30" i="55"/>
  <c r="AB30" i="55"/>
  <c r="Y30" i="55"/>
  <c r="X30" i="55"/>
  <c r="U30" i="55"/>
  <c r="R30" i="55"/>
  <c r="Q30" i="55"/>
  <c r="N30" i="55"/>
  <c r="K30" i="55"/>
  <c r="J30" i="55"/>
  <c r="G30" i="55"/>
  <c r="AE29" i="55"/>
  <c r="AB29" i="55"/>
  <c r="Y29" i="55"/>
  <c r="X29" i="55"/>
  <c r="U29" i="55"/>
  <c r="R29" i="55"/>
  <c r="Q29" i="55"/>
  <c r="N29" i="55"/>
  <c r="K29" i="55"/>
  <c r="J29" i="55"/>
  <c r="G29" i="55"/>
  <c r="AE28" i="55"/>
  <c r="AB28" i="55"/>
  <c r="Y28" i="55"/>
  <c r="X28" i="55"/>
  <c r="U28" i="55"/>
  <c r="R28" i="55"/>
  <c r="Q28" i="55"/>
  <c r="N28" i="55"/>
  <c r="K28" i="55"/>
  <c r="J28" i="55"/>
  <c r="G28" i="55"/>
  <c r="AE27" i="55"/>
  <c r="AB27" i="55"/>
  <c r="Y27" i="55"/>
  <c r="X27" i="55"/>
  <c r="U27" i="55"/>
  <c r="R27" i="55"/>
  <c r="Q27" i="55"/>
  <c r="N27" i="55"/>
  <c r="K27" i="55"/>
  <c r="J27" i="55"/>
  <c r="G27" i="55"/>
  <c r="AE26" i="55"/>
  <c r="AB26" i="55"/>
  <c r="Y26" i="55"/>
  <c r="X26" i="55"/>
  <c r="U26" i="55"/>
  <c r="R26" i="55"/>
  <c r="Q26" i="55"/>
  <c r="N26" i="55"/>
  <c r="K26" i="55"/>
  <c r="J26" i="55"/>
  <c r="G26" i="55"/>
  <c r="AE25" i="55"/>
  <c r="AB25" i="55"/>
  <c r="Y25" i="55"/>
  <c r="X25" i="55"/>
  <c r="U25" i="55"/>
  <c r="R25" i="55"/>
  <c r="Q25" i="55"/>
  <c r="N25" i="55"/>
  <c r="K25" i="55"/>
  <c r="J25" i="55"/>
  <c r="G25" i="55"/>
  <c r="AE24" i="55"/>
  <c r="AB24" i="55"/>
  <c r="Y24" i="55"/>
  <c r="X24" i="55"/>
  <c r="U24" i="55"/>
  <c r="R24" i="55"/>
  <c r="Q24" i="55"/>
  <c r="N24" i="55"/>
  <c r="K24" i="55"/>
  <c r="J24" i="55"/>
  <c r="G24" i="55"/>
  <c r="AE23" i="55"/>
  <c r="AB23" i="55"/>
  <c r="Y23" i="55"/>
  <c r="X23" i="55"/>
  <c r="U23" i="55"/>
  <c r="R23" i="55"/>
  <c r="Q23" i="55"/>
  <c r="N23" i="55"/>
  <c r="K23" i="55"/>
  <c r="J23" i="55"/>
  <c r="G23" i="55"/>
  <c r="AE22" i="55"/>
  <c r="AB22" i="55"/>
  <c r="Y22" i="55"/>
  <c r="X22" i="55"/>
  <c r="U22" i="55"/>
  <c r="R22" i="55"/>
  <c r="Q22" i="55"/>
  <c r="N22" i="55"/>
  <c r="K22" i="55"/>
  <c r="J22" i="55"/>
  <c r="G22" i="55"/>
  <c r="AE21" i="55"/>
  <c r="AB21" i="55"/>
  <c r="Y21" i="55"/>
  <c r="X21" i="55"/>
  <c r="U21" i="55"/>
  <c r="R21" i="55"/>
  <c r="Q21" i="55"/>
  <c r="N21" i="55"/>
  <c r="K21" i="55"/>
  <c r="J21" i="55"/>
  <c r="G21" i="55"/>
  <c r="AE20" i="55"/>
  <c r="AB20" i="55"/>
  <c r="Y20" i="55"/>
  <c r="X20" i="55"/>
  <c r="U20" i="55"/>
  <c r="R20" i="55"/>
  <c r="Q20" i="55"/>
  <c r="N20" i="55"/>
  <c r="K20" i="55"/>
  <c r="J20" i="55"/>
  <c r="G20" i="55"/>
  <c r="AE19" i="55"/>
  <c r="AB19" i="55"/>
  <c r="Y19" i="55"/>
  <c r="X19" i="55"/>
  <c r="U19" i="55"/>
  <c r="R19" i="55"/>
  <c r="Q19" i="55"/>
  <c r="N19" i="55"/>
  <c r="K19" i="55"/>
  <c r="J19" i="55"/>
  <c r="G19" i="55"/>
  <c r="AE18" i="55"/>
  <c r="AB18" i="55"/>
  <c r="Y18" i="55"/>
  <c r="X18" i="55"/>
  <c r="U18" i="55"/>
  <c r="R18" i="55"/>
  <c r="Q18" i="55"/>
  <c r="N18" i="55"/>
  <c r="K18" i="55"/>
  <c r="J18" i="55"/>
  <c r="G18" i="55"/>
  <c r="AE17" i="55"/>
  <c r="AB17" i="55"/>
  <c r="Y17" i="55"/>
  <c r="X17" i="55"/>
  <c r="U17" i="55"/>
  <c r="R17" i="55"/>
  <c r="Q17" i="55"/>
  <c r="N17" i="55"/>
  <c r="K17" i="55"/>
  <c r="J17" i="55"/>
  <c r="G17" i="55"/>
  <c r="AE16" i="55"/>
  <c r="AB16" i="55"/>
  <c r="Y16" i="55"/>
  <c r="X16" i="55"/>
  <c r="U16" i="55"/>
  <c r="R16" i="55"/>
  <c r="Q16" i="55"/>
  <c r="N16" i="55"/>
  <c r="K16" i="55"/>
  <c r="J16" i="55"/>
  <c r="G16" i="55"/>
  <c r="AE15" i="55"/>
  <c r="AB15" i="55"/>
  <c r="Y15" i="55"/>
  <c r="X15" i="55"/>
  <c r="U15" i="55"/>
  <c r="R15" i="55"/>
  <c r="Q15" i="55"/>
  <c r="N15" i="55"/>
  <c r="K15" i="55"/>
  <c r="J15" i="55"/>
  <c r="G15" i="55"/>
  <c r="AE14" i="55"/>
  <c r="AB14" i="55"/>
  <c r="Y14" i="55"/>
  <c r="X14" i="55"/>
  <c r="U14" i="55"/>
  <c r="R14" i="55"/>
  <c r="Q14" i="55"/>
  <c r="N14" i="55"/>
  <c r="K14" i="55"/>
  <c r="J14" i="55"/>
  <c r="G14" i="55"/>
  <c r="AE13" i="55"/>
  <c r="AB13" i="55"/>
  <c r="Y13" i="55"/>
  <c r="X13" i="55"/>
  <c r="U13" i="55"/>
  <c r="R13" i="55"/>
  <c r="Q13" i="55"/>
  <c r="N13" i="55"/>
  <c r="K13" i="55"/>
  <c r="J13" i="55"/>
  <c r="G13" i="55"/>
  <c r="AE12" i="55"/>
  <c r="AB12" i="55"/>
  <c r="Y12" i="55"/>
  <c r="X12" i="55"/>
  <c r="U12" i="55"/>
  <c r="R12" i="55"/>
  <c r="Q12" i="55"/>
  <c r="N12" i="55"/>
  <c r="K12" i="55"/>
  <c r="J12" i="55"/>
  <c r="G12" i="55"/>
  <c r="AE11" i="55"/>
  <c r="AB11" i="55"/>
  <c r="Y11" i="55"/>
  <c r="X11" i="55"/>
  <c r="U11" i="55"/>
  <c r="R11" i="55"/>
  <c r="Q11" i="55"/>
  <c r="N11" i="55"/>
  <c r="K11" i="55"/>
  <c r="J11" i="55"/>
  <c r="G11" i="55"/>
  <c r="AE10" i="55"/>
  <c r="AB10" i="55"/>
  <c r="Y10" i="55"/>
  <c r="X10" i="55"/>
  <c r="U10" i="55"/>
  <c r="R10" i="55"/>
  <c r="Q10" i="55"/>
  <c r="N10" i="55"/>
  <c r="K10" i="55"/>
  <c r="J10" i="55"/>
  <c r="G10" i="55"/>
  <c r="AE9" i="55"/>
  <c r="AB9" i="55"/>
  <c r="Y9" i="55"/>
  <c r="X9" i="55"/>
  <c r="U9" i="55"/>
  <c r="R9" i="55"/>
  <c r="Q9" i="55"/>
  <c r="N9" i="55"/>
  <c r="K9" i="55"/>
  <c r="J9" i="55"/>
  <c r="G9" i="55"/>
  <c r="AE8" i="55"/>
  <c r="AB8" i="55"/>
  <c r="Y8" i="55"/>
  <c r="X8" i="55"/>
  <c r="U8" i="55"/>
  <c r="R8" i="55"/>
  <c r="Q8" i="55"/>
  <c r="N8" i="55"/>
  <c r="K8" i="55"/>
  <c r="J8" i="55"/>
  <c r="G8" i="55"/>
  <c r="AE7" i="55"/>
  <c r="AB7" i="55"/>
  <c r="Y7" i="55"/>
  <c r="X7" i="55"/>
  <c r="U7" i="55"/>
  <c r="R7" i="55"/>
  <c r="Q7" i="55"/>
  <c r="N7" i="55"/>
  <c r="K7" i="55"/>
  <c r="J7" i="55"/>
  <c r="G7" i="55"/>
  <c r="AE6" i="55"/>
  <c r="AB6" i="55"/>
  <c r="Y6" i="55"/>
  <c r="X6" i="55"/>
  <c r="U6" i="55"/>
  <c r="R6" i="55"/>
  <c r="Q6" i="55"/>
  <c r="N6" i="55"/>
  <c r="K6" i="55"/>
  <c r="J6" i="55"/>
  <c r="G6" i="55"/>
  <c r="AE5" i="55"/>
  <c r="AB5" i="55"/>
  <c r="Y5" i="55"/>
  <c r="X5" i="55"/>
  <c r="U5" i="55"/>
  <c r="R5" i="55"/>
  <c r="Q5" i="55"/>
  <c r="N5" i="55"/>
  <c r="K5" i="55"/>
  <c r="J5" i="55"/>
  <c r="G5" i="55"/>
  <c r="N32" i="54"/>
  <c r="K32" i="54"/>
  <c r="N31" i="54"/>
  <c r="K31" i="54"/>
  <c r="N30" i="54"/>
  <c r="K30" i="54"/>
  <c r="N29" i="54"/>
  <c r="K29" i="54"/>
  <c r="N28" i="54"/>
  <c r="K28" i="54"/>
  <c r="O27" i="54"/>
  <c r="N27" i="54"/>
  <c r="K27" i="54"/>
  <c r="O26" i="54"/>
  <c r="N26" i="54"/>
  <c r="K26" i="54"/>
  <c r="O25" i="54"/>
  <c r="N25" i="54"/>
  <c r="K25" i="54"/>
  <c r="O24" i="54"/>
  <c r="N24" i="54"/>
  <c r="K24" i="54"/>
  <c r="O23" i="54"/>
  <c r="N23" i="54"/>
  <c r="K23" i="54"/>
  <c r="O22" i="54"/>
  <c r="N22" i="54"/>
  <c r="K22" i="54"/>
  <c r="O21" i="54"/>
  <c r="N21" i="54"/>
  <c r="K21" i="54"/>
  <c r="O20" i="54"/>
  <c r="N20" i="54"/>
  <c r="K20" i="54"/>
  <c r="O19" i="54"/>
  <c r="N19" i="54"/>
  <c r="K19" i="54"/>
  <c r="O18" i="54"/>
  <c r="N18" i="54"/>
  <c r="K18" i="54"/>
  <c r="O17" i="54"/>
  <c r="N17" i="54"/>
  <c r="K17" i="54"/>
  <c r="O16" i="54"/>
  <c r="N16" i="54"/>
  <c r="K16" i="54"/>
  <c r="O15" i="54"/>
  <c r="N15" i="54"/>
  <c r="K15" i="54"/>
  <c r="O14" i="54"/>
  <c r="N14" i="54"/>
  <c r="K14" i="54"/>
  <c r="O13" i="54"/>
  <c r="N13" i="54"/>
  <c r="K13" i="54"/>
  <c r="O12" i="54"/>
  <c r="N12" i="54"/>
  <c r="K12" i="54"/>
  <c r="O11" i="54"/>
  <c r="N11" i="54"/>
  <c r="K11" i="54"/>
  <c r="O10" i="54"/>
  <c r="N10" i="54"/>
  <c r="K10" i="54"/>
  <c r="O9" i="54"/>
  <c r="N9" i="54"/>
  <c r="K9" i="54"/>
  <c r="O8" i="54"/>
  <c r="N8" i="54"/>
  <c r="K8" i="54"/>
  <c r="O7" i="54"/>
  <c r="N7" i="54"/>
  <c r="K7" i="54"/>
  <c r="O6" i="54"/>
  <c r="N6" i="54"/>
  <c r="K6" i="54"/>
  <c r="O5" i="54"/>
  <c r="N5" i="54"/>
  <c r="K5" i="54"/>
  <c r="U4" i="54"/>
  <c r="O4" i="54"/>
  <c r="N4" i="54"/>
  <c r="K4" i="54"/>
  <c r="T3" i="54"/>
  <c r="O3" i="54"/>
  <c r="N3" i="54"/>
  <c r="K3" i="54"/>
  <c r="C48" i="53"/>
  <c r="B7" i="53"/>
  <c r="B1" i="53"/>
  <c r="D5" i="52"/>
  <c r="D6" i="52"/>
  <c r="D7" i="52"/>
  <c r="D8" i="52"/>
  <c r="D9" i="52"/>
  <c r="D10" i="52"/>
  <c r="D11" i="52"/>
  <c r="D12" i="52"/>
  <c r="D13" i="52"/>
  <c r="D14" i="52"/>
  <c r="D15" i="52"/>
  <c r="D16" i="52"/>
  <c r="D17" i="52"/>
  <c r="D18" i="52"/>
  <c r="D19" i="52"/>
  <c r="D20" i="52"/>
  <c r="D21" i="52"/>
  <c r="D22" i="52"/>
  <c r="D23" i="52"/>
  <c r="D24" i="52"/>
  <c r="D25" i="52"/>
  <c r="D26" i="52"/>
  <c r="D27" i="52"/>
  <c r="D28" i="52"/>
  <c r="D29" i="52"/>
  <c r="D30" i="52"/>
  <c r="D31" i="52"/>
  <c r="D32" i="52"/>
  <c r="D33" i="52"/>
  <c r="D34" i="52"/>
  <c r="C5" i="52"/>
  <c r="C6" i="52"/>
  <c r="C7" i="52"/>
  <c r="C8" i="52"/>
  <c r="C9" i="52"/>
  <c r="C10" i="52"/>
  <c r="C11" i="52"/>
  <c r="C12" i="52"/>
  <c r="C13" i="52"/>
  <c r="C14" i="52"/>
  <c r="C15" i="52"/>
  <c r="C16" i="52"/>
  <c r="C17" i="52"/>
  <c r="C18" i="52"/>
  <c r="C19" i="52"/>
  <c r="C20" i="52"/>
  <c r="C21" i="52"/>
  <c r="C22" i="52"/>
  <c r="C23" i="52"/>
  <c r="C24" i="52"/>
  <c r="C25" i="52"/>
  <c r="C26" i="52"/>
  <c r="C27" i="52"/>
  <c r="C28" i="52"/>
  <c r="C29" i="52"/>
  <c r="C30" i="52"/>
  <c r="C31" i="52"/>
  <c r="C32" i="52"/>
  <c r="C33" i="52"/>
  <c r="C34" i="52"/>
  <c r="B5" i="52"/>
  <c r="B6" i="52"/>
  <c r="B7" i="52"/>
  <c r="B8" i="52"/>
  <c r="B9" i="52"/>
  <c r="B10" i="52"/>
  <c r="B11" i="52"/>
  <c r="B12" i="52"/>
  <c r="B13" i="52"/>
  <c r="B14" i="52"/>
  <c r="B15" i="52"/>
  <c r="B16" i="52"/>
  <c r="B17" i="52"/>
  <c r="B18" i="52"/>
  <c r="B19" i="52"/>
  <c r="B20" i="52"/>
  <c r="B21" i="52"/>
  <c r="B22" i="52"/>
  <c r="B23" i="52"/>
  <c r="B24" i="52"/>
  <c r="B25" i="52"/>
  <c r="B26" i="52"/>
  <c r="B27" i="52"/>
  <c r="B28" i="52"/>
  <c r="B29" i="52"/>
  <c r="B30" i="52"/>
  <c r="B31" i="52"/>
  <c r="B32" i="52"/>
  <c r="B33" i="52"/>
  <c r="B34" i="52"/>
  <c r="A1" i="52"/>
  <c r="E43" i="50"/>
  <c r="J13" i="50"/>
  <c r="J14" i="50"/>
  <c r="J15" i="50"/>
  <c r="J16" i="50"/>
  <c r="J17" i="50"/>
  <c r="J18" i="50"/>
  <c r="J19" i="50"/>
  <c r="J20" i="50"/>
  <c r="J21" i="50"/>
  <c r="J22" i="50"/>
  <c r="J23" i="50"/>
  <c r="J24" i="50"/>
  <c r="J25" i="50"/>
  <c r="J26" i="50"/>
  <c r="J27" i="50"/>
  <c r="J28" i="50"/>
  <c r="J29" i="50"/>
  <c r="J30" i="50"/>
  <c r="J31" i="50"/>
  <c r="J32" i="50"/>
  <c r="J33" i="50"/>
  <c r="J34" i="50"/>
  <c r="J35" i="50"/>
  <c r="J36" i="50"/>
  <c r="J37" i="50"/>
  <c r="J38" i="50"/>
  <c r="J39" i="50"/>
  <c r="J40" i="50"/>
  <c r="J41" i="50"/>
  <c r="H13" i="50"/>
  <c r="H14" i="50"/>
  <c r="H15" i="50"/>
  <c r="H16" i="50"/>
  <c r="H17" i="50"/>
  <c r="H18" i="50"/>
  <c r="H19" i="50"/>
  <c r="H20" i="50"/>
  <c r="H21" i="50"/>
  <c r="H22" i="50"/>
  <c r="H23" i="50"/>
  <c r="H24" i="50"/>
  <c r="H25" i="50"/>
  <c r="H26" i="50"/>
  <c r="H27" i="50"/>
  <c r="H28" i="50"/>
  <c r="H29" i="50"/>
  <c r="H30" i="50"/>
  <c r="H31" i="50"/>
  <c r="H32" i="50"/>
  <c r="H33" i="50"/>
  <c r="H34" i="50"/>
  <c r="H35" i="50"/>
  <c r="H36" i="50"/>
  <c r="H37" i="50"/>
  <c r="H38" i="50"/>
  <c r="H39" i="50"/>
  <c r="H40" i="50"/>
  <c r="H41" i="50"/>
  <c r="F13" i="50"/>
  <c r="F14" i="50"/>
  <c r="F15" i="50"/>
  <c r="F16" i="50"/>
  <c r="F17" i="50"/>
  <c r="F18" i="50"/>
  <c r="F19" i="50"/>
  <c r="F20" i="50"/>
  <c r="F21" i="50"/>
  <c r="F22" i="50"/>
  <c r="F23" i="50"/>
  <c r="F24" i="50"/>
  <c r="F25" i="50"/>
  <c r="F26" i="50"/>
  <c r="F27" i="50"/>
  <c r="F28" i="50"/>
  <c r="F29" i="50"/>
  <c r="F30" i="50"/>
  <c r="F31" i="50"/>
  <c r="F32" i="50"/>
  <c r="F33" i="50"/>
  <c r="F34" i="50"/>
  <c r="F35" i="50"/>
  <c r="F36" i="50"/>
  <c r="F37" i="50"/>
  <c r="F38" i="50"/>
  <c r="F39" i="50"/>
  <c r="F40" i="50"/>
  <c r="F41" i="50"/>
  <c r="B13" i="50"/>
  <c r="B14" i="50"/>
  <c r="B15" i="50"/>
  <c r="B16" i="50"/>
  <c r="B17" i="50"/>
  <c r="B18" i="50"/>
  <c r="B19" i="50"/>
  <c r="B20" i="50"/>
  <c r="B21" i="50"/>
  <c r="B22" i="50"/>
  <c r="B23" i="50"/>
  <c r="B24" i="50"/>
  <c r="B25" i="50"/>
  <c r="B26" i="50"/>
  <c r="B27" i="50"/>
  <c r="B28" i="50"/>
  <c r="B29" i="50"/>
  <c r="B30" i="50"/>
  <c r="B31" i="50"/>
  <c r="B32" i="50"/>
  <c r="B33" i="50"/>
  <c r="B34" i="50"/>
  <c r="B35" i="50"/>
  <c r="B36" i="50"/>
  <c r="B37" i="50"/>
  <c r="B38" i="50"/>
  <c r="B39" i="50"/>
  <c r="B40" i="50"/>
  <c r="B41" i="50"/>
  <c r="A13" i="50"/>
  <c r="A14" i="50"/>
  <c r="A15" i="50"/>
  <c r="A16" i="50"/>
  <c r="A17" i="50"/>
  <c r="A18" i="50"/>
  <c r="A19" i="50"/>
  <c r="A20" i="50"/>
  <c r="A21" i="50"/>
  <c r="A22" i="50"/>
  <c r="A23" i="50"/>
  <c r="A24" i="50"/>
  <c r="A25" i="50"/>
  <c r="A26" i="50"/>
  <c r="A27" i="50"/>
  <c r="A28" i="50"/>
  <c r="A29" i="50"/>
  <c r="A30" i="50"/>
  <c r="A31" i="50"/>
  <c r="A32" i="50"/>
  <c r="A33" i="50"/>
  <c r="A34" i="50"/>
  <c r="A35" i="50"/>
  <c r="A36" i="50"/>
  <c r="A37" i="50"/>
  <c r="A38" i="50"/>
  <c r="A39" i="50"/>
  <c r="A40" i="50"/>
  <c r="A41" i="50"/>
  <c r="J12" i="50"/>
  <c r="H12" i="50"/>
  <c r="F12" i="50"/>
  <c r="B12" i="50"/>
  <c r="A12" i="50"/>
  <c r="AE34" i="52"/>
  <c r="AB34" i="52"/>
  <c r="Y34" i="52"/>
  <c r="X34" i="52"/>
  <c r="U34" i="52"/>
  <c r="R34" i="52"/>
  <c r="Q34" i="52"/>
  <c r="N34" i="52"/>
  <c r="K34" i="52"/>
  <c r="J34" i="52"/>
  <c r="G34" i="52"/>
  <c r="AE33" i="52"/>
  <c r="AB33" i="52"/>
  <c r="Y33" i="52"/>
  <c r="X33" i="52"/>
  <c r="U33" i="52"/>
  <c r="R33" i="52"/>
  <c r="Q33" i="52"/>
  <c r="N33" i="52"/>
  <c r="K33" i="52"/>
  <c r="J33" i="52"/>
  <c r="G33" i="52"/>
  <c r="AE32" i="52"/>
  <c r="AB32" i="52"/>
  <c r="Y32" i="52"/>
  <c r="X32" i="52"/>
  <c r="U32" i="52"/>
  <c r="R32" i="52"/>
  <c r="Q32" i="52"/>
  <c r="N32" i="52"/>
  <c r="K32" i="52"/>
  <c r="J32" i="52"/>
  <c r="G32" i="52"/>
  <c r="AE31" i="52"/>
  <c r="AB31" i="52"/>
  <c r="Y31" i="52"/>
  <c r="X31" i="52"/>
  <c r="U31" i="52"/>
  <c r="R31" i="52"/>
  <c r="Q31" i="52"/>
  <c r="N31" i="52"/>
  <c r="K31" i="52"/>
  <c r="J31" i="52"/>
  <c r="G31" i="52"/>
  <c r="AE30" i="52"/>
  <c r="AB30" i="52"/>
  <c r="Y30" i="52"/>
  <c r="X30" i="52"/>
  <c r="U30" i="52"/>
  <c r="R30" i="52"/>
  <c r="Q30" i="52"/>
  <c r="N30" i="52"/>
  <c r="K30" i="52"/>
  <c r="J30" i="52"/>
  <c r="G30" i="52"/>
  <c r="AE29" i="52"/>
  <c r="AB29" i="52"/>
  <c r="Y29" i="52"/>
  <c r="X29" i="52"/>
  <c r="U29" i="52"/>
  <c r="R29" i="52"/>
  <c r="Q29" i="52"/>
  <c r="N29" i="52"/>
  <c r="K29" i="52"/>
  <c r="J29" i="52"/>
  <c r="G29" i="52"/>
  <c r="AE28" i="52"/>
  <c r="AB28" i="52"/>
  <c r="Y28" i="52"/>
  <c r="X28" i="52"/>
  <c r="U28" i="52"/>
  <c r="R28" i="52"/>
  <c r="Q28" i="52"/>
  <c r="N28" i="52"/>
  <c r="K28" i="52"/>
  <c r="J28" i="52"/>
  <c r="G28" i="52"/>
  <c r="AE27" i="52"/>
  <c r="AB27" i="52"/>
  <c r="Y27" i="52"/>
  <c r="X27" i="52"/>
  <c r="U27" i="52"/>
  <c r="R27" i="52"/>
  <c r="Q27" i="52"/>
  <c r="N27" i="52"/>
  <c r="K27" i="52"/>
  <c r="J27" i="52"/>
  <c r="G27" i="52"/>
  <c r="AE26" i="52"/>
  <c r="AB26" i="52"/>
  <c r="Y26" i="52"/>
  <c r="X26" i="52"/>
  <c r="U26" i="52"/>
  <c r="R26" i="52"/>
  <c r="Q26" i="52"/>
  <c r="N26" i="52"/>
  <c r="K26" i="52"/>
  <c r="J26" i="52"/>
  <c r="G26" i="52"/>
  <c r="AE25" i="52"/>
  <c r="AB25" i="52"/>
  <c r="Y25" i="52"/>
  <c r="X25" i="52"/>
  <c r="U25" i="52"/>
  <c r="R25" i="52"/>
  <c r="Q25" i="52"/>
  <c r="N25" i="52"/>
  <c r="K25" i="52"/>
  <c r="J25" i="52"/>
  <c r="G25" i="52"/>
  <c r="AE24" i="52"/>
  <c r="AB24" i="52"/>
  <c r="Y24" i="52"/>
  <c r="X24" i="52"/>
  <c r="U24" i="52"/>
  <c r="R24" i="52"/>
  <c r="Q24" i="52"/>
  <c r="N24" i="52"/>
  <c r="K24" i="52"/>
  <c r="J24" i="52"/>
  <c r="G24" i="52"/>
  <c r="AE23" i="52"/>
  <c r="AB23" i="52"/>
  <c r="Y23" i="52"/>
  <c r="X23" i="52"/>
  <c r="U23" i="52"/>
  <c r="R23" i="52"/>
  <c r="Q23" i="52"/>
  <c r="N23" i="52"/>
  <c r="K23" i="52"/>
  <c r="J23" i="52"/>
  <c r="G23" i="52"/>
  <c r="AE22" i="52"/>
  <c r="AB22" i="52"/>
  <c r="Y22" i="52"/>
  <c r="X22" i="52"/>
  <c r="U22" i="52"/>
  <c r="R22" i="52"/>
  <c r="Q22" i="52"/>
  <c r="N22" i="52"/>
  <c r="K22" i="52"/>
  <c r="J22" i="52"/>
  <c r="G22" i="52"/>
  <c r="AE21" i="52"/>
  <c r="AB21" i="52"/>
  <c r="Y21" i="52"/>
  <c r="X21" i="52"/>
  <c r="U21" i="52"/>
  <c r="R21" i="52"/>
  <c r="Q21" i="52"/>
  <c r="N21" i="52"/>
  <c r="K21" i="52"/>
  <c r="J21" i="52"/>
  <c r="G21" i="52"/>
  <c r="AE20" i="52"/>
  <c r="AB20" i="52"/>
  <c r="Y20" i="52"/>
  <c r="X20" i="52"/>
  <c r="U20" i="52"/>
  <c r="R20" i="52"/>
  <c r="Q20" i="52"/>
  <c r="N20" i="52"/>
  <c r="K20" i="52"/>
  <c r="J20" i="52"/>
  <c r="G20" i="52"/>
  <c r="AE19" i="52"/>
  <c r="AB19" i="52"/>
  <c r="Y19" i="52"/>
  <c r="X19" i="52"/>
  <c r="U19" i="52"/>
  <c r="R19" i="52"/>
  <c r="Q19" i="52"/>
  <c r="N19" i="52"/>
  <c r="K19" i="52"/>
  <c r="J19" i="52"/>
  <c r="G19" i="52"/>
  <c r="AE18" i="52"/>
  <c r="AB18" i="52"/>
  <c r="Y18" i="52"/>
  <c r="X18" i="52"/>
  <c r="U18" i="52"/>
  <c r="R18" i="52"/>
  <c r="Q18" i="52"/>
  <c r="N18" i="52"/>
  <c r="K18" i="52"/>
  <c r="J18" i="52"/>
  <c r="G18" i="52"/>
  <c r="AE17" i="52"/>
  <c r="AB17" i="52"/>
  <c r="Y17" i="52"/>
  <c r="X17" i="52"/>
  <c r="U17" i="52"/>
  <c r="R17" i="52"/>
  <c r="Q17" i="52"/>
  <c r="N17" i="52"/>
  <c r="K17" i="52"/>
  <c r="J17" i="52"/>
  <c r="G17" i="52"/>
  <c r="AE16" i="52"/>
  <c r="AB16" i="52"/>
  <c r="Y16" i="52"/>
  <c r="X16" i="52"/>
  <c r="U16" i="52"/>
  <c r="R16" i="52"/>
  <c r="Q16" i="52"/>
  <c r="N16" i="52"/>
  <c r="K16" i="52"/>
  <c r="J16" i="52"/>
  <c r="G16" i="52"/>
  <c r="AE15" i="52"/>
  <c r="AB15" i="52"/>
  <c r="Y15" i="52"/>
  <c r="X15" i="52"/>
  <c r="U15" i="52"/>
  <c r="R15" i="52"/>
  <c r="Q15" i="52"/>
  <c r="N15" i="52"/>
  <c r="K15" i="52"/>
  <c r="J15" i="52"/>
  <c r="G15" i="52"/>
  <c r="AE14" i="52"/>
  <c r="AB14" i="52"/>
  <c r="Y14" i="52"/>
  <c r="X14" i="52"/>
  <c r="U14" i="52"/>
  <c r="R14" i="52"/>
  <c r="Q14" i="52"/>
  <c r="N14" i="52"/>
  <c r="K14" i="52"/>
  <c r="J14" i="52"/>
  <c r="G14" i="52"/>
  <c r="AE13" i="52"/>
  <c r="AB13" i="52"/>
  <c r="Y13" i="52"/>
  <c r="X13" i="52"/>
  <c r="U13" i="52"/>
  <c r="R13" i="52"/>
  <c r="Q13" i="52"/>
  <c r="N13" i="52"/>
  <c r="K13" i="52"/>
  <c r="J13" i="52"/>
  <c r="G13" i="52"/>
  <c r="AE12" i="52"/>
  <c r="AB12" i="52"/>
  <c r="Y12" i="52"/>
  <c r="X12" i="52"/>
  <c r="U12" i="52"/>
  <c r="R12" i="52"/>
  <c r="Q12" i="52"/>
  <c r="N12" i="52"/>
  <c r="K12" i="52"/>
  <c r="J12" i="52"/>
  <c r="G12" i="52"/>
  <c r="AE11" i="52"/>
  <c r="AB11" i="52"/>
  <c r="Y11" i="52"/>
  <c r="X11" i="52"/>
  <c r="U11" i="52"/>
  <c r="R11" i="52"/>
  <c r="Q11" i="52"/>
  <c r="N11" i="52"/>
  <c r="K11" i="52"/>
  <c r="J11" i="52"/>
  <c r="G11" i="52"/>
  <c r="AE10" i="52"/>
  <c r="AB10" i="52"/>
  <c r="Y10" i="52"/>
  <c r="X10" i="52"/>
  <c r="U10" i="52"/>
  <c r="R10" i="52"/>
  <c r="Q10" i="52"/>
  <c r="N10" i="52"/>
  <c r="K10" i="52"/>
  <c r="J10" i="52"/>
  <c r="G10" i="52"/>
  <c r="AE9" i="52"/>
  <c r="AB9" i="52"/>
  <c r="Y9" i="52"/>
  <c r="X9" i="52"/>
  <c r="U9" i="52"/>
  <c r="R9" i="52"/>
  <c r="Q9" i="52"/>
  <c r="N9" i="52"/>
  <c r="K9" i="52"/>
  <c r="J9" i="52"/>
  <c r="G9" i="52"/>
  <c r="AE8" i="52"/>
  <c r="AB8" i="52"/>
  <c r="Y8" i="52"/>
  <c r="X8" i="52"/>
  <c r="U8" i="52"/>
  <c r="R8" i="52"/>
  <c r="Q8" i="52"/>
  <c r="N8" i="52"/>
  <c r="K8" i="52"/>
  <c r="J8" i="52"/>
  <c r="G8" i="52"/>
  <c r="AE7" i="52"/>
  <c r="AB7" i="52"/>
  <c r="Y7" i="52"/>
  <c r="X7" i="52"/>
  <c r="U7" i="52"/>
  <c r="R7" i="52"/>
  <c r="Q7" i="52"/>
  <c r="N7" i="52"/>
  <c r="K7" i="52"/>
  <c r="J7" i="52"/>
  <c r="G7" i="52"/>
  <c r="AE6" i="52"/>
  <c r="AB6" i="52"/>
  <c r="Y6" i="52"/>
  <c r="X6" i="52"/>
  <c r="U6" i="52"/>
  <c r="R6" i="52"/>
  <c r="Q6" i="52"/>
  <c r="N6" i="52"/>
  <c r="K6" i="52"/>
  <c r="J6" i="52"/>
  <c r="G6" i="52"/>
  <c r="AE5" i="52"/>
  <c r="AB5" i="52"/>
  <c r="Y5" i="52"/>
  <c r="X5" i="52"/>
  <c r="U5" i="52"/>
  <c r="R5" i="52"/>
  <c r="Q5" i="52"/>
  <c r="N5" i="52"/>
  <c r="K5" i="52"/>
  <c r="J5" i="52"/>
  <c r="G5" i="52"/>
  <c r="N32" i="51"/>
  <c r="K32" i="51"/>
  <c r="N31" i="51"/>
  <c r="K31" i="51"/>
  <c r="N30" i="51"/>
  <c r="K30" i="51"/>
  <c r="N29" i="51"/>
  <c r="K29" i="51"/>
  <c r="N28" i="51"/>
  <c r="K28" i="51"/>
  <c r="O27" i="51"/>
  <c r="N27" i="51"/>
  <c r="K27" i="51"/>
  <c r="O26" i="51"/>
  <c r="N26" i="51"/>
  <c r="K26" i="51"/>
  <c r="O25" i="51"/>
  <c r="N25" i="51"/>
  <c r="K25" i="51"/>
  <c r="O24" i="51"/>
  <c r="N24" i="51"/>
  <c r="K24" i="51"/>
  <c r="O23" i="51"/>
  <c r="N23" i="51"/>
  <c r="K23" i="51"/>
  <c r="O22" i="51"/>
  <c r="N22" i="51"/>
  <c r="K22" i="51"/>
  <c r="O21" i="51"/>
  <c r="N21" i="51"/>
  <c r="K21" i="51"/>
  <c r="O20" i="51"/>
  <c r="N20" i="51"/>
  <c r="K20" i="51"/>
  <c r="O19" i="51"/>
  <c r="N19" i="51"/>
  <c r="K19" i="51"/>
  <c r="O18" i="51"/>
  <c r="N18" i="51"/>
  <c r="K18" i="51"/>
  <c r="O17" i="51"/>
  <c r="N17" i="51"/>
  <c r="K17" i="51"/>
  <c r="O16" i="51"/>
  <c r="N16" i="51"/>
  <c r="K16" i="51"/>
  <c r="O15" i="51"/>
  <c r="N15" i="51"/>
  <c r="K15" i="51"/>
  <c r="O14" i="51"/>
  <c r="N14" i="51"/>
  <c r="K14" i="51"/>
  <c r="O13" i="51"/>
  <c r="N13" i="51"/>
  <c r="K13" i="51"/>
  <c r="O12" i="51"/>
  <c r="N12" i="51"/>
  <c r="K12" i="51"/>
  <c r="O11" i="51"/>
  <c r="N11" i="51"/>
  <c r="K11" i="51"/>
  <c r="O10" i="51"/>
  <c r="N10" i="51"/>
  <c r="K10" i="51"/>
  <c r="O9" i="51"/>
  <c r="N9" i="51"/>
  <c r="K9" i="51"/>
  <c r="O8" i="51"/>
  <c r="N8" i="51"/>
  <c r="K8" i="51"/>
  <c r="O7" i="51"/>
  <c r="N7" i="51"/>
  <c r="K7" i="51"/>
  <c r="O6" i="51"/>
  <c r="N6" i="51"/>
  <c r="K6" i="51"/>
  <c r="O5" i="51"/>
  <c r="N5" i="51"/>
  <c r="K5" i="51"/>
  <c r="U4" i="51"/>
  <c r="O4" i="51"/>
  <c r="N4" i="51"/>
  <c r="K4" i="51"/>
  <c r="T3" i="51"/>
  <c r="O3" i="51"/>
  <c r="N3" i="51"/>
  <c r="K3" i="51"/>
  <c r="C48" i="50"/>
  <c r="B7" i="50"/>
  <c r="B1" i="50"/>
  <c r="D5" i="49"/>
  <c r="D6" i="49"/>
  <c r="D7" i="49"/>
  <c r="D8" i="49"/>
  <c r="D9" i="49"/>
  <c r="D10" i="49"/>
  <c r="D11" i="49"/>
  <c r="D12" i="49"/>
  <c r="D13" i="49"/>
  <c r="D14" i="49"/>
  <c r="D15" i="49"/>
  <c r="D16" i="49"/>
  <c r="D17" i="49"/>
  <c r="D18" i="49"/>
  <c r="D19" i="49"/>
  <c r="D20" i="49"/>
  <c r="D21" i="49"/>
  <c r="D22" i="49"/>
  <c r="D23" i="49"/>
  <c r="D24" i="49"/>
  <c r="D25" i="49"/>
  <c r="D26" i="49"/>
  <c r="D27" i="49"/>
  <c r="D28" i="49"/>
  <c r="D29" i="49"/>
  <c r="D30" i="49"/>
  <c r="D31" i="49"/>
  <c r="D32" i="49"/>
  <c r="D33" i="49"/>
  <c r="D34" i="49"/>
  <c r="C5" i="49"/>
  <c r="C6" i="49"/>
  <c r="C7" i="49"/>
  <c r="C8" i="49"/>
  <c r="C9" i="49"/>
  <c r="C10" i="49"/>
  <c r="C11" i="49"/>
  <c r="C12" i="49"/>
  <c r="C13" i="49"/>
  <c r="C14" i="49"/>
  <c r="C15" i="49"/>
  <c r="C16" i="49"/>
  <c r="C17" i="49"/>
  <c r="C18" i="49"/>
  <c r="C19" i="49"/>
  <c r="C20" i="49"/>
  <c r="C21" i="49"/>
  <c r="C22" i="49"/>
  <c r="C23" i="49"/>
  <c r="C24" i="49"/>
  <c r="C25" i="49"/>
  <c r="C26" i="49"/>
  <c r="C27" i="49"/>
  <c r="C28" i="49"/>
  <c r="C29" i="49"/>
  <c r="C30" i="49"/>
  <c r="C31" i="49"/>
  <c r="C32" i="49"/>
  <c r="C33" i="49"/>
  <c r="C34" i="49"/>
  <c r="B5" i="49"/>
  <c r="B6" i="49"/>
  <c r="B7" i="49"/>
  <c r="B8" i="49"/>
  <c r="B9" i="49"/>
  <c r="B10" i="49"/>
  <c r="B11" i="49"/>
  <c r="B12" i="49"/>
  <c r="B13" i="49"/>
  <c r="B14" i="49"/>
  <c r="B15" i="49"/>
  <c r="B16" i="49"/>
  <c r="B17" i="49"/>
  <c r="B18" i="49"/>
  <c r="B19" i="49"/>
  <c r="B20" i="49"/>
  <c r="B21" i="49"/>
  <c r="B22" i="49"/>
  <c r="B23" i="49"/>
  <c r="B24" i="49"/>
  <c r="B25" i="49"/>
  <c r="B26" i="49"/>
  <c r="B27" i="49"/>
  <c r="B28" i="49"/>
  <c r="B29" i="49"/>
  <c r="B30" i="49"/>
  <c r="B31" i="49"/>
  <c r="B32" i="49"/>
  <c r="B33" i="49"/>
  <c r="B34" i="49"/>
  <c r="A1" i="49"/>
  <c r="E43" i="47"/>
  <c r="J37" i="47"/>
  <c r="J38" i="47"/>
  <c r="J39" i="47"/>
  <c r="J40" i="47"/>
  <c r="J41" i="47"/>
  <c r="H37" i="47"/>
  <c r="H38" i="47"/>
  <c r="H39" i="47"/>
  <c r="H40" i="47"/>
  <c r="H41" i="47"/>
  <c r="F37" i="47"/>
  <c r="F38" i="47"/>
  <c r="F39" i="47"/>
  <c r="F40" i="47"/>
  <c r="F41" i="47"/>
  <c r="B37" i="47"/>
  <c r="B38" i="47"/>
  <c r="B39" i="47"/>
  <c r="B40" i="47"/>
  <c r="B41" i="47"/>
  <c r="J13" i="47"/>
  <c r="J14" i="47"/>
  <c r="J15" i="47"/>
  <c r="J16" i="47"/>
  <c r="J17" i="47"/>
  <c r="J18" i="47"/>
  <c r="J19" i="47"/>
  <c r="J20" i="47"/>
  <c r="J21" i="47"/>
  <c r="J22" i="47"/>
  <c r="J23" i="47"/>
  <c r="J24" i="47"/>
  <c r="J25" i="47"/>
  <c r="J26" i="47"/>
  <c r="J27" i="47"/>
  <c r="J28" i="47"/>
  <c r="J29" i="47"/>
  <c r="J30" i="47"/>
  <c r="J31" i="47"/>
  <c r="J32" i="47"/>
  <c r="J33" i="47"/>
  <c r="J34" i="47"/>
  <c r="J35" i="47"/>
  <c r="J36" i="47"/>
  <c r="H13" i="47"/>
  <c r="H14" i="47"/>
  <c r="H15" i="47"/>
  <c r="H16" i="47"/>
  <c r="H17" i="47"/>
  <c r="H18" i="47"/>
  <c r="H19" i="47"/>
  <c r="H20" i="47"/>
  <c r="H21" i="47"/>
  <c r="H22" i="47"/>
  <c r="H23" i="47"/>
  <c r="H24" i="47"/>
  <c r="H25" i="47"/>
  <c r="H26" i="47"/>
  <c r="H27" i="47"/>
  <c r="H28" i="47"/>
  <c r="H29" i="47"/>
  <c r="H30" i="47"/>
  <c r="H31" i="47"/>
  <c r="H32" i="47"/>
  <c r="H33" i="47"/>
  <c r="H34" i="47"/>
  <c r="H35" i="47"/>
  <c r="H36" i="47"/>
  <c r="F13" i="47"/>
  <c r="F14" i="47"/>
  <c r="F15" i="47"/>
  <c r="F16" i="47"/>
  <c r="F17" i="47"/>
  <c r="F18" i="47"/>
  <c r="F19" i="47"/>
  <c r="F20" i="47"/>
  <c r="F21" i="47"/>
  <c r="F22" i="47"/>
  <c r="F23" i="47"/>
  <c r="F24" i="47"/>
  <c r="F25" i="47"/>
  <c r="F26" i="47"/>
  <c r="F27" i="47"/>
  <c r="F28" i="47"/>
  <c r="F29" i="47"/>
  <c r="F30" i="47"/>
  <c r="F31" i="47"/>
  <c r="F32" i="47"/>
  <c r="F33" i="47"/>
  <c r="F34" i="47"/>
  <c r="F35" i="47"/>
  <c r="F36" i="47"/>
  <c r="B13" i="47"/>
  <c r="B14" i="47"/>
  <c r="B15" i="47"/>
  <c r="B16" i="47"/>
  <c r="B17" i="47"/>
  <c r="B18" i="47"/>
  <c r="B19" i="47"/>
  <c r="B20" i="47"/>
  <c r="B21" i="47"/>
  <c r="B22" i="47"/>
  <c r="B23" i="47"/>
  <c r="B24" i="47"/>
  <c r="B25" i="47"/>
  <c r="B26" i="47"/>
  <c r="B27" i="47"/>
  <c r="B28" i="47"/>
  <c r="B29" i="47"/>
  <c r="B30" i="47"/>
  <c r="B31" i="47"/>
  <c r="B32" i="47"/>
  <c r="B33" i="47"/>
  <c r="B34" i="47"/>
  <c r="B35" i="47"/>
  <c r="B36" i="47"/>
  <c r="A13" i="47"/>
  <c r="A14" i="47"/>
  <c r="A15" i="47"/>
  <c r="A16" i="47"/>
  <c r="A17" i="47"/>
  <c r="A18" i="47"/>
  <c r="A19" i="47"/>
  <c r="A20" i="47"/>
  <c r="A21" i="47"/>
  <c r="A22" i="47"/>
  <c r="A23" i="47"/>
  <c r="A24" i="47"/>
  <c r="A25" i="47"/>
  <c r="A26" i="47"/>
  <c r="A27" i="47"/>
  <c r="A28" i="47"/>
  <c r="A29" i="47"/>
  <c r="A30" i="47"/>
  <c r="A31" i="47"/>
  <c r="A32" i="47"/>
  <c r="A33" i="47"/>
  <c r="A34" i="47"/>
  <c r="A35" i="47"/>
  <c r="A36" i="47"/>
  <c r="A37" i="47"/>
  <c r="A38" i="47"/>
  <c r="A39" i="47"/>
  <c r="A40" i="47"/>
  <c r="A41" i="47"/>
  <c r="J12" i="47"/>
  <c r="H12" i="47"/>
  <c r="F12" i="47"/>
  <c r="B12" i="47"/>
  <c r="A12" i="47"/>
  <c r="G34" i="49"/>
  <c r="J34" i="49"/>
  <c r="K34" i="49"/>
  <c r="N34" i="49"/>
  <c r="Q34" i="49"/>
  <c r="R34" i="49"/>
  <c r="U34" i="49"/>
  <c r="X34" i="49"/>
  <c r="Y34" i="49"/>
  <c r="AB34" i="49"/>
  <c r="AE34" i="49"/>
  <c r="G33" i="49"/>
  <c r="J33" i="49"/>
  <c r="K33" i="49"/>
  <c r="N33" i="49"/>
  <c r="Q33" i="49"/>
  <c r="R33" i="49"/>
  <c r="U33" i="49"/>
  <c r="X33" i="49"/>
  <c r="Y33" i="49"/>
  <c r="AB33" i="49"/>
  <c r="AE33" i="49"/>
  <c r="G32" i="49"/>
  <c r="J32" i="49"/>
  <c r="K32" i="49"/>
  <c r="N32" i="49"/>
  <c r="Q32" i="49"/>
  <c r="R32" i="49"/>
  <c r="U32" i="49"/>
  <c r="X32" i="49"/>
  <c r="Y32" i="49"/>
  <c r="AB32" i="49"/>
  <c r="AE32" i="49"/>
  <c r="G31" i="49"/>
  <c r="J31" i="49"/>
  <c r="K31" i="49"/>
  <c r="N31" i="49"/>
  <c r="Q31" i="49"/>
  <c r="R31" i="49"/>
  <c r="U31" i="49"/>
  <c r="X31" i="49"/>
  <c r="Y31" i="49"/>
  <c r="AB31" i="49"/>
  <c r="AE31" i="49"/>
  <c r="G30" i="49"/>
  <c r="J30" i="49"/>
  <c r="K30" i="49"/>
  <c r="N30" i="49"/>
  <c r="Q30" i="49"/>
  <c r="R30" i="49"/>
  <c r="U30" i="49"/>
  <c r="X30" i="49"/>
  <c r="Y30" i="49"/>
  <c r="AB30" i="49"/>
  <c r="AE30" i="49"/>
  <c r="U4" i="48"/>
  <c r="N28" i="48"/>
  <c r="N29" i="48"/>
  <c r="N30" i="48"/>
  <c r="N31" i="48"/>
  <c r="N32" i="48"/>
  <c r="K32" i="48"/>
  <c r="K31" i="48"/>
  <c r="K30" i="48"/>
  <c r="K29" i="48"/>
  <c r="K28" i="48"/>
  <c r="AE29" i="49"/>
  <c r="AB29" i="49"/>
  <c r="Y29" i="49"/>
  <c r="X29" i="49"/>
  <c r="U29" i="49"/>
  <c r="R29" i="49"/>
  <c r="Q29" i="49"/>
  <c r="N29" i="49"/>
  <c r="K29" i="49"/>
  <c r="J29" i="49"/>
  <c r="G29" i="49"/>
  <c r="AE28" i="49"/>
  <c r="AB28" i="49"/>
  <c r="Y28" i="49"/>
  <c r="X28" i="49"/>
  <c r="U28" i="49"/>
  <c r="R28" i="49"/>
  <c r="Q28" i="49"/>
  <c r="N28" i="49"/>
  <c r="K28" i="49"/>
  <c r="J28" i="49"/>
  <c r="G28" i="49"/>
  <c r="AE27" i="49"/>
  <c r="AB27" i="49"/>
  <c r="Y27" i="49"/>
  <c r="X27" i="49"/>
  <c r="U27" i="49"/>
  <c r="R27" i="49"/>
  <c r="Q27" i="49"/>
  <c r="N27" i="49"/>
  <c r="K27" i="49"/>
  <c r="J27" i="49"/>
  <c r="G27" i="49"/>
  <c r="AE26" i="49"/>
  <c r="AB26" i="49"/>
  <c r="Y26" i="49"/>
  <c r="X26" i="49"/>
  <c r="U26" i="49"/>
  <c r="R26" i="49"/>
  <c r="Q26" i="49"/>
  <c r="N26" i="49"/>
  <c r="K26" i="49"/>
  <c r="J26" i="49"/>
  <c r="G26" i="49"/>
  <c r="AE25" i="49"/>
  <c r="AB25" i="49"/>
  <c r="Y25" i="49"/>
  <c r="X25" i="49"/>
  <c r="U25" i="49"/>
  <c r="R25" i="49"/>
  <c r="Q25" i="49"/>
  <c r="N25" i="49"/>
  <c r="K25" i="49"/>
  <c r="J25" i="49"/>
  <c r="G25" i="49"/>
  <c r="AE24" i="49"/>
  <c r="AB24" i="49"/>
  <c r="Y24" i="49"/>
  <c r="X24" i="49"/>
  <c r="U24" i="49"/>
  <c r="R24" i="49"/>
  <c r="Q24" i="49"/>
  <c r="N24" i="49"/>
  <c r="K24" i="49"/>
  <c r="J24" i="49"/>
  <c r="G24" i="49"/>
  <c r="AE23" i="49"/>
  <c r="AB23" i="49"/>
  <c r="Y23" i="49"/>
  <c r="X23" i="49"/>
  <c r="U23" i="49"/>
  <c r="R23" i="49"/>
  <c r="Q23" i="49"/>
  <c r="N23" i="49"/>
  <c r="K23" i="49"/>
  <c r="J23" i="49"/>
  <c r="G23" i="49"/>
  <c r="AE22" i="49"/>
  <c r="AB22" i="49"/>
  <c r="Y22" i="49"/>
  <c r="X22" i="49"/>
  <c r="U22" i="49"/>
  <c r="R22" i="49"/>
  <c r="Q22" i="49"/>
  <c r="N22" i="49"/>
  <c r="K22" i="49"/>
  <c r="J22" i="49"/>
  <c r="G22" i="49"/>
  <c r="AE21" i="49"/>
  <c r="AB21" i="49"/>
  <c r="Y21" i="49"/>
  <c r="X21" i="49"/>
  <c r="U21" i="49"/>
  <c r="R21" i="49"/>
  <c r="Q21" i="49"/>
  <c r="N21" i="49"/>
  <c r="K21" i="49"/>
  <c r="J21" i="49"/>
  <c r="G21" i="49"/>
  <c r="AE20" i="49"/>
  <c r="AB20" i="49"/>
  <c r="Y20" i="49"/>
  <c r="X20" i="49"/>
  <c r="U20" i="49"/>
  <c r="R20" i="49"/>
  <c r="Q20" i="49"/>
  <c r="N20" i="49"/>
  <c r="K20" i="49"/>
  <c r="J20" i="49"/>
  <c r="G20" i="49"/>
  <c r="AE19" i="49"/>
  <c r="AB19" i="49"/>
  <c r="Y19" i="49"/>
  <c r="X19" i="49"/>
  <c r="U19" i="49"/>
  <c r="R19" i="49"/>
  <c r="Q19" i="49"/>
  <c r="N19" i="49"/>
  <c r="K19" i="49"/>
  <c r="J19" i="49"/>
  <c r="G19" i="49"/>
  <c r="AE18" i="49"/>
  <c r="AB18" i="49"/>
  <c r="Y18" i="49"/>
  <c r="X18" i="49"/>
  <c r="U18" i="49"/>
  <c r="R18" i="49"/>
  <c r="Q18" i="49"/>
  <c r="N18" i="49"/>
  <c r="K18" i="49"/>
  <c r="J18" i="49"/>
  <c r="G18" i="49"/>
  <c r="AE17" i="49"/>
  <c r="AB17" i="49"/>
  <c r="Y17" i="49"/>
  <c r="X17" i="49"/>
  <c r="U17" i="49"/>
  <c r="R17" i="49"/>
  <c r="Q17" i="49"/>
  <c r="N17" i="49"/>
  <c r="K17" i="49"/>
  <c r="J17" i="49"/>
  <c r="G17" i="49"/>
  <c r="AE16" i="49"/>
  <c r="AB16" i="49"/>
  <c r="Y16" i="49"/>
  <c r="X16" i="49"/>
  <c r="U16" i="49"/>
  <c r="R16" i="49"/>
  <c r="Q16" i="49"/>
  <c r="N16" i="49"/>
  <c r="K16" i="49"/>
  <c r="J16" i="49"/>
  <c r="G16" i="49"/>
  <c r="AE15" i="49"/>
  <c r="AB15" i="49"/>
  <c r="Y15" i="49"/>
  <c r="X15" i="49"/>
  <c r="U15" i="49"/>
  <c r="R15" i="49"/>
  <c r="Q15" i="49"/>
  <c r="N15" i="49"/>
  <c r="K15" i="49"/>
  <c r="J15" i="49"/>
  <c r="G15" i="49"/>
  <c r="AE14" i="49"/>
  <c r="AB14" i="49"/>
  <c r="Y14" i="49"/>
  <c r="X14" i="49"/>
  <c r="U14" i="49"/>
  <c r="R14" i="49"/>
  <c r="Q14" i="49"/>
  <c r="N14" i="49"/>
  <c r="K14" i="49"/>
  <c r="J14" i="49"/>
  <c r="G14" i="49"/>
  <c r="AE13" i="49"/>
  <c r="AB13" i="49"/>
  <c r="Y13" i="49"/>
  <c r="X13" i="49"/>
  <c r="U13" i="49"/>
  <c r="R13" i="49"/>
  <c r="Q13" i="49"/>
  <c r="N13" i="49"/>
  <c r="K13" i="49"/>
  <c r="J13" i="49"/>
  <c r="G13" i="49"/>
  <c r="AE12" i="49"/>
  <c r="AB12" i="49"/>
  <c r="Y12" i="49"/>
  <c r="X12" i="49"/>
  <c r="U12" i="49"/>
  <c r="R12" i="49"/>
  <c r="Q12" i="49"/>
  <c r="N12" i="49"/>
  <c r="K12" i="49"/>
  <c r="J12" i="49"/>
  <c r="G12" i="49"/>
  <c r="AE11" i="49"/>
  <c r="AB11" i="49"/>
  <c r="Y11" i="49"/>
  <c r="X11" i="49"/>
  <c r="U11" i="49"/>
  <c r="R11" i="49"/>
  <c r="Q11" i="49"/>
  <c r="N11" i="49"/>
  <c r="K11" i="49"/>
  <c r="J11" i="49"/>
  <c r="G11" i="49"/>
  <c r="AE10" i="49"/>
  <c r="AB10" i="49"/>
  <c r="Y10" i="49"/>
  <c r="X10" i="49"/>
  <c r="U10" i="49"/>
  <c r="R10" i="49"/>
  <c r="Q10" i="49"/>
  <c r="N10" i="49"/>
  <c r="K10" i="49"/>
  <c r="J10" i="49"/>
  <c r="G10" i="49"/>
  <c r="AE9" i="49"/>
  <c r="AB9" i="49"/>
  <c r="Y9" i="49"/>
  <c r="X9" i="49"/>
  <c r="U9" i="49"/>
  <c r="R9" i="49"/>
  <c r="Q9" i="49"/>
  <c r="N9" i="49"/>
  <c r="K9" i="49"/>
  <c r="J9" i="49"/>
  <c r="G9" i="49"/>
  <c r="AE8" i="49"/>
  <c r="AB8" i="49"/>
  <c r="Y8" i="49"/>
  <c r="X8" i="49"/>
  <c r="U8" i="49"/>
  <c r="R8" i="49"/>
  <c r="Q8" i="49"/>
  <c r="N8" i="49"/>
  <c r="K8" i="49"/>
  <c r="J8" i="49"/>
  <c r="G8" i="49"/>
  <c r="AE7" i="49"/>
  <c r="AB7" i="49"/>
  <c r="Y7" i="49"/>
  <c r="X7" i="49"/>
  <c r="U7" i="49"/>
  <c r="R7" i="49"/>
  <c r="Q7" i="49"/>
  <c r="N7" i="49"/>
  <c r="K7" i="49"/>
  <c r="J7" i="49"/>
  <c r="G7" i="49"/>
  <c r="AE6" i="49"/>
  <c r="AB6" i="49"/>
  <c r="Y6" i="49"/>
  <c r="X6" i="49"/>
  <c r="U6" i="49"/>
  <c r="R6" i="49"/>
  <c r="Q6" i="49"/>
  <c r="N6" i="49"/>
  <c r="K6" i="49"/>
  <c r="J6" i="49"/>
  <c r="G6" i="49"/>
  <c r="AE5" i="49"/>
  <c r="AB5" i="49"/>
  <c r="Y5" i="49"/>
  <c r="X5" i="49"/>
  <c r="U5" i="49"/>
  <c r="R5" i="49"/>
  <c r="Q5" i="49"/>
  <c r="N5" i="49"/>
  <c r="K5" i="49"/>
  <c r="J5" i="49"/>
  <c r="G5" i="49"/>
  <c r="O27" i="48"/>
  <c r="N27" i="48"/>
  <c r="K27" i="48"/>
  <c r="O26" i="48"/>
  <c r="N26" i="48"/>
  <c r="K26" i="48"/>
  <c r="O25" i="48"/>
  <c r="N25" i="48"/>
  <c r="K25" i="48"/>
  <c r="O24" i="48"/>
  <c r="N24" i="48"/>
  <c r="K24" i="48"/>
  <c r="O23" i="48"/>
  <c r="N23" i="48"/>
  <c r="K23" i="48"/>
  <c r="O22" i="48"/>
  <c r="N22" i="48"/>
  <c r="K22" i="48"/>
  <c r="O21" i="48"/>
  <c r="N21" i="48"/>
  <c r="K21" i="48"/>
  <c r="O20" i="48"/>
  <c r="N20" i="48"/>
  <c r="K20" i="48"/>
  <c r="O19" i="48"/>
  <c r="N19" i="48"/>
  <c r="K19" i="48"/>
  <c r="O18" i="48"/>
  <c r="N18" i="48"/>
  <c r="K18" i="48"/>
  <c r="O17" i="48"/>
  <c r="N17" i="48"/>
  <c r="K17" i="48"/>
  <c r="O16" i="48"/>
  <c r="N16" i="48"/>
  <c r="K16" i="48"/>
  <c r="O15" i="48"/>
  <c r="N15" i="48"/>
  <c r="K15" i="48"/>
  <c r="O14" i="48"/>
  <c r="N14" i="48"/>
  <c r="K14" i="48"/>
  <c r="O13" i="48"/>
  <c r="N13" i="48"/>
  <c r="K13" i="48"/>
  <c r="O12" i="48"/>
  <c r="N12" i="48"/>
  <c r="K12" i="48"/>
  <c r="O11" i="48"/>
  <c r="N11" i="48"/>
  <c r="K11" i="48"/>
  <c r="O10" i="48"/>
  <c r="N10" i="48"/>
  <c r="K10" i="48"/>
  <c r="O9" i="48"/>
  <c r="N9" i="48"/>
  <c r="K9" i="48"/>
  <c r="O8" i="48"/>
  <c r="N8" i="48"/>
  <c r="K8" i="48"/>
  <c r="O7" i="48"/>
  <c r="N7" i="48"/>
  <c r="K7" i="48"/>
  <c r="O6" i="48"/>
  <c r="N6" i="48"/>
  <c r="K6" i="48"/>
  <c r="O5" i="48"/>
  <c r="N5" i="48"/>
  <c r="K5" i="48"/>
  <c r="O4" i="48"/>
  <c r="N4" i="48"/>
  <c r="K4" i="48"/>
  <c r="T3" i="48"/>
  <c r="O3" i="48"/>
  <c r="N3" i="48"/>
  <c r="K3" i="48"/>
  <c r="C48" i="47"/>
  <c r="B7" i="47"/>
  <c r="B1" i="47"/>
  <c r="D5" i="46"/>
  <c r="D6" i="46"/>
  <c r="D7" i="46"/>
  <c r="D8" i="46"/>
  <c r="D9" i="46"/>
  <c r="D10" i="46"/>
  <c r="D11" i="46"/>
  <c r="D12" i="46"/>
  <c r="D13" i="46"/>
  <c r="D14" i="46"/>
  <c r="D15" i="46"/>
  <c r="D16" i="46"/>
  <c r="D17" i="46"/>
  <c r="D18" i="46"/>
  <c r="D19" i="46"/>
  <c r="D20" i="46"/>
  <c r="D21" i="46"/>
  <c r="D22" i="46"/>
  <c r="D23" i="46"/>
  <c r="D24" i="46"/>
  <c r="D25" i="46"/>
  <c r="D26" i="46"/>
  <c r="D27" i="46"/>
  <c r="D28" i="46"/>
  <c r="D29" i="46"/>
  <c r="C5" i="46"/>
  <c r="C6" i="46"/>
  <c r="C7" i="46"/>
  <c r="C8" i="46"/>
  <c r="C9" i="46"/>
  <c r="C10" i="46"/>
  <c r="C11" i="46"/>
  <c r="C12" i="46"/>
  <c r="C13" i="46"/>
  <c r="C14" i="46"/>
  <c r="C15" i="46"/>
  <c r="C16" i="46"/>
  <c r="C17" i="46"/>
  <c r="C18" i="46"/>
  <c r="C19" i="46"/>
  <c r="C20" i="46"/>
  <c r="C21" i="46"/>
  <c r="C22" i="46"/>
  <c r="C23" i="46"/>
  <c r="C24" i="46"/>
  <c r="C25" i="46"/>
  <c r="C26" i="46"/>
  <c r="C27" i="46"/>
  <c r="C28" i="46"/>
  <c r="C29" i="46"/>
  <c r="B5" i="46"/>
  <c r="B6" i="46"/>
  <c r="B7" i="46"/>
  <c r="B8" i="46"/>
  <c r="B9" i="46"/>
  <c r="B10" i="46"/>
  <c r="B11" i="46"/>
  <c r="B12" i="46"/>
  <c r="B13" i="46"/>
  <c r="B14" i="46"/>
  <c r="B15" i="46"/>
  <c r="B16" i="46"/>
  <c r="B17" i="46"/>
  <c r="B18" i="46"/>
  <c r="B19" i="46"/>
  <c r="B20" i="46"/>
  <c r="B21" i="46"/>
  <c r="B22" i="46"/>
  <c r="B23" i="46"/>
  <c r="B24" i="46"/>
  <c r="B25" i="46"/>
  <c r="B26" i="46"/>
  <c r="B27" i="46"/>
  <c r="B28" i="46"/>
  <c r="B29" i="46"/>
  <c r="A1" i="46"/>
  <c r="E38" i="44"/>
  <c r="J13" i="44"/>
  <c r="J14" i="44"/>
  <c r="J15" i="44"/>
  <c r="J16" i="44"/>
  <c r="J17" i="44"/>
  <c r="J18" i="44"/>
  <c r="J19" i="44"/>
  <c r="J20" i="44"/>
  <c r="J21" i="44"/>
  <c r="J22" i="44"/>
  <c r="J23" i="44"/>
  <c r="J24" i="44"/>
  <c r="J25" i="44"/>
  <c r="J26" i="44"/>
  <c r="J27" i="44"/>
  <c r="J28" i="44"/>
  <c r="J29" i="44"/>
  <c r="J30" i="44"/>
  <c r="J31" i="44"/>
  <c r="J32" i="44"/>
  <c r="J33" i="44"/>
  <c r="J34" i="44"/>
  <c r="J35" i="44"/>
  <c r="J36" i="44"/>
  <c r="H13" i="44"/>
  <c r="H14" i="44"/>
  <c r="H15" i="44"/>
  <c r="H16" i="44"/>
  <c r="H17" i="44"/>
  <c r="H18" i="44"/>
  <c r="H19" i="44"/>
  <c r="H20" i="44"/>
  <c r="H21" i="44"/>
  <c r="H22" i="44"/>
  <c r="H23" i="44"/>
  <c r="H24" i="44"/>
  <c r="H25" i="44"/>
  <c r="H26" i="44"/>
  <c r="H27" i="44"/>
  <c r="H28" i="44"/>
  <c r="H29" i="44"/>
  <c r="H30" i="44"/>
  <c r="H31" i="44"/>
  <c r="H32" i="44"/>
  <c r="H33" i="44"/>
  <c r="H34" i="44"/>
  <c r="H35" i="44"/>
  <c r="H36" i="44"/>
  <c r="F13" i="44"/>
  <c r="F14" i="44"/>
  <c r="F15" i="44"/>
  <c r="F16" i="44"/>
  <c r="F17" i="44"/>
  <c r="F18" i="44"/>
  <c r="F19" i="44"/>
  <c r="F20" i="44"/>
  <c r="F21" i="44"/>
  <c r="F22" i="44"/>
  <c r="F23" i="44"/>
  <c r="F24" i="44"/>
  <c r="F25" i="44"/>
  <c r="F26" i="44"/>
  <c r="F27" i="44"/>
  <c r="F28" i="44"/>
  <c r="F29" i="44"/>
  <c r="F30" i="44"/>
  <c r="F31" i="44"/>
  <c r="F32" i="44"/>
  <c r="F33" i="44"/>
  <c r="F34" i="44"/>
  <c r="F35" i="44"/>
  <c r="F36" i="44"/>
  <c r="B13" i="44"/>
  <c r="B14" i="44"/>
  <c r="B15" i="44"/>
  <c r="B16" i="44"/>
  <c r="B17" i="44"/>
  <c r="B18" i="44"/>
  <c r="B19" i="44"/>
  <c r="B20" i="44"/>
  <c r="B21" i="44"/>
  <c r="B22" i="44"/>
  <c r="B23" i="44"/>
  <c r="B24" i="44"/>
  <c r="B25" i="44"/>
  <c r="B26" i="44"/>
  <c r="B27" i="44"/>
  <c r="B28" i="44"/>
  <c r="B29" i="44"/>
  <c r="B30" i="44"/>
  <c r="B31" i="44"/>
  <c r="B32" i="44"/>
  <c r="B33" i="44"/>
  <c r="B34" i="44"/>
  <c r="B35" i="44"/>
  <c r="B36" i="44"/>
  <c r="A13" i="44"/>
  <c r="A14" i="44"/>
  <c r="A15" i="44"/>
  <c r="A16" i="44"/>
  <c r="A17" i="44"/>
  <c r="A18" i="44"/>
  <c r="A19" i="44"/>
  <c r="A20" i="44"/>
  <c r="A21" i="44"/>
  <c r="A22" i="44"/>
  <c r="A23" i="44"/>
  <c r="A24" i="44"/>
  <c r="A25" i="44"/>
  <c r="A26" i="44"/>
  <c r="A27" i="44"/>
  <c r="A28" i="44"/>
  <c r="A29" i="44"/>
  <c r="A30" i="44"/>
  <c r="A31" i="44"/>
  <c r="A32" i="44"/>
  <c r="A33" i="44"/>
  <c r="A34" i="44"/>
  <c r="A35" i="44"/>
  <c r="A36" i="44"/>
  <c r="J12" i="44"/>
  <c r="H12" i="44"/>
  <c r="F12" i="44"/>
  <c r="B12" i="44"/>
  <c r="A12" i="44"/>
  <c r="AE29" i="46"/>
  <c r="AB29" i="46"/>
  <c r="Y29" i="46"/>
  <c r="X29" i="46"/>
  <c r="U29" i="46"/>
  <c r="R29" i="46"/>
  <c r="Q29" i="46"/>
  <c r="N29" i="46"/>
  <c r="K29" i="46"/>
  <c r="J29" i="46"/>
  <c r="G29" i="46"/>
  <c r="AE28" i="46"/>
  <c r="AB28" i="46"/>
  <c r="Y28" i="46"/>
  <c r="X28" i="46"/>
  <c r="U28" i="46"/>
  <c r="R28" i="46"/>
  <c r="Q28" i="46"/>
  <c r="N28" i="46"/>
  <c r="K28" i="46"/>
  <c r="J28" i="46"/>
  <c r="G28" i="46"/>
  <c r="AE27" i="46"/>
  <c r="AB27" i="46"/>
  <c r="Y27" i="46"/>
  <c r="X27" i="46"/>
  <c r="U27" i="46"/>
  <c r="R27" i="46"/>
  <c r="Q27" i="46"/>
  <c r="N27" i="46"/>
  <c r="K27" i="46"/>
  <c r="J27" i="46"/>
  <c r="G27" i="46"/>
  <c r="AE26" i="46"/>
  <c r="AB26" i="46"/>
  <c r="Y26" i="46"/>
  <c r="X26" i="46"/>
  <c r="U26" i="46"/>
  <c r="R26" i="46"/>
  <c r="Q26" i="46"/>
  <c r="N26" i="46"/>
  <c r="K26" i="46"/>
  <c r="J26" i="46"/>
  <c r="G26" i="46"/>
  <c r="AE25" i="46"/>
  <c r="AB25" i="46"/>
  <c r="Y25" i="46"/>
  <c r="X25" i="46"/>
  <c r="U25" i="46"/>
  <c r="R25" i="46"/>
  <c r="Q25" i="46"/>
  <c r="N25" i="46"/>
  <c r="K25" i="46"/>
  <c r="J25" i="46"/>
  <c r="G25" i="46"/>
  <c r="AE24" i="46"/>
  <c r="AB24" i="46"/>
  <c r="Y24" i="46"/>
  <c r="X24" i="46"/>
  <c r="U24" i="46"/>
  <c r="R24" i="46"/>
  <c r="Q24" i="46"/>
  <c r="N24" i="46"/>
  <c r="K24" i="46"/>
  <c r="J24" i="46"/>
  <c r="G24" i="46"/>
  <c r="AE23" i="46"/>
  <c r="AB23" i="46"/>
  <c r="Y23" i="46"/>
  <c r="X23" i="46"/>
  <c r="U23" i="46"/>
  <c r="R23" i="46"/>
  <c r="Q23" i="46"/>
  <c r="N23" i="46"/>
  <c r="K23" i="46"/>
  <c r="J23" i="46"/>
  <c r="G23" i="46"/>
  <c r="AE22" i="46"/>
  <c r="AB22" i="46"/>
  <c r="Y22" i="46"/>
  <c r="X22" i="46"/>
  <c r="U22" i="46"/>
  <c r="R22" i="46"/>
  <c r="Q22" i="46"/>
  <c r="N22" i="46"/>
  <c r="K22" i="46"/>
  <c r="J22" i="46"/>
  <c r="G22" i="46"/>
  <c r="AE21" i="46"/>
  <c r="AB21" i="46"/>
  <c r="Y21" i="46"/>
  <c r="X21" i="46"/>
  <c r="U21" i="46"/>
  <c r="R21" i="46"/>
  <c r="Q21" i="46"/>
  <c r="N21" i="46"/>
  <c r="K21" i="46"/>
  <c r="J21" i="46"/>
  <c r="G21" i="46"/>
  <c r="AE20" i="46"/>
  <c r="AB20" i="46"/>
  <c r="Y20" i="46"/>
  <c r="X20" i="46"/>
  <c r="U20" i="46"/>
  <c r="R20" i="46"/>
  <c r="Q20" i="46"/>
  <c r="N20" i="46"/>
  <c r="K20" i="46"/>
  <c r="J20" i="46"/>
  <c r="G20" i="46"/>
  <c r="AE19" i="46"/>
  <c r="AB19" i="46"/>
  <c r="Y19" i="46"/>
  <c r="X19" i="46"/>
  <c r="U19" i="46"/>
  <c r="R19" i="46"/>
  <c r="Q19" i="46"/>
  <c r="N19" i="46"/>
  <c r="K19" i="46"/>
  <c r="J19" i="46"/>
  <c r="G19" i="46"/>
  <c r="AE18" i="46"/>
  <c r="AB18" i="46"/>
  <c r="Y18" i="46"/>
  <c r="X18" i="46"/>
  <c r="U18" i="46"/>
  <c r="R18" i="46"/>
  <c r="Q18" i="46"/>
  <c r="N18" i="46"/>
  <c r="K18" i="46"/>
  <c r="J18" i="46"/>
  <c r="G18" i="46"/>
  <c r="AE17" i="46"/>
  <c r="AB17" i="46"/>
  <c r="Y17" i="46"/>
  <c r="X17" i="46"/>
  <c r="U17" i="46"/>
  <c r="R17" i="46"/>
  <c r="Q17" i="46"/>
  <c r="N17" i="46"/>
  <c r="K17" i="46"/>
  <c r="J17" i="46"/>
  <c r="G17" i="46"/>
  <c r="AE16" i="46"/>
  <c r="AB16" i="46"/>
  <c r="Y16" i="46"/>
  <c r="X16" i="46"/>
  <c r="U16" i="46"/>
  <c r="R16" i="46"/>
  <c r="Q16" i="46"/>
  <c r="N16" i="46"/>
  <c r="K16" i="46"/>
  <c r="J16" i="46"/>
  <c r="G16" i="46"/>
  <c r="AE15" i="46"/>
  <c r="AB15" i="46"/>
  <c r="Y15" i="46"/>
  <c r="X15" i="46"/>
  <c r="U15" i="46"/>
  <c r="R15" i="46"/>
  <c r="Q15" i="46"/>
  <c r="N15" i="46"/>
  <c r="K15" i="46"/>
  <c r="J15" i="46"/>
  <c r="G15" i="46"/>
  <c r="AE14" i="46"/>
  <c r="AB14" i="46"/>
  <c r="Y14" i="46"/>
  <c r="X14" i="46"/>
  <c r="U14" i="46"/>
  <c r="R14" i="46"/>
  <c r="Q14" i="46"/>
  <c r="N14" i="46"/>
  <c r="K14" i="46"/>
  <c r="J14" i="46"/>
  <c r="G14" i="46"/>
  <c r="AE13" i="46"/>
  <c r="AB13" i="46"/>
  <c r="Y13" i="46"/>
  <c r="X13" i="46"/>
  <c r="U13" i="46"/>
  <c r="R13" i="46"/>
  <c r="Q13" i="46"/>
  <c r="N13" i="46"/>
  <c r="K13" i="46"/>
  <c r="J13" i="46"/>
  <c r="G13" i="46"/>
  <c r="AE12" i="46"/>
  <c r="AB12" i="46"/>
  <c r="Y12" i="46"/>
  <c r="X12" i="46"/>
  <c r="U12" i="46"/>
  <c r="R12" i="46"/>
  <c r="Q12" i="46"/>
  <c r="N12" i="46"/>
  <c r="K12" i="46"/>
  <c r="J12" i="46"/>
  <c r="G12" i="46"/>
  <c r="AE11" i="46"/>
  <c r="AB11" i="46"/>
  <c r="Y11" i="46"/>
  <c r="X11" i="46"/>
  <c r="U11" i="46"/>
  <c r="R11" i="46"/>
  <c r="Q11" i="46"/>
  <c r="N11" i="46"/>
  <c r="K11" i="46"/>
  <c r="J11" i="46"/>
  <c r="G11" i="46"/>
  <c r="AE10" i="46"/>
  <c r="AB10" i="46"/>
  <c r="Y10" i="46"/>
  <c r="X10" i="46"/>
  <c r="U10" i="46"/>
  <c r="R10" i="46"/>
  <c r="Q10" i="46"/>
  <c r="N10" i="46"/>
  <c r="K10" i="46"/>
  <c r="J10" i="46"/>
  <c r="G10" i="46"/>
  <c r="AE9" i="46"/>
  <c r="AB9" i="46"/>
  <c r="Y9" i="46"/>
  <c r="X9" i="46"/>
  <c r="U9" i="46"/>
  <c r="R9" i="46"/>
  <c r="Q9" i="46"/>
  <c r="N9" i="46"/>
  <c r="K9" i="46"/>
  <c r="J9" i="46"/>
  <c r="G9" i="46"/>
  <c r="AE8" i="46"/>
  <c r="AB8" i="46"/>
  <c r="Y8" i="46"/>
  <c r="X8" i="46"/>
  <c r="U8" i="46"/>
  <c r="R8" i="46"/>
  <c r="Q8" i="46"/>
  <c r="N8" i="46"/>
  <c r="K8" i="46"/>
  <c r="J8" i="46"/>
  <c r="G8" i="46"/>
  <c r="AE7" i="46"/>
  <c r="AB7" i="46"/>
  <c r="Y7" i="46"/>
  <c r="X7" i="46"/>
  <c r="U7" i="46"/>
  <c r="R7" i="46"/>
  <c r="Q7" i="46"/>
  <c r="N7" i="46"/>
  <c r="K7" i="46"/>
  <c r="J7" i="46"/>
  <c r="G7" i="46"/>
  <c r="AE6" i="46"/>
  <c r="AB6" i="46"/>
  <c r="Y6" i="46"/>
  <c r="X6" i="46"/>
  <c r="U6" i="46"/>
  <c r="R6" i="46"/>
  <c r="Q6" i="46"/>
  <c r="N6" i="46"/>
  <c r="K6" i="46"/>
  <c r="J6" i="46"/>
  <c r="G6" i="46"/>
  <c r="AE5" i="46"/>
  <c r="AB5" i="46"/>
  <c r="Y5" i="46"/>
  <c r="X5" i="46"/>
  <c r="U5" i="46"/>
  <c r="R5" i="46"/>
  <c r="Q5" i="46"/>
  <c r="N5" i="46"/>
  <c r="K5" i="46"/>
  <c r="J5" i="46"/>
  <c r="G5" i="46"/>
  <c r="O27" i="45"/>
  <c r="N27" i="45"/>
  <c r="K27" i="45"/>
  <c r="O26" i="45"/>
  <c r="N26" i="45"/>
  <c r="K26" i="45"/>
  <c r="O25" i="45"/>
  <c r="N25" i="45"/>
  <c r="K25" i="45"/>
  <c r="O24" i="45"/>
  <c r="N24" i="45"/>
  <c r="K24" i="45"/>
  <c r="O23" i="45"/>
  <c r="N23" i="45"/>
  <c r="K23" i="45"/>
  <c r="O22" i="45"/>
  <c r="N22" i="45"/>
  <c r="K22" i="45"/>
  <c r="O21" i="45"/>
  <c r="N21" i="45"/>
  <c r="K21" i="45"/>
  <c r="O20" i="45"/>
  <c r="N20" i="45"/>
  <c r="K20" i="45"/>
  <c r="O19" i="45"/>
  <c r="N19" i="45"/>
  <c r="K19" i="45"/>
  <c r="O18" i="45"/>
  <c r="N18" i="45"/>
  <c r="K18" i="45"/>
  <c r="O17" i="45"/>
  <c r="N17" i="45"/>
  <c r="K17" i="45"/>
  <c r="O16" i="45"/>
  <c r="N16" i="45"/>
  <c r="K16" i="45"/>
  <c r="O15" i="45"/>
  <c r="N15" i="45"/>
  <c r="K15" i="45"/>
  <c r="O14" i="45"/>
  <c r="N14" i="45"/>
  <c r="K14" i="45"/>
  <c r="O13" i="45"/>
  <c r="N13" i="45"/>
  <c r="K13" i="45"/>
  <c r="O12" i="45"/>
  <c r="N12" i="45"/>
  <c r="K12" i="45"/>
  <c r="O11" i="45"/>
  <c r="N11" i="45"/>
  <c r="K11" i="45"/>
  <c r="O10" i="45"/>
  <c r="N10" i="45"/>
  <c r="K10" i="45"/>
  <c r="O9" i="45"/>
  <c r="N9" i="45"/>
  <c r="K9" i="45"/>
  <c r="O8" i="45"/>
  <c r="N8" i="45"/>
  <c r="K8" i="45"/>
  <c r="O7" i="45"/>
  <c r="N7" i="45"/>
  <c r="K7" i="45"/>
  <c r="O6" i="45"/>
  <c r="N6" i="45"/>
  <c r="K6" i="45"/>
  <c r="O5" i="45"/>
  <c r="N5" i="45"/>
  <c r="K5" i="45"/>
  <c r="U4" i="45"/>
  <c r="O4" i="45"/>
  <c r="N4" i="45"/>
  <c r="K4" i="45"/>
  <c r="T3" i="45"/>
  <c r="O3" i="45"/>
  <c r="N3" i="45"/>
  <c r="K3" i="45"/>
  <c r="C48" i="44"/>
  <c r="B7" i="44"/>
  <c r="B1" i="44"/>
  <c r="A1" i="43"/>
  <c r="D5" i="43"/>
  <c r="D6" i="43"/>
  <c r="D7" i="43"/>
  <c r="D8" i="43"/>
  <c r="D9" i="43"/>
  <c r="D10" i="43"/>
  <c r="D11" i="43"/>
  <c r="D12" i="43"/>
  <c r="D13" i="43"/>
  <c r="D14" i="43"/>
  <c r="D15" i="43"/>
  <c r="D16" i="43"/>
  <c r="D17" i="43"/>
  <c r="D18" i="43"/>
  <c r="D19" i="43"/>
  <c r="D20" i="43"/>
  <c r="D21" i="43"/>
  <c r="D22" i="43"/>
  <c r="D23" i="43"/>
  <c r="D24" i="43"/>
  <c r="D25" i="43"/>
  <c r="D26" i="43"/>
  <c r="D27" i="43"/>
  <c r="D28" i="43"/>
  <c r="D29" i="43"/>
  <c r="C5" i="43"/>
  <c r="C6" i="43"/>
  <c r="C7" i="43"/>
  <c r="C8" i="43"/>
  <c r="C9" i="43"/>
  <c r="C10" i="43"/>
  <c r="C11" i="43"/>
  <c r="C12" i="43"/>
  <c r="C13" i="43"/>
  <c r="C14" i="43"/>
  <c r="C15" i="43"/>
  <c r="C16" i="43"/>
  <c r="C17" i="43"/>
  <c r="C18" i="43"/>
  <c r="C19" i="43"/>
  <c r="C20" i="43"/>
  <c r="C21" i="43"/>
  <c r="C22" i="43"/>
  <c r="C23" i="43"/>
  <c r="C24" i="43"/>
  <c r="C25" i="43"/>
  <c r="C26" i="43"/>
  <c r="C27" i="43"/>
  <c r="C28" i="43"/>
  <c r="C29" i="43"/>
  <c r="B5" i="43"/>
  <c r="B6" i="43"/>
  <c r="B7" i="43"/>
  <c r="B8" i="43"/>
  <c r="B9" i="43"/>
  <c r="B10" i="43"/>
  <c r="B11" i="43"/>
  <c r="B12" i="43"/>
  <c r="B13" i="43"/>
  <c r="B14" i="43"/>
  <c r="B15" i="43"/>
  <c r="B16" i="43"/>
  <c r="B17" i="43"/>
  <c r="B18" i="43"/>
  <c r="B19" i="43"/>
  <c r="B20" i="43"/>
  <c r="B21" i="43"/>
  <c r="B22" i="43"/>
  <c r="B23" i="43"/>
  <c r="B24" i="43"/>
  <c r="B25" i="43"/>
  <c r="B26" i="43"/>
  <c r="B27" i="43"/>
  <c r="B28" i="43"/>
  <c r="B29" i="43"/>
  <c r="E38" i="41"/>
  <c r="J13" i="41"/>
  <c r="J14" i="41"/>
  <c r="J15" i="41"/>
  <c r="J16" i="41"/>
  <c r="J17" i="41"/>
  <c r="J18" i="41"/>
  <c r="J19" i="41"/>
  <c r="J20" i="41"/>
  <c r="J21" i="41"/>
  <c r="J22" i="41"/>
  <c r="J23" i="41"/>
  <c r="J24" i="41"/>
  <c r="J25" i="41"/>
  <c r="J26" i="41"/>
  <c r="J27" i="41"/>
  <c r="J28" i="41"/>
  <c r="J29" i="41"/>
  <c r="J30" i="41"/>
  <c r="J31" i="41"/>
  <c r="J32" i="41"/>
  <c r="J33" i="41"/>
  <c r="J34" i="41"/>
  <c r="J35" i="41"/>
  <c r="J36" i="41"/>
  <c r="H13" i="41"/>
  <c r="H14" i="41"/>
  <c r="H15" i="41"/>
  <c r="H16" i="41"/>
  <c r="H17" i="41"/>
  <c r="H18" i="41"/>
  <c r="H19" i="41"/>
  <c r="H20" i="41"/>
  <c r="H21" i="41"/>
  <c r="H22" i="41"/>
  <c r="H23" i="41"/>
  <c r="H24" i="41"/>
  <c r="H25" i="41"/>
  <c r="H26" i="41"/>
  <c r="H27" i="41"/>
  <c r="H28" i="41"/>
  <c r="H29" i="41"/>
  <c r="H30" i="41"/>
  <c r="H31" i="41"/>
  <c r="H32" i="41"/>
  <c r="H33" i="41"/>
  <c r="H34" i="41"/>
  <c r="H35" i="41"/>
  <c r="H36" i="41"/>
  <c r="F13" i="41"/>
  <c r="F14" i="41"/>
  <c r="F15" i="41"/>
  <c r="F16" i="41"/>
  <c r="F17" i="41"/>
  <c r="F18" i="41"/>
  <c r="F19" i="41"/>
  <c r="F20" i="41"/>
  <c r="F21" i="41"/>
  <c r="F22" i="41"/>
  <c r="F23" i="41"/>
  <c r="F24" i="41"/>
  <c r="F25" i="41"/>
  <c r="F26" i="41"/>
  <c r="F27" i="41"/>
  <c r="F28" i="41"/>
  <c r="F29" i="41"/>
  <c r="F30" i="41"/>
  <c r="F31" i="41"/>
  <c r="F32" i="41"/>
  <c r="F33" i="41"/>
  <c r="F34" i="41"/>
  <c r="F35" i="41"/>
  <c r="F36" i="41"/>
  <c r="B13" i="41"/>
  <c r="B14" i="41"/>
  <c r="B15" i="41"/>
  <c r="B16" i="41"/>
  <c r="B17" i="41"/>
  <c r="B18" i="41"/>
  <c r="B19" i="41"/>
  <c r="B20" i="41"/>
  <c r="B21" i="41"/>
  <c r="B22" i="41"/>
  <c r="B23" i="41"/>
  <c r="B24" i="41"/>
  <c r="B25" i="41"/>
  <c r="B26" i="41"/>
  <c r="B27" i="41"/>
  <c r="B28" i="41"/>
  <c r="B29" i="41"/>
  <c r="B30" i="41"/>
  <c r="B31" i="41"/>
  <c r="B32" i="41"/>
  <c r="B33" i="41"/>
  <c r="B34" i="41"/>
  <c r="B35" i="41"/>
  <c r="B36" i="41"/>
  <c r="A13" i="41"/>
  <c r="A14" i="41"/>
  <c r="A15" i="41"/>
  <c r="A16" i="41"/>
  <c r="A17" i="41"/>
  <c r="A18" i="41"/>
  <c r="A19" i="41"/>
  <c r="A20" i="41"/>
  <c r="A21" i="41"/>
  <c r="A22" i="41"/>
  <c r="A23" i="41"/>
  <c r="A24" i="41"/>
  <c r="A25" i="41"/>
  <c r="A26" i="41"/>
  <c r="A27" i="41"/>
  <c r="A28" i="41"/>
  <c r="A29" i="41"/>
  <c r="A30" i="41"/>
  <c r="A31" i="41"/>
  <c r="A32" i="41"/>
  <c r="A33" i="41"/>
  <c r="A34" i="41"/>
  <c r="A35" i="41"/>
  <c r="A36" i="41"/>
  <c r="J12" i="41"/>
  <c r="H12" i="41"/>
  <c r="F12" i="41"/>
  <c r="B12" i="41"/>
  <c r="A12" i="41"/>
  <c r="AE29" i="43"/>
  <c r="AB29" i="43"/>
  <c r="Y29" i="43"/>
  <c r="X29" i="43"/>
  <c r="U29" i="43"/>
  <c r="R29" i="43"/>
  <c r="Q29" i="43"/>
  <c r="N29" i="43"/>
  <c r="K29" i="43"/>
  <c r="J29" i="43"/>
  <c r="G29" i="43"/>
  <c r="AE28" i="43"/>
  <c r="AB28" i="43"/>
  <c r="Y28" i="43"/>
  <c r="X28" i="43"/>
  <c r="U28" i="43"/>
  <c r="R28" i="43"/>
  <c r="Q28" i="43"/>
  <c r="N28" i="43"/>
  <c r="K28" i="43"/>
  <c r="J28" i="43"/>
  <c r="G28" i="43"/>
  <c r="AE27" i="43"/>
  <c r="AB27" i="43"/>
  <c r="Y27" i="43"/>
  <c r="X27" i="43"/>
  <c r="U27" i="43"/>
  <c r="R27" i="43"/>
  <c r="Q27" i="43"/>
  <c r="N27" i="43"/>
  <c r="K27" i="43"/>
  <c r="J27" i="43"/>
  <c r="G27" i="43"/>
  <c r="AE26" i="43"/>
  <c r="AB26" i="43"/>
  <c r="Y26" i="43"/>
  <c r="X26" i="43"/>
  <c r="U26" i="43"/>
  <c r="R26" i="43"/>
  <c r="Q26" i="43"/>
  <c r="N26" i="43"/>
  <c r="K26" i="43"/>
  <c r="J26" i="43"/>
  <c r="G26" i="43"/>
  <c r="AE25" i="43"/>
  <c r="AB25" i="43"/>
  <c r="Y25" i="43"/>
  <c r="X25" i="43"/>
  <c r="U25" i="43"/>
  <c r="R25" i="43"/>
  <c r="Q25" i="43"/>
  <c r="N25" i="43"/>
  <c r="K25" i="43"/>
  <c r="J25" i="43"/>
  <c r="G25" i="43"/>
  <c r="AE24" i="43"/>
  <c r="AB24" i="43"/>
  <c r="Y24" i="43"/>
  <c r="X24" i="43"/>
  <c r="U24" i="43"/>
  <c r="R24" i="43"/>
  <c r="Q24" i="43"/>
  <c r="N24" i="43"/>
  <c r="K24" i="43"/>
  <c r="J24" i="43"/>
  <c r="G24" i="43"/>
  <c r="AE23" i="43"/>
  <c r="AB23" i="43"/>
  <c r="Y23" i="43"/>
  <c r="X23" i="43"/>
  <c r="U23" i="43"/>
  <c r="R23" i="43"/>
  <c r="Q23" i="43"/>
  <c r="N23" i="43"/>
  <c r="K23" i="43"/>
  <c r="J23" i="43"/>
  <c r="G23" i="43"/>
  <c r="AE22" i="43"/>
  <c r="AB22" i="43"/>
  <c r="Y22" i="43"/>
  <c r="X22" i="43"/>
  <c r="U22" i="43"/>
  <c r="R22" i="43"/>
  <c r="Q22" i="43"/>
  <c r="N22" i="43"/>
  <c r="K22" i="43"/>
  <c r="J22" i="43"/>
  <c r="G22" i="43"/>
  <c r="AE21" i="43"/>
  <c r="AB21" i="43"/>
  <c r="Y21" i="43"/>
  <c r="X21" i="43"/>
  <c r="U21" i="43"/>
  <c r="R21" i="43"/>
  <c r="Q21" i="43"/>
  <c r="N21" i="43"/>
  <c r="K21" i="43"/>
  <c r="J21" i="43"/>
  <c r="G21" i="43"/>
  <c r="AE20" i="43"/>
  <c r="AB20" i="43"/>
  <c r="Y20" i="43"/>
  <c r="X20" i="43"/>
  <c r="U20" i="43"/>
  <c r="R20" i="43"/>
  <c r="Q20" i="43"/>
  <c r="N20" i="43"/>
  <c r="K20" i="43"/>
  <c r="J20" i="43"/>
  <c r="G20" i="43"/>
  <c r="AE19" i="43"/>
  <c r="AB19" i="43"/>
  <c r="Y19" i="43"/>
  <c r="X19" i="43"/>
  <c r="U19" i="43"/>
  <c r="R19" i="43"/>
  <c r="Q19" i="43"/>
  <c r="N19" i="43"/>
  <c r="K19" i="43"/>
  <c r="J19" i="43"/>
  <c r="G19" i="43"/>
  <c r="AE18" i="43"/>
  <c r="AB18" i="43"/>
  <c r="Y18" i="43"/>
  <c r="X18" i="43"/>
  <c r="U18" i="43"/>
  <c r="R18" i="43"/>
  <c r="Q18" i="43"/>
  <c r="N18" i="43"/>
  <c r="K18" i="43"/>
  <c r="J18" i="43"/>
  <c r="G18" i="43"/>
  <c r="AE17" i="43"/>
  <c r="AB17" i="43"/>
  <c r="Y17" i="43"/>
  <c r="X17" i="43"/>
  <c r="U17" i="43"/>
  <c r="R17" i="43"/>
  <c r="Q17" i="43"/>
  <c r="N17" i="43"/>
  <c r="K17" i="43"/>
  <c r="J17" i="43"/>
  <c r="G17" i="43"/>
  <c r="AE16" i="43"/>
  <c r="AB16" i="43"/>
  <c r="Y16" i="43"/>
  <c r="X16" i="43"/>
  <c r="U16" i="43"/>
  <c r="R16" i="43"/>
  <c r="Q16" i="43"/>
  <c r="N16" i="43"/>
  <c r="K16" i="43"/>
  <c r="J16" i="43"/>
  <c r="G16" i="43"/>
  <c r="AE15" i="43"/>
  <c r="AB15" i="43"/>
  <c r="Y15" i="43"/>
  <c r="X15" i="43"/>
  <c r="U15" i="43"/>
  <c r="R15" i="43"/>
  <c r="Q15" i="43"/>
  <c r="N15" i="43"/>
  <c r="K15" i="43"/>
  <c r="J15" i="43"/>
  <c r="G15" i="43"/>
  <c r="AE14" i="43"/>
  <c r="AB14" i="43"/>
  <c r="Y14" i="43"/>
  <c r="X14" i="43"/>
  <c r="U14" i="43"/>
  <c r="R14" i="43"/>
  <c r="Q14" i="43"/>
  <c r="N14" i="43"/>
  <c r="K14" i="43"/>
  <c r="J14" i="43"/>
  <c r="G14" i="43"/>
  <c r="AE13" i="43"/>
  <c r="AB13" i="43"/>
  <c r="Y13" i="43"/>
  <c r="X13" i="43"/>
  <c r="U13" i="43"/>
  <c r="R13" i="43"/>
  <c r="Q13" i="43"/>
  <c r="N13" i="43"/>
  <c r="K13" i="43"/>
  <c r="J13" i="43"/>
  <c r="G13" i="43"/>
  <c r="AE12" i="43"/>
  <c r="AB12" i="43"/>
  <c r="Y12" i="43"/>
  <c r="X12" i="43"/>
  <c r="U12" i="43"/>
  <c r="R12" i="43"/>
  <c r="Q12" i="43"/>
  <c r="N12" i="43"/>
  <c r="K12" i="43"/>
  <c r="J12" i="43"/>
  <c r="G12" i="43"/>
  <c r="AE11" i="43"/>
  <c r="AB11" i="43"/>
  <c r="Y11" i="43"/>
  <c r="X11" i="43"/>
  <c r="U11" i="43"/>
  <c r="R11" i="43"/>
  <c r="Q11" i="43"/>
  <c r="N11" i="43"/>
  <c r="K11" i="43"/>
  <c r="J11" i="43"/>
  <c r="G11" i="43"/>
  <c r="AE10" i="43"/>
  <c r="AB10" i="43"/>
  <c r="Y10" i="43"/>
  <c r="X10" i="43"/>
  <c r="U10" i="43"/>
  <c r="R10" i="43"/>
  <c r="Q10" i="43"/>
  <c r="N10" i="43"/>
  <c r="K10" i="43"/>
  <c r="J10" i="43"/>
  <c r="G10" i="43"/>
  <c r="AE9" i="43"/>
  <c r="AB9" i="43"/>
  <c r="Y9" i="43"/>
  <c r="X9" i="43"/>
  <c r="U9" i="43"/>
  <c r="R9" i="43"/>
  <c r="Q9" i="43"/>
  <c r="N9" i="43"/>
  <c r="K9" i="43"/>
  <c r="J9" i="43"/>
  <c r="G9" i="43"/>
  <c r="AE8" i="43"/>
  <c r="AB8" i="43"/>
  <c r="Y8" i="43"/>
  <c r="X8" i="43"/>
  <c r="U8" i="43"/>
  <c r="R8" i="43"/>
  <c r="Q8" i="43"/>
  <c r="N8" i="43"/>
  <c r="K8" i="43"/>
  <c r="J8" i="43"/>
  <c r="G8" i="43"/>
  <c r="AE7" i="43"/>
  <c r="AB7" i="43"/>
  <c r="Y7" i="43"/>
  <c r="X7" i="43"/>
  <c r="U7" i="43"/>
  <c r="R7" i="43"/>
  <c r="Q7" i="43"/>
  <c r="N7" i="43"/>
  <c r="K7" i="43"/>
  <c r="J7" i="43"/>
  <c r="G7" i="43"/>
  <c r="AE6" i="43"/>
  <c r="AB6" i="43"/>
  <c r="Y6" i="43"/>
  <c r="X6" i="43"/>
  <c r="U6" i="43"/>
  <c r="R6" i="43"/>
  <c r="Q6" i="43"/>
  <c r="N6" i="43"/>
  <c r="K6" i="43"/>
  <c r="J6" i="43"/>
  <c r="G6" i="43"/>
  <c r="AE5" i="43"/>
  <c r="AB5" i="43"/>
  <c r="Y5" i="43"/>
  <c r="X5" i="43"/>
  <c r="U5" i="43"/>
  <c r="R5" i="43"/>
  <c r="Q5" i="43"/>
  <c r="N5" i="43"/>
  <c r="K5" i="43"/>
  <c r="J5" i="43"/>
  <c r="G5" i="43"/>
  <c r="O27" i="42"/>
  <c r="N27" i="42"/>
  <c r="K27" i="42"/>
  <c r="O26" i="42"/>
  <c r="N26" i="42"/>
  <c r="K26" i="42"/>
  <c r="O25" i="42"/>
  <c r="N25" i="42"/>
  <c r="K25" i="42"/>
  <c r="O24" i="42"/>
  <c r="N24" i="42"/>
  <c r="K24" i="42"/>
  <c r="O23" i="42"/>
  <c r="N23" i="42"/>
  <c r="K23" i="42"/>
  <c r="O22" i="42"/>
  <c r="N22" i="42"/>
  <c r="K22" i="42"/>
  <c r="O21" i="42"/>
  <c r="N21" i="42"/>
  <c r="K21" i="42"/>
  <c r="O20" i="42"/>
  <c r="N20" i="42"/>
  <c r="K20" i="42"/>
  <c r="O19" i="42"/>
  <c r="N19" i="42"/>
  <c r="K19" i="42"/>
  <c r="O18" i="42"/>
  <c r="N18" i="42"/>
  <c r="K18" i="42"/>
  <c r="O17" i="42"/>
  <c r="N17" i="42"/>
  <c r="K17" i="42"/>
  <c r="O16" i="42"/>
  <c r="N16" i="42"/>
  <c r="K16" i="42"/>
  <c r="O15" i="42"/>
  <c r="N15" i="42"/>
  <c r="K15" i="42"/>
  <c r="O14" i="42"/>
  <c r="N14" i="42"/>
  <c r="K14" i="42"/>
  <c r="O13" i="42"/>
  <c r="N13" i="42"/>
  <c r="K13" i="42"/>
  <c r="O12" i="42"/>
  <c r="N12" i="42"/>
  <c r="K12" i="42"/>
  <c r="O11" i="42"/>
  <c r="N11" i="42"/>
  <c r="K11" i="42"/>
  <c r="O10" i="42"/>
  <c r="N10" i="42"/>
  <c r="K10" i="42"/>
  <c r="O9" i="42"/>
  <c r="N9" i="42"/>
  <c r="K9" i="42"/>
  <c r="O8" i="42"/>
  <c r="N8" i="42"/>
  <c r="K8" i="42"/>
  <c r="O7" i="42"/>
  <c r="N7" i="42"/>
  <c r="K7" i="42"/>
  <c r="O6" i="42"/>
  <c r="N6" i="42"/>
  <c r="K6" i="42"/>
  <c r="O5" i="42"/>
  <c r="N5" i="42"/>
  <c r="K5" i="42"/>
  <c r="U4" i="42"/>
  <c r="O4" i="42"/>
  <c r="N4" i="42"/>
  <c r="K4" i="42"/>
  <c r="T3" i="42"/>
  <c r="O3" i="42"/>
  <c r="N3" i="42"/>
  <c r="K3" i="42"/>
  <c r="C48" i="41"/>
  <c r="B7" i="41"/>
  <c r="B1" i="41"/>
  <c r="A1" i="40"/>
  <c r="D5" i="40"/>
  <c r="D6" i="40"/>
  <c r="D7" i="40"/>
  <c r="D8" i="40"/>
  <c r="D9" i="40"/>
  <c r="D10" i="40"/>
  <c r="D11" i="40"/>
  <c r="D12" i="40"/>
  <c r="D13" i="40"/>
  <c r="D14" i="40"/>
  <c r="D15" i="40"/>
  <c r="D16" i="40"/>
  <c r="D17" i="40"/>
  <c r="D18" i="40"/>
  <c r="D19" i="40"/>
  <c r="D20" i="40"/>
  <c r="D21" i="40"/>
  <c r="D22" i="40"/>
  <c r="D23" i="40"/>
  <c r="D24" i="40"/>
  <c r="D25" i="40"/>
  <c r="D26" i="40"/>
  <c r="D27" i="40"/>
  <c r="D28" i="40"/>
  <c r="D29" i="40"/>
  <c r="C5" i="40"/>
  <c r="C6" i="40"/>
  <c r="C7" i="40"/>
  <c r="C8" i="40"/>
  <c r="C9" i="40"/>
  <c r="C10" i="40"/>
  <c r="C11" i="40"/>
  <c r="C12" i="40"/>
  <c r="C13" i="40"/>
  <c r="C14" i="40"/>
  <c r="C15" i="40"/>
  <c r="C16" i="40"/>
  <c r="C17" i="40"/>
  <c r="C18" i="40"/>
  <c r="C19" i="40"/>
  <c r="C20" i="40"/>
  <c r="C21" i="40"/>
  <c r="C22" i="40"/>
  <c r="C23" i="40"/>
  <c r="C24" i="40"/>
  <c r="C25" i="40"/>
  <c r="C26" i="40"/>
  <c r="C27" i="40"/>
  <c r="C28" i="40"/>
  <c r="C29" i="40"/>
  <c r="B5" i="40"/>
  <c r="B6" i="40"/>
  <c r="B7" i="40"/>
  <c r="B8" i="40"/>
  <c r="B9" i="40"/>
  <c r="B10" i="40"/>
  <c r="B11" i="40"/>
  <c r="B12" i="40"/>
  <c r="B13" i="40"/>
  <c r="B14" i="40"/>
  <c r="B15" i="40"/>
  <c r="B16" i="40"/>
  <c r="B17" i="40"/>
  <c r="B18" i="40"/>
  <c r="B19" i="40"/>
  <c r="B20" i="40"/>
  <c r="B21" i="40"/>
  <c r="B22" i="40"/>
  <c r="B23" i="40"/>
  <c r="B24" i="40"/>
  <c r="B25" i="40"/>
  <c r="B26" i="40"/>
  <c r="B27" i="40"/>
  <c r="B28" i="40"/>
  <c r="B29" i="40"/>
  <c r="E38" i="38"/>
  <c r="J13" i="38"/>
  <c r="J14" i="38"/>
  <c r="J15" i="38"/>
  <c r="J16" i="38"/>
  <c r="J17" i="38"/>
  <c r="J18" i="38"/>
  <c r="J19" i="38"/>
  <c r="J20" i="38"/>
  <c r="J21" i="38"/>
  <c r="J22" i="38"/>
  <c r="J23" i="38"/>
  <c r="J24" i="38"/>
  <c r="J25" i="38"/>
  <c r="J26" i="38"/>
  <c r="J27" i="38"/>
  <c r="J28" i="38"/>
  <c r="J29" i="38"/>
  <c r="J30" i="38"/>
  <c r="J31" i="38"/>
  <c r="J32" i="38"/>
  <c r="J33" i="38"/>
  <c r="J34" i="38"/>
  <c r="J35" i="38"/>
  <c r="J36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F13" i="38"/>
  <c r="F14" i="38"/>
  <c r="F15" i="38"/>
  <c r="F16" i="38"/>
  <c r="F17" i="38"/>
  <c r="F18" i="38"/>
  <c r="F19" i="38"/>
  <c r="F20" i="38"/>
  <c r="F21" i="38"/>
  <c r="F22" i="38"/>
  <c r="F23" i="38"/>
  <c r="F24" i="38"/>
  <c r="F25" i="38"/>
  <c r="F26" i="38"/>
  <c r="F27" i="38"/>
  <c r="F28" i="38"/>
  <c r="F29" i="38"/>
  <c r="F30" i="38"/>
  <c r="F31" i="38"/>
  <c r="F32" i="38"/>
  <c r="F33" i="38"/>
  <c r="F34" i="38"/>
  <c r="F35" i="38"/>
  <c r="F36" i="38"/>
  <c r="B13" i="38"/>
  <c r="B14" i="38"/>
  <c r="B15" i="38"/>
  <c r="B16" i="38"/>
  <c r="B17" i="38"/>
  <c r="B18" i="38"/>
  <c r="B19" i="38"/>
  <c r="B20" i="38"/>
  <c r="B21" i="38"/>
  <c r="B22" i="38"/>
  <c r="B23" i="38"/>
  <c r="B24" i="38"/>
  <c r="B25" i="38"/>
  <c r="B26" i="38"/>
  <c r="B27" i="38"/>
  <c r="B28" i="38"/>
  <c r="B29" i="38"/>
  <c r="B30" i="38"/>
  <c r="B31" i="38"/>
  <c r="B32" i="38"/>
  <c r="B33" i="38"/>
  <c r="B34" i="38"/>
  <c r="B35" i="38"/>
  <c r="B36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J12" i="38"/>
  <c r="H12" i="38"/>
  <c r="F12" i="38"/>
  <c r="B12" i="38"/>
  <c r="A12" i="38"/>
  <c r="AE29" i="40"/>
  <c r="AB29" i="40"/>
  <c r="Y29" i="40"/>
  <c r="X29" i="40"/>
  <c r="U29" i="40"/>
  <c r="R29" i="40"/>
  <c r="Q29" i="40"/>
  <c r="N29" i="40"/>
  <c r="K29" i="40"/>
  <c r="J29" i="40"/>
  <c r="G29" i="40"/>
  <c r="AE28" i="40"/>
  <c r="AB28" i="40"/>
  <c r="Y28" i="40"/>
  <c r="X28" i="40"/>
  <c r="U28" i="40"/>
  <c r="R28" i="40"/>
  <c r="Q28" i="40"/>
  <c r="N28" i="40"/>
  <c r="K28" i="40"/>
  <c r="J28" i="40"/>
  <c r="G28" i="40"/>
  <c r="AE27" i="40"/>
  <c r="AB27" i="40"/>
  <c r="Y27" i="40"/>
  <c r="X27" i="40"/>
  <c r="U27" i="40"/>
  <c r="R27" i="40"/>
  <c r="Q27" i="40"/>
  <c r="N27" i="40"/>
  <c r="K27" i="40"/>
  <c r="J27" i="40"/>
  <c r="G27" i="40"/>
  <c r="AE26" i="40"/>
  <c r="AB26" i="40"/>
  <c r="Y26" i="40"/>
  <c r="X26" i="40"/>
  <c r="U26" i="40"/>
  <c r="R26" i="40"/>
  <c r="Q26" i="40"/>
  <c r="N26" i="40"/>
  <c r="K26" i="40"/>
  <c r="J26" i="40"/>
  <c r="G26" i="40"/>
  <c r="AE25" i="40"/>
  <c r="AB25" i="40"/>
  <c r="Y25" i="40"/>
  <c r="X25" i="40"/>
  <c r="U25" i="40"/>
  <c r="R25" i="40"/>
  <c r="Q25" i="40"/>
  <c r="N25" i="40"/>
  <c r="K25" i="40"/>
  <c r="J25" i="40"/>
  <c r="G25" i="40"/>
  <c r="AE24" i="40"/>
  <c r="AB24" i="40"/>
  <c r="Y24" i="40"/>
  <c r="X24" i="40"/>
  <c r="U24" i="40"/>
  <c r="R24" i="40"/>
  <c r="Q24" i="40"/>
  <c r="N24" i="40"/>
  <c r="K24" i="40"/>
  <c r="J24" i="40"/>
  <c r="G24" i="40"/>
  <c r="AE23" i="40"/>
  <c r="AB23" i="40"/>
  <c r="Y23" i="40"/>
  <c r="X23" i="40"/>
  <c r="U23" i="40"/>
  <c r="R23" i="40"/>
  <c r="Q23" i="40"/>
  <c r="N23" i="40"/>
  <c r="K23" i="40"/>
  <c r="J23" i="40"/>
  <c r="G23" i="40"/>
  <c r="AE22" i="40"/>
  <c r="AB22" i="40"/>
  <c r="Y22" i="40"/>
  <c r="X22" i="40"/>
  <c r="U22" i="40"/>
  <c r="R22" i="40"/>
  <c r="Q22" i="40"/>
  <c r="N22" i="40"/>
  <c r="K22" i="40"/>
  <c r="J22" i="40"/>
  <c r="G22" i="40"/>
  <c r="AE21" i="40"/>
  <c r="AB21" i="40"/>
  <c r="Y21" i="40"/>
  <c r="X21" i="40"/>
  <c r="U21" i="40"/>
  <c r="R21" i="40"/>
  <c r="Q21" i="40"/>
  <c r="N21" i="40"/>
  <c r="K21" i="40"/>
  <c r="J21" i="40"/>
  <c r="G21" i="40"/>
  <c r="AE20" i="40"/>
  <c r="AB20" i="40"/>
  <c r="Y20" i="40"/>
  <c r="X20" i="40"/>
  <c r="U20" i="40"/>
  <c r="R20" i="40"/>
  <c r="Q20" i="40"/>
  <c r="N20" i="40"/>
  <c r="K20" i="40"/>
  <c r="J20" i="40"/>
  <c r="G20" i="40"/>
  <c r="AE19" i="40"/>
  <c r="AB19" i="40"/>
  <c r="Y19" i="40"/>
  <c r="X19" i="40"/>
  <c r="U19" i="40"/>
  <c r="R19" i="40"/>
  <c r="Q19" i="40"/>
  <c r="N19" i="40"/>
  <c r="K19" i="40"/>
  <c r="J19" i="40"/>
  <c r="G19" i="40"/>
  <c r="AE18" i="40"/>
  <c r="AB18" i="40"/>
  <c r="Y18" i="40"/>
  <c r="X18" i="40"/>
  <c r="U18" i="40"/>
  <c r="R18" i="40"/>
  <c r="Q18" i="40"/>
  <c r="N18" i="40"/>
  <c r="K18" i="40"/>
  <c r="J18" i="40"/>
  <c r="G18" i="40"/>
  <c r="AE17" i="40"/>
  <c r="AB17" i="40"/>
  <c r="Y17" i="40"/>
  <c r="X17" i="40"/>
  <c r="U17" i="40"/>
  <c r="R17" i="40"/>
  <c r="Q17" i="40"/>
  <c r="N17" i="40"/>
  <c r="K17" i="40"/>
  <c r="J17" i="40"/>
  <c r="G17" i="40"/>
  <c r="AE16" i="40"/>
  <c r="AB16" i="40"/>
  <c r="Y16" i="40"/>
  <c r="X16" i="40"/>
  <c r="U16" i="40"/>
  <c r="R16" i="40"/>
  <c r="Q16" i="40"/>
  <c r="N16" i="40"/>
  <c r="K16" i="40"/>
  <c r="J16" i="40"/>
  <c r="G16" i="40"/>
  <c r="AE15" i="40"/>
  <c r="AB15" i="40"/>
  <c r="Y15" i="40"/>
  <c r="X15" i="40"/>
  <c r="U15" i="40"/>
  <c r="R15" i="40"/>
  <c r="Q15" i="40"/>
  <c r="N15" i="40"/>
  <c r="K15" i="40"/>
  <c r="J15" i="40"/>
  <c r="G15" i="40"/>
  <c r="AE14" i="40"/>
  <c r="AB14" i="40"/>
  <c r="Y14" i="40"/>
  <c r="X14" i="40"/>
  <c r="U14" i="40"/>
  <c r="R14" i="40"/>
  <c r="Q14" i="40"/>
  <c r="N14" i="40"/>
  <c r="K14" i="40"/>
  <c r="J14" i="40"/>
  <c r="G14" i="40"/>
  <c r="AE13" i="40"/>
  <c r="AB13" i="40"/>
  <c r="Y13" i="40"/>
  <c r="X13" i="40"/>
  <c r="U13" i="40"/>
  <c r="R13" i="40"/>
  <c r="Q13" i="40"/>
  <c r="N13" i="40"/>
  <c r="K13" i="40"/>
  <c r="J13" i="40"/>
  <c r="G13" i="40"/>
  <c r="AE12" i="40"/>
  <c r="AB12" i="40"/>
  <c r="Y12" i="40"/>
  <c r="X12" i="40"/>
  <c r="U12" i="40"/>
  <c r="R12" i="40"/>
  <c r="Q12" i="40"/>
  <c r="N12" i="40"/>
  <c r="K12" i="40"/>
  <c r="J12" i="40"/>
  <c r="G12" i="40"/>
  <c r="AE11" i="40"/>
  <c r="AB11" i="40"/>
  <c r="Y11" i="40"/>
  <c r="X11" i="40"/>
  <c r="U11" i="40"/>
  <c r="R11" i="40"/>
  <c r="Q11" i="40"/>
  <c r="N11" i="40"/>
  <c r="K11" i="40"/>
  <c r="J11" i="40"/>
  <c r="G11" i="40"/>
  <c r="AE10" i="40"/>
  <c r="AB10" i="40"/>
  <c r="Y10" i="40"/>
  <c r="X10" i="40"/>
  <c r="U10" i="40"/>
  <c r="R10" i="40"/>
  <c r="Q10" i="40"/>
  <c r="N10" i="40"/>
  <c r="K10" i="40"/>
  <c r="J10" i="40"/>
  <c r="G10" i="40"/>
  <c r="AE9" i="40"/>
  <c r="AB9" i="40"/>
  <c r="Y9" i="40"/>
  <c r="X9" i="40"/>
  <c r="U9" i="40"/>
  <c r="R9" i="40"/>
  <c r="Q9" i="40"/>
  <c r="N9" i="40"/>
  <c r="K9" i="40"/>
  <c r="J9" i="40"/>
  <c r="G9" i="40"/>
  <c r="AE8" i="40"/>
  <c r="AB8" i="40"/>
  <c r="Y8" i="40"/>
  <c r="X8" i="40"/>
  <c r="U8" i="40"/>
  <c r="R8" i="40"/>
  <c r="Q8" i="40"/>
  <c r="N8" i="40"/>
  <c r="K8" i="40"/>
  <c r="J8" i="40"/>
  <c r="G8" i="40"/>
  <c r="AE7" i="40"/>
  <c r="AB7" i="40"/>
  <c r="Y7" i="40"/>
  <c r="X7" i="40"/>
  <c r="U7" i="40"/>
  <c r="R7" i="40"/>
  <c r="Q7" i="40"/>
  <c r="N7" i="40"/>
  <c r="K7" i="40"/>
  <c r="J7" i="40"/>
  <c r="G7" i="40"/>
  <c r="AE6" i="40"/>
  <c r="AB6" i="40"/>
  <c r="Y6" i="40"/>
  <c r="X6" i="40"/>
  <c r="U6" i="40"/>
  <c r="R6" i="40"/>
  <c r="Q6" i="40"/>
  <c r="N6" i="40"/>
  <c r="K6" i="40"/>
  <c r="J6" i="40"/>
  <c r="G6" i="40"/>
  <c r="AE5" i="40"/>
  <c r="AB5" i="40"/>
  <c r="Y5" i="40"/>
  <c r="X5" i="40"/>
  <c r="U5" i="40"/>
  <c r="R5" i="40"/>
  <c r="Q5" i="40"/>
  <c r="N5" i="40"/>
  <c r="K5" i="40"/>
  <c r="J5" i="40"/>
  <c r="G5" i="40"/>
  <c r="O27" i="39"/>
  <c r="N27" i="39"/>
  <c r="K27" i="39"/>
  <c r="O26" i="39"/>
  <c r="N26" i="39"/>
  <c r="K26" i="39"/>
  <c r="O25" i="39"/>
  <c r="N25" i="39"/>
  <c r="K25" i="39"/>
  <c r="O24" i="39"/>
  <c r="N24" i="39"/>
  <c r="K24" i="39"/>
  <c r="O23" i="39"/>
  <c r="N23" i="39"/>
  <c r="K23" i="39"/>
  <c r="O22" i="39"/>
  <c r="N22" i="39"/>
  <c r="K22" i="39"/>
  <c r="O21" i="39"/>
  <c r="N21" i="39"/>
  <c r="K21" i="39"/>
  <c r="O20" i="39"/>
  <c r="N20" i="39"/>
  <c r="K20" i="39"/>
  <c r="O19" i="39"/>
  <c r="N19" i="39"/>
  <c r="K19" i="39"/>
  <c r="O18" i="39"/>
  <c r="N18" i="39"/>
  <c r="K18" i="39"/>
  <c r="O17" i="39"/>
  <c r="N17" i="39"/>
  <c r="K17" i="39"/>
  <c r="O16" i="39"/>
  <c r="N16" i="39"/>
  <c r="K16" i="39"/>
  <c r="O15" i="39"/>
  <c r="N15" i="39"/>
  <c r="K15" i="39"/>
  <c r="O14" i="39"/>
  <c r="N14" i="39"/>
  <c r="K14" i="39"/>
  <c r="O13" i="39"/>
  <c r="N13" i="39"/>
  <c r="K13" i="39"/>
  <c r="O12" i="39"/>
  <c r="N12" i="39"/>
  <c r="K12" i="39"/>
  <c r="O11" i="39"/>
  <c r="N11" i="39"/>
  <c r="K11" i="39"/>
  <c r="O10" i="39"/>
  <c r="N10" i="39"/>
  <c r="K10" i="39"/>
  <c r="O9" i="39"/>
  <c r="N9" i="39"/>
  <c r="K9" i="39"/>
  <c r="O8" i="39"/>
  <c r="N8" i="39"/>
  <c r="K8" i="39"/>
  <c r="O7" i="39"/>
  <c r="N7" i="39"/>
  <c r="K7" i="39"/>
  <c r="O6" i="39"/>
  <c r="N6" i="39"/>
  <c r="K6" i="39"/>
  <c r="O5" i="39"/>
  <c r="N5" i="39"/>
  <c r="K5" i="39"/>
  <c r="U4" i="39"/>
  <c r="O4" i="39"/>
  <c r="N4" i="39"/>
  <c r="K4" i="39"/>
  <c r="T3" i="39"/>
  <c r="O3" i="39"/>
  <c r="N3" i="39"/>
  <c r="K3" i="39"/>
  <c r="C48" i="38"/>
  <c r="B7" i="38"/>
  <c r="B1" i="38"/>
  <c r="D5" i="37"/>
  <c r="D6" i="37"/>
  <c r="D7" i="37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C5" i="3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B5" i="37"/>
  <c r="B6" i="37"/>
  <c r="B7" i="37"/>
  <c r="B8" i="37"/>
  <c r="B9" i="37"/>
  <c r="B10" i="37"/>
  <c r="B11" i="37"/>
  <c r="B12" i="37"/>
  <c r="B13" i="37"/>
  <c r="B14" i="37"/>
  <c r="B15" i="37"/>
  <c r="B16" i="37"/>
  <c r="B17" i="37"/>
  <c r="B18" i="37"/>
  <c r="B19" i="37"/>
  <c r="B20" i="37"/>
  <c r="B21" i="37"/>
  <c r="B22" i="37"/>
  <c r="B23" i="37"/>
  <c r="B24" i="37"/>
  <c r="B25" i="37"/>
  <c r="B26" i="37"/>
  <c r="B27" i="37"/>
  <c r="B28" i="37"/>
  <c r="B29" i="37"/>
  <c r="A1" i="37"/>
  <c r="E38" i="35"/>
  <c r="J13" i="35"/>
  <c r="J14" i="35"/>
  <c r="J15" i="35"/>
  <c r="J16" i="35"/>
  <c r="J17" i="35"/>
  <c r="J18" i="35"/>
  <c r="J19" i="35"/>
  <c r="J20" i="35"/>
  <c r="J21" i="35"/>
  <c r="J22" i="35"/>
  <c r="J23" i="35"/>
  <c r="J24" i="35"/>
  <c r="J25" i="35"/>
  <c r="J26" i="35"/>
  <c r="J27" i="35"/>
  <c r="J28" i="35"/>
  <c r="J29" i="35"/>
  <c r="J30" i="35"/>
  <c r="J31" i="35"/>
  <c r="J32" i="35"/>
  <c r="J33" i="35"/>
  <c r="J34" i="35"/>
  <c r="J35" i="35"/>
  <c r="J36" i="35"/>
  <c r="H13" i="35"/>
  <c r="H14" i="35"/>
  <c r="H15" i="35"/>
  <c r="H16" i="35"/>
  <c r="H17" i="35"/>
  <c r="H18" i="35"/>
  <c r="H19" i="35"/>
  <c r="H20" i="35"/>
  <c r="H21" i="35"/>
  <c r="H22" i="35"/>
  <c r="H23" i="35"/>
  <c r="H24" i="35"/>
  <c r="H25" i="35"/>
  <c r="H26" i="35"/>
  <c r="H27" i="35"/>
  <c r="H28" i="35"/>
  <c r="H29" i="35"/>
  <c r="H30" i="35"/>
  <c r="H31" i="35"/>
  <c r="H32" i="35"/>
  <c r="H33" i="35"/>
  <c r="H34" i="35"/>
  <c r="H35" i="35"/>
  <c r="H36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B13" i="35"/>
  <c r="B14" i="35"/>
  <c r="B15" i="35"/>
  <c r="B16" i="35"/>
  <c r="B17" i="35"/>
  <c r="B18" i="35"/>
  <c r="B19" i="35"/>
  <c r="B20" i="35"/>
  <c r="B21" i="35"/>
  <c r="B22" i="35"/>
  <c r="B23" i="35"/>
  <c r="B24" i="35"/>
  <c r="B25" i="35"/>
  <c r="B26" i="35"/>
  <c r="B27" i="35"/>
  <c r="B28" i="35"/>
  <c r="B29" i="35"/>
  <c r="B30" i="35"/>
  <c r="B31" i="35"/>
  <c r="B32" i="35"/>
  <c r="B33" i="35"/>
  <c r="B34" i="35"/>
  <c r="B35" i="35"/>
  <c r="B36" i="35"/>
  <c r="A13" i="35"/>
  <c r="A14" i="35"/>
  <c r="A15" i="35"/>
  <c r="A16" i="35"/>
  <c r="A17" i="35"/>
  <c r="A18" i="35"/>
  <c r="A19" i="35"/>
  <c r="A20" i="35"/>
  <c r="A21" i="35"/>
  <c r="A22" i="35"/>
  <c r="A23" i="35"/>
  <c r="A24" i="35"/>
  <c r="A25" i="35"/>
  <c r="A26" i="35"/>
  <c r="A27" i="35"/>
  <c r="A28" i="35"/>
  <c r="A29" i="35"/>
  <c r="A30" i="35"/>
  <c r="A31" i="35"/>
  <c r="A32" i="35"/>
  <c r="A33" i="35"/>
  <c r="A34" i="35"/>
  <c r="A35" i="35"/>
  <c r="A36" i="35"/>
  <c r="J12" i="35"/>
  <c r="H12" i="35"/>
  <c r="F12" i="35"/>
  <c r="B12" i="35"/>
  <c r="A12" i="35"/>
  <c r="AE29" i="37"/>
  <c r="AB29" i="37"/>
  <c r="Y29" i="37"/>
  <c r="X29" i="37"/>
  <c r="U29" i="37"/>
  <c r="R29" i="37"/>
  <c r="Q29" i="37"/>
  <c r="N29" i="37"/>
  <c r="K29" i="37"/>
  <c r="J29" i="37"/>
  <c r="G29" i="37"/>
  <c r="AE28" i="37"/>
  <c r="AB28" i="37"/>
  <c r="Y28" i="37"/>
  <c r="X28" i="37"/>
  <c r="U28" i="37"/>
  <c r="R28" i="37"/>
  <c r="Q28" i="37"/>
  <c r="N28" i="37"/>
  <c r="K28" i="37"/>
  <c r="J28" i="37"/>
  <c r="G28" i="37"/>
  <c r="AE27" i="37"/>
  <c r="AB27" i="37"/>
  <c r="Y27" i="37"/>
  <c r="X27" i="37"/>
  <c r="U27" i="37"/>
  <c r="R27" i="37"/>
  <c r="Q27" i="37"/>
  <c r="N27" i="37"/>
  <c r="K27" i="37"/>
  <c r="J27" i="37"/>
  <c r="G27" i="37"/>
  <c r="AE26" i="37"/>
  <c r="AB26" i="37"/>
  <c r="Y26" i="37"/>
  <c r="X26" i="37"/>
  <c r="U26" i="37"/>
  <c r="R26" i="37"/>
  <c r="Q26" i="37"/>
  <c r="N26" i="37"/>
  <c r="K26" i="37"/>
  <c r="J26" i="37"/>
  <c r="G26" i="37"/>
  <c r="AE25" i="37"/>
  <c r="AB25" i="37"/>
  <c r="Y25" i="37"/>
  <c r="X25" i="37"/>
  <c r="U25" i="37"/>
  <c r="R25" i="37"/>
  <c r="Q25" i="37"/>
  <c r="N25" i="37"/>
  <c r="K25" i="37"/>
  <c r="J25" i="37"/>
  <c r="G25" i="37"/>
  <c r="AE24" i="37"/>
  <c r="AB24" i="37"/>
  <c r="Y24" i="37"/>
  <c r="X24" i="37"/>
  <c r="U24" i="37"/>
  <c r="R24" i="37"/>
  <c r="Q24" i="37"/>
  <c r="N24" i="37"/>
  <c r="K24" i="37"/>
  <c r="J24" i="37"/>
  <c r="G24" i="37"/>
  <c r="AE23" i="37"/>
  <c r="AB23" i="37"/>
  <c r="Y23" i="37"/>
  <c r="X23" i="37"/>
  <c r="U23" i="37"/>
  <c r="R23" i="37"/>
  <c r="Q23" i="37"/>
  <c r="N23" i="37"/>
  <c r="K23" i="37"/>
  <c r="J23" i="37"/>
  <c r="G23" i="37"/>
  <c r="AE22" i="37"/>
  <c r="AB22" i="37"/>
  <c r="Y22" i="37"/>
  <c r="X22" i="37"/>
  <c r="U22" i="37"/>
  <c r="R22" i="37"/>
  <c r="Q22" i="37"/>
  <c r="N22" i="37"/>
  <c r="K22" i="37"/>
  <c r="J22" i="37"/>
  <c r="G22" i="37"/>
  <c r="AE21" i="37"/>
  <c r="AB21" i="37"/>
  <c r="Y21" i="37"/>
  <c r="X21" i="37"/>
  <c r="U21" i="37"/>
  <c r="R21" i="37"/>
  <c r="Q21" i="37"/>
  <c r="N21" i="37"/>
  <c r="K21" i="37"/>
  <c r="J21" i="37"/>
  <c r="G21" i="37"/>
  <c r="AE20" i="37"/>
  <c r="AB20" i="37"/>
  <c r="Y20" i="37"/>
  <c r="X20" i="37"/>
  <c r="U20" i="37"/>
  <c r="R20" i="37"/>
  <c r="Q20" i="37"/>
  <c r="N20" i="37"/>
  <c r="K20" i="37"/>
  <c r="J20" i="37"/>
  <c r="G20" i="37"/>
  <c r="AE19" i="37"/>
  <c r="AB19" i="37"/>
  <c r="Y19" i="37"/>
  <c r="X19" i="37"/>
  <c r="U19" i="37"/>
  <c r="R19" i="37"/>
  <c r="Q19" i="37"/>
  <c r="N19" i="37"/>
  <c r="K19" i="37"/>
  <c r="J19" i="37"/>
  <c r="G19" i="37"/>
  <c r="AE18" i="37"/>
  <c r="AB18" i="37"/>
  <c r="Y18" i="37"/>
  <c r="X18" i="37"/>
  <c r="U18" i="37"/>
  <c r="R18" i="37"/>
  <c r="Q18" i="37"/>
  <c r="N18" i="37"/>
  <c r="K18" i="37"/>
  <c r="J18" i="37"/>
  <c r="G18" i="37"/>
  <c r="AE17" i="37"/>
  <c r="AB17" i="37"/>
  <c r="Y17" i="37"/>
  <c r="X17" i="37"/>
  <c r="U17" i="37"/>
  <c r="R17" i="37"/>
  <c r="Q17" i="37"/>
  <c r="N17" i="37"/>
  <c r="K17" i="37"/>
  <c r="J17" i="37"/>
  <c r="G17" i="37"/>
  <c r="AE16" i="37"/>
  <c r="AB16" i="37"/>
  <c r="Y16" i="37"/>
  <c r="X16" i="37"/>
  <c r="U16" i="37"/>
  <c r="R16" i="37"/>
  <c r="Q16" i="37"/>
  <c r="N16" i="37"/>
  <c r="K16" i="37"/>
  <c r="J16" i="37"/>
  <c r="G16" i="37"/>
  <c r="AE15" i="37"/>
  <c r="AB15" i="37"/>
  <c r="Y15" i="37"/>
  <c r="X15" i="37"/>
  <c r="U15" i="37"/>
  <c r="R15" i="37"/>
  <c r="Q15" i="37"/>
  <c r="N15" i="37"/>
  <c r="K15" i="37"/>
  <c r="J15" i="37"/>
  <c r="G15" i="37"/>
  <c r="AE14" i="37"/>
  <c r="AB14" i="37"/>
  <c r="Y14" i="37"/>
  <c r="X14" i="37"/>
  <c r="U14" i="37"/>
  <c r="R14" i="37"/>
  <c r="Q14" i="37"/>
  <c r="N14" i="37"/>
  <c r="K14" i="37"/>
  <c r="J14" i="37"/>
  <c r="G14" i="37"/>
  <c r="AE13" i="37"/>
  <c r="AB13" i="37"/>
  <c r="Y13" i="37"/>
  <c r="X13" i="37"/>
  <c r="U13" i="37"/>
  <c r="R13" i="37"/>
  <c r="Q13" i="37"/>
  <c r="N13" i="37"/>
  <c r="K13" i="37"/>
  <c r="J13" i="37"/>
  <c r="G13" i="37"/>
  <c r="AE12" i="37"/>
  <c r="AB12" i="37"/>
  <c r="Y12" i="37"/>
  <c r="X12" i="37"/>
  <c r="U12" i="37"/>
  <c r="R12" i="37"/>
  <c r="Q12" i="37"/>
  <c r="N12" i="37"/>
  <c r="K12" i="37"/>
  <c r="J12" i="37"/>
  <c r="G12" i="37"/>
  <c r="AE11" i="37"/>
  <c r="AB11" i="37"/>
  <c r="Y11" i="37"/>
  <c r="X11" i="37"/>
  <c r="U11" i="37"/>
  <c r="R11" i="37"/>
  <c r="Q11" i="37"/>
  <c r="N11" i="37"/>
  <c r="K11" i="37"/>
  <c r="J11" i="37"/>
  <c r="G11" i="37"/>
  <c r="AE10" i="37"/>
  <c r="AB10" i="37"/>
  <c r="Y10" i="37"/>
  <c r="X10" i="37"/>
  <c r="U10" i="37"/>
  <c r="R10" i="37"/>
  <c r="Q10" i="37"/>
  <c r="N10" i="37"/>
  <c r="K10" i="37"/>
  <c r="J10" i="37"/>
  <c r="G10" i="37"/>
  <c r="AE9" i="37"/>
  <c r="AB9" i="37"/>
  <c r="Y9" i="37"/>
  <c r="X9" i="37"/>
  <c r="U9" i="37"/>
  <c r="R9" i="37"/>
  <c r="Q9" i="37"/>
  <c r="N9" i="37"/>
  <c r="K9" i="37"/>
  <c r="J9" i="37"/>
  <c r="G9" i="37"/>
  <c r="AE8" i="37"/>
  <c r="AB8" i="37"/>
  <c r="Y8" i="37"/>
  <c r="X8" i="37"/>
  <c r="U8" i="37"/>
  <c r="R8" i="37"/>
  <c r="Q8" i="37"/>
  <c r="N8" i="37"/>
  <c r="K8" i="37"/>
  <c r="J8" i="37"/>
  <c r="G8" i="37"/>
  <c r="AE7" i="37"/>
  <c r="AB7" i="37"/>
  <c r="Y7" i="37"/>
  <c r="X7" i="37"/>
  <c r="U7" i="37"/>
  <c r="R7" i="37"/>
  <c r="Q7" i="37"/>
  <c r="N7" i="37"/>
  <c r="K7" i="37"/>
  <c r="J7" i="37"/>
  <c r="G7" i="37"/>
  <c r="AE6" i="37"/>
  <c r="AB6" i="37"/>
  <c r="Y6" i="37"/>
  <c r="X6" i="37"/>
  <c r="U6" i="37"/>
  <c r="R6" i="37"/>
  <c r="Q6" i="37"/>
  <c r="N6" i="37"/>
  <c r="K6" i="37"/>
  <c r="J6" i="37"/>
  <c r="G6" i="37"/>
  <c r="AE5" i="37"/>
  <c r="AB5" i="37"/>
  <c r="Y5" i="37"/>
  <c r="X5" i="37"/>
  <c r="U5" i="37"/>
  <c r="R5" i="37"/>
  <c r="Q5" i="37"/>
  <c r="N5" i="37"/>
  <c r="K5" i="37"/>
  <c r="J5" i="37"/>
  <c r="G5" i="37"/>
  <c r="O27" i="36"/>
  <c r="N27" i="36"/>
  <c r="K27" i="36"/>
  <c r="O26" i="36"/>
  <c r="N26" i="36"/>
  <c r="K26" i="36"/>
  <c r="O25" i="36"/>
  <c r="N25" i="36"/>
  <c r="K25" i="36"/>
  <c r="O24" i="36"/>
  <c r="N24" i="36"/>
  <c r="K24" i="36"/>
  <c r="O23" i="36"/>
  <c r="N23" i="36"/>
  <c r="K23" i="36"/>
  <c r="O22" i="36"/>
  <c r="N22" i="36"/>
  <c r="K22" i="36"/>
  <c r="O21" i="36"/>
  <c r="N21" i="36"/>
  <c r="K21" i="36"/>
  <c r="O20" i="36"/>
  <c r="N20" i="36"/>
  <c r="K20" i="36"/>
  <c r="O19" i="36"/>
  <c r="N19" i="36"/>
  <c r="K19" i="36"/>
  <c r="O18" i="36"/>
  <c r="N18" i="36"/>
  <c r="K18" i="36"/>
  <c r="O17" i="36"/>
  <c r="N17" i="36"/>
  <c r="K17" i="36"/>
  <c r="O16" i="36"/>
  <c r="N16" i="36"/>
  <c r="K16" i="36"/>
  <c r="O15" i="36"/>
  <c r="N15" i="36"/>
  <c r="K15" i="36"/>
  <c r="O14" i="36"/>
  <c r="N14" i="36"/>
  <c r="K14" i="36"/>
  <c r="O13" i="36"/>
  <c r="N13" i="36"/>
  <c r="K13" i="36"/>
  <c r="O12" i="36"/>
  <c r="N12" i="36"/>
  <c r="K12" i="36"/>
  <c r="O11" i="36"/>
  <c r="N11" i="36"/>
  <c r="K11" i="36"/>
  <c r="O10" i="36"/>
  <c r="N10" i="36"/>
  <c r="K10" i="36"/>
  <c r="O9" i="36"/>
  <c r="N9" i="36"/>
  <c r="K9" i="36"/>
  <c r="O8" i="36"/>
  <c r="N8" i="36"/>
  <c r="K8" i="36"/>
  <c r="O7" i="36"/>
  <c r="N7" i="36"/>
  <c r="K7" i="36"/>
  <c r="O6" i="36"/>
  <c r="N6" i="36"/>
  <c r="K6" i="36"/>
  <c r="O5" i="36"/>
  <c r="N5" i="36"/>
  <c r="K5" i="36"/>
  <c r="U4" i="36"/>
  <c r="O4" i="36"/>
  <c r="N4" i="36"/>
  <c r="K4" i="36"/>
  <c r="T3" i="36"/>
  <c r="O3" i="36"/>
  <c r="N3" i="36"/>
  <c r="K3" i="36"/>
  <c r="C48" i="35"/>
  <c r="B7" i="35"/>
  <c r="B1" i="35"/>
  <c r="D5" i="34"/>
  <c r="D6" i="34"/>
  <c r="D7" i="34"/>
  <c r="D8" i="34"/>
  <c r="D9" i="34"/>
  <c r="D10" i="34"/>
  <c r="D11" i="34"/>
  <c r="D12" i="34"/>
  <c r="D13" i="34"/>
  <c r="D14" i="34"/>
  <c r="D15" i="34"/>
  <c r="D16" i="34"/>
  <c r="D17" i="34"/>
  <c r="D18" i="34"/>
  <c r="D19" i="34"/>
  <c r="D20" i="34"/>
  <c r="D21" i="34"/>
  <c r="D22" i="34"/>
  <c r="D23" i="34"/>
  <c r="D24" i="34"/>
  <c r="D25" i="34"/>
  <c r="D26" i="34"/>
  <c r="D27" i="34"/>
  <c r="D28" i="34"/>
  <c r="D29" i="34"/>
  <c r="C5" i="34"/>
  <c r="C6" i="34"/>
  <c r="C7" i="34"/>
  <c r="C8" i="34"/>
  <c r="C9" i="34"/>
  <c r="C10" i="34"/>
  <c r="C11" i="34"/>
  <c r="C12" i="34"/>
  <c r="C13" i="34"/>
  <c r="C14" i="34"/>
  <c r="C15" i="34"/>
  <c r="C16" i="34"/>
  <c r="C17" i="34"/>
  <c r="C18" i="34"/>
  <c r="C19" i="34"/>
  <c r="C20" i="34"/>
  <c r="C21" i="34"/>
  <c r="C22" i="34"/>
  <c r="C23" i="34"/>
  <c r="C24" i="34"/>
  <c r="C25" i="34"/>
  <c r="C26" i="34"/>
  <c r="C27" i="34"/>
  <c r="C28" i="34"/>
  <c r="C29" i="34"/>
  <c r="B5" i="34"/>
  <c r="B6" i="34"/>
  <c r="B7" i="34"/>
  <c r="B8" i="34"/>
  <c r="B9" i="34"/>
  <c r="B10" i="34"/>
  <c r="B11" i="34"/>
  <c r="B12" i="34"/>
  <c r="B13" i="34"/>
  <c r="B14" i="34"/>
  <c r="B15" i="34"/>
  <c r="B16" i="34"/>
  <c r="B17" i="34"/>
  <c r="B18" i="34"/>
  <c r="B19" i="34"/>
  <c r="B20" i="34"/>
  <c r="B21" i="34"/>
  <c r="B22" i="34"/>
  <c r="B23" i="34"/>
  <c r="B24" i="34"/>
  <c r="B25" i="34"/>
  <c r="B26" i="34"/>
  <c r="B27" i="34"/>
  <c r="B28" i="34"/>
  <c r="B29" i="34"/>
  <c r="A1" i="34"/>
  <c r="E38" i="32"/>
  <c r="J13" i="32"/>
  <c r="J14" i="32"/>
  <c r="J15" i="32"/>
  <c r="J16" i="32"/>
  <c r="J17" i="32"/>
  <c r="J18" i="32"/>
  <c r="J19" i="32"/>
  <c r="J20" i="32"/>
  <c r="J21" i="32"/>
  <c r="J22" i="32"/>
  <c r="J23" i="32"/>
  <c r="J24" i="32"/>
  <c r="J25" i="32"/>
  <c r="J26" i="32"/>
  <c r="J27" i="32"/>
  <c r="J28" i="32"/>
  <c r="J29" i="32"/>
  <c r="J30" i="32"/>
  <c r="J31" i="32"/>
  <c r="J32" i="32"/>
  <c r="J33" i="32"/>
  <c r="J34" i="32"/>
  <c r="J35" i="32"/>
  <c r="J36" i="32"/>
  <c r="H13" i="32"/>
  <c r="H14" i="32"/>
  <c r="H15" i="32"/>
  <c r="H16" i="32"/>
  <c r="H17" i="32"/>
  <c r="H18" i="32"/>
  <c r="H19" i="32"/>
  <c r="H20" i="32"/>
  <c r="H21" i="32"/>
  <c r="H22" i="32"/>
  <c r="H23" i="32"/>
  <c r="H24" i="32"/>
  <c r="H25" i="32"/>
  <c r="H26" i="32"/>
  <c r="H27" i="32"/>
  <c r="H28" i="32"/>
  <c r="H29" i="32"/>
  <c r="H30" i="32"/>
  <c r="H31" i="32"/>
  <c r="H32" i="32"/>
  <c r="H33" i="32"/>
  <c r="H34" i="32"/>
  <c r="H35" i="32"/>
  <c r="H36" i="32"/>
  <c r="H12" i="32"/>
  <c r="F13" i="32"/>
  <c r="F14" i="32"/>
  <c r="F15" i="32"/>
  <c r="F16" i="32"/>
  <c r="F17" i="32"/>
  <c r="F18" i="32"/>
  <c r="F19" i="32"/>
  <c r="F20" i="32"/>
  <c r="F21" i="32"/>
  <c r="F22" i="32"/>
  <c r="F23" i="32"/>
  <c r="F24" i="32"/>
  <c r="F25" i="32"/>
  <c r="F26" i="32"/>
  <c r="F27" i="32"/>
  <c r="F28" i="32"/>
  <c r="F29" i="32"/>
  <c r="F30" i="32"/>
  <c r="F31" i="32"/>
  <c r="F32" i="32"/>
  <c r="F33" i="32"/>
  <c r="F34" i="32"/>
  <c r="F35" i="32"/>
  <c r="F36" i="32"/>
  <c r="B13" i="32"/>
  <c r="B14" i="32"/>
  <c r="B15" i="32"/>
  <c r="B16" i="32"/>
  <c r="B17" i="32"/>
  <c r="B18" i="32"/>
  <c r="B19" i="32"/>
  <c r="B20" i="32"/>
  <c r="B21" i="32"/>
  <c r="B22" i="32"/>
  <c r="B23" i="32"/>
  <c r="B24" i="32"/>
  <c r="B25" i="32"/>
  <c r="B26" i="32"/>
  <c r="B27" i="32"/>
  <c r="B28" i="32"/>
  <c r="B29" i="32"/>
  <c r="B30" i="32"/>
  <c r="B31" i="32"/>
  <c r="B32" i="32"/>
  <c r="B33" i="32"/>
  <c r="B34" i="32"/>
  <c r="B35" i="32"/>
  <c r="B36" i="32"/>
  <c r="A13" i="32"/>
  <c r="A14" i="32"/>
  <c r="A15" i="32"/>
  <c r="A16" i="32"/>
  <c r="A17" i="32"/>
  <c r="A18" i="32"/>
  <c r="A19" i="32"/>
  <c r="A20" i="32"/>
  <c r="A21" i="32"/>
  <c r="A22" i="32"/>
  <c r="A23" i="32"/>
  <c r="A24" i="32"/>
  <c r="A25" i="32"/>
  <c r="A26" i="32"/>
  <c r="A27" i="32"/>
  <c r="A28" i="32"/>
  <c r="A29" i="32"/>
  <c r="A30" i="32"/>
  <c r="A31" i="32"/>
  <c r="A32" i="32"/>
  <c r="A33" i="32"/>
  <c r="A34" i="32"/>
  <c r="A35" i="32"/>
  <c r="A36" i="32"/>
  <c r="J12" i="32"/>
  <c r="F12" i="32"/>
  <c r="B12" i="32"/>
  <c r="A12" i="32"/>
  <c r="AE29" i="34"/>
  <c r="AB29" i="34"/>
  <c r="Y29" i="34"/>
  <c r="X29" i="34"/>
  <c r="U29" i="34"/>
  <c r="R29" i="34"/>
  <c r="Q29" i="34"/>
  <c r="N29" i="34"/>
  <c r="K29" i="34"/>
  <c r="J29" i="34"/>
  <c r="G29" i="34"/>
  <c r="AE28" i="34"/>
  <c r="AB28" i="34"/>
  <c r="Y28" i="34"/>
  <c r="X28" i="34"/>
  <c r="U28" i="34"/>
  <c r="R28" i="34"/>
  <c r="Q28" i="34"/>
  <c r="N28" i="34"/>
  <c r="K28" i="34"/>
  <c r="J28" i="34"/>
  <c r="G28" i="34"/>
  <c r="AE27" i="34"/>
  <c r="AB27" i="34"/>
  <c r="Y27" i="34"/>
  <c r="X27" i="34"/>
  <c r="U27" i="34"/>
  <c r="R27" i="34"/>
  <c r="Q27" i="34"/>
  <c r="N27" i="34"/>
  <c r="K27" i="34"/>
  <c r="J27" i="34"/>
  <c r="G27" i="34"/>
  <c r="AE26" i="34"/>
  <c r="AB26" i="34"/>
  <c r="Y26" i="34"/>
  <c r="X26" i="34"/>
  <c r="U26" i="34"/>
  <c r="R26" i="34"/>
  <c r="Q26" i="34"/>
  <c r="N26" i="34"/>
  <c r="K26" i="34"/>
  <c r="J26" i="34"/>
  <c r="G26" i="34"/>
  <c r="AE25" i="34"/>
  <c r="AB25" i="34"/>
  <c r="Y25" i="34"/>
  <c r="X25" i="34"/>
  <c r="U25" i="34"/>
  <c r="R25" i="34"/>
  <c r="Q25" i="34"/>
  <c r="N25" i="34"/>
  <c r="K25" i="34"/>
  <c r="J25" i="34"/>
  <c r="G25" i="34"/>
  <c r="AE24" i="34"/>
  <c r="AB24" i="34"/>
  <c r="Y24" i="34"/>
  <c r="X24" i="34"/>
  <c r="U24" i="34"/>
  <c r="R24" i="34"/>
  <c r="Q24" i="34"/>
  <c r="N24" i="34"/>
  <c r="K24" i="34"/>
  <c r="J24" i="34"/>
  <c r="G24" i="34"/>
  <c r="AE23" i="34"/>
  <c r="AB23" i="34"/>
  <c r="Y23" i="34"/>
  <c r="X23" i="34"/>
  <c r="U23" i="34"/>
  <c r="R23" i="34"/>
  <c r="Q23" i="34"/>
  <c r="N23" i="34"/>
  <c r="K23" i="34"/>
  <c r="J23" i="34"/>
  <c r="G23" i="34"/>
  <c r="AE22" i="34"/>
  <c r="AB22" i="34"/>
  <c r="Y22" i="34"/>
  <c r="X22" i="34"/>
  <c r="U22" i="34"/>
  <c r="R22" i="34"/>
  <c r="Q22" i="34"/>
  <c r="N22" i="34"/>
  <c r="K22" i="34"/>
  <c r="J22" i="34"/>
  <c r="G22" i="34"/>
  <c r="AE21" i="34"/>
  <c r="AB21" i="34"/>
  <c r="Y21" i="34"/>
  <c r="X21" i="34"/>
  <c r="U21" i="34"/>
  <c r="R21" i="34"/>
  <c r="Q21" i="34"/>
  <c r="N21" i="34"/>
  <c r="K21" i="34"/>
  <c r="J21" i="34"/>
  <c r="G21" i="34"/>
  <c r="AE20" i="34"/>
  <c r="AB20" i="34"/>
  <c r="Y20" i="34"/>
  <c r="X20" i="34"/>
  <c r="U20" i="34"/>
  <c r="R20" i="34"/>
  <c r="Q20" i="34"/>
  <c r="N20" i="34"/>
  <c r="K20" i="34"/>
  <c r="J20" i="34"/>
  <c r="G20" i="34"/>
  <c r="AE19" i="34"/>
  <c r="AB19" i="34"/>
  <c r="Y19" i="34"/>
  <c r="X19" i="34"/>
  <c r="U19" i="34"/>
  <c r="R19" i="34"/>
  <c r="Q19" i="34"/>
  <c r="N19" i="34"/>
  <c r="K19" i="34"/>
  <c r="J19" i="34"/>
  <c r="G19" i="34"/>
  <c r="AE18" i="34"/>
  <c r="AB18" i="34"/>
  <c r="Y18" i="34"/>
  <c r="X18" i="34"/>
  <c r="U18" i="34"/>
  <c r="R18" i="34"/>
  <c r="Q18" i="34"/>
  <c r="N18" i="34"/>
  <c r="K18" i="34"/>
  <c r="J18" i="34"/>
  <c r="G18" i="34"/>
  <c r="AE17" i="34"/>
  <c r="AB17" i="34"/>
  <c r="Y17" i="34"/>
  <c r="X17" i="34"/>
  <c r="U17" i="34"/>
  <c r="R17" i="34"/>
  <c r="Q17" i="34"/>
  <c r="N17" i="34"/>
  <c r="K17" i="34"/>
  <c r="J17" i="34"/>
  <c r="G17" i="34"/>
  <c r="AE16" i="34"/>
  <c r="AB16" i="34"/>
  <c r="Y16" i="34"/>
  <c r="X16" i="34"/>
  <c r="U16" i="34"/>
  <c r="R16" i="34"/>
  <c r="Q16" i="34"/>
  <c r="N16" i="34"/>
  <c r="K16" i="34"/>
  <c r="J16" i="34"/>
  <c r="G16" i="34"/>
  <c r="AE15" i="34"/>
  <c r="AB15" i="34"/>
  <c r="Y15" i="34"/>
  <c r="X15" i="34"/>
  <c r="U15" i="34"/>
  <c r="R15" i="34"/>
  <c r="Q15" i="34"/>
  <c r="N15" i="34"/>
  <c r="K15" i="34"/>
  <c r="J15" i="34"/>
  <c r="G15" i="34"/>
  <c r="AE14" i="34"/>
  <c r="AB14" i="34"/>
  <c r="Y14" i="34"/>
  <c r="X14" i="34"/>
  <c r="U14" i="34"/>
  <c r="R14" i="34"/>
  <c r="Q14" i="34"/>
  <c r="N14" i="34"/>
  <c r="K14" i="34"/>
  <c r="J14" i="34"/>
  <c r="G14" i="34"/>
  <c r="AE13" i="34"/>
  <c r="AB13" i="34"/>
  <c r="Y13" i="34"/>
  <c r="X13" i="34"/>
  <c r="U13" i="34"/>
  <c r="R13" i="34"/>
  <c r="Q13" i="34"/>
  <c r="N13" i="34"/>
  <c r="K13" i="34"/>
  <c r="J13" i="34"/>
  <c r="G13" i="34"/>
  <c r="AE12" i="34"/>
  <c r="AB12" i="34"/>
  <c r="Y12" i="34"/>
  <c r="X12" i="34"/>
  <c r="U12" i="34"/>
  <c r="R12" i="34"/>
  <c r="Q12" i="34"/>
  <c r="N12" i="34"/>
  <c r="K12" i="34"/>
  <c r="J12" i="34"/>
  <c r="G12" i="34"/>
  <c r="AE11" i="34"/>
  <c r="AB11" i="34"/>
  <c r="Y11" i="34"/>
  <c r="X11" i="34"/>
  <c r="U11" i="34"/>
  <c r="R11" i="34"/>
  <c r="Q11" i="34"/>
  <c r="N11" i="34"/>
  <c r="K11" i="34"/>
  <c r="J11" i="34"/>
  <c r="G11" i="34"/>
  <c r="AE10" i="34"/>
  <c r="AB10" i="34"/>
  <c r="Y10" i="34"/>
  <c r="X10" i="34"/>
  <c r="U10" i="34"/>
  <c r="R10" i="34"/>
  <c r="Q10" i="34"/>
  <c r="N10" i="34"/>
  <c r="K10" i="34"/>
  <c r="J10" i="34"/>
  <c r="G10" i="34"/>
  <c r="AE9" i="34"/>
  <c r="AB9" i="34"/>
  <c r="Y9" i="34"/>
  <c r="X9" i="34"/>
  <c r="U9" i="34"/>
  <c r="R9" i="34"/>
  <c r="Q9" i="34"/>
  <c r="N9" i="34"/>
  <c r="K9" i="34"/>
  <c r="J9" i="34"/>
  <c r="G9" i="34"/>
  <c r="AE8" i="34"/>
  <c r="AB8" i="34"/>
  <c r="Y8" i="34"/>
  <c r="X8" i="34"/>
  <c r="U8" i="34"/>
  <c r="R8" i="34"/>
  <c r="Q8" i="34"/>
  <c r="N8" i="34"/>
  <c r="K8" i="34"/>
  <c r="J8" i="34"/>
  <c r="G8" i="34"/>
  <c r="AE7" i="34"/>
  <c r="AB7" i="34"/>
  <c r="Y7" i="34"/>
  <c r="X7" i="34"/>
  <c r="U7" i="34"/>
  <c r="R7" i="34"/>
  <c r="Q7" i="34"/>
  <c r="N7" i="34"/>
  <c r="K7" i="34"/>
  <c r="J7" i="34"/>
  <c r="G7" i="34"/>
  <c r="AE6" i="34"/>
  <c r="AB6" i="34"/>
  <c r="Y6" i="34"/>
  <c r="X6" i="34"/>
  <c r="U6" i="34"/>
  <c r="R6" i="34"/>
  <c r="Q6" i="34"/>
  <c r="N6" i="34"/>
  <c r="K6" i="34"/>
  <c r="J6" i="34"/>
  <c r="G6" i="34"/>
  <c r="AE5" i="34"/>
  <c r="AB5" i="34"/>
  <c r="Y5" i="34"/>
  <c r="X5" i="34"/>
  <c r="U5" i="34"/>
  <c r="R5" i="34"/>
  <c r="Q5" i="34"/>
  <c r="N5" i="34"/>
  <c r="K5" i="34"/>
  <c r="J5" i="34"/>
  <c r="G5" i="34"/>
  <c r="O27" i="33"/>
  <c r="N27" i="33"/>
  <c r="K27" i="33"/>
  <c r="O26" i="33"/>
  <c r="N26" i="33"/>
  <c r="K26" i="33"/>
  <c r="O25" i="33"/>
  <c r="N25" i="33"/>
  <c r="K25" i="33"/>
  <c r="O24" i="33"/>
  <c r="N24" i="33"/>
  <c r="K24" i="33"/>
  <c r="O23" i="33"/>
  <c r="N23" i="33"/>
  <c r="K23" i="33"/>
  <c r="O22" i="33"/>
  <c r="N22" i="33"/>
  <c r="K22" i="33"/>
  <c r="O21" i="33"/>
  <c r="N21" i="33"/>
  <c r="K21" i="33"/>
  <c r="O20" i="33"/>
  <c r="N20" i="33"/>
  <c r="K20" i="33"/>
  <c r="O19" i="33"/>
  <c r="N19" i="33"/>
  <c r="K19" i="33"/>
  <c r="O18" i="33"/>
  <c r="N18" i="33"/>
  <c r="K18" i="33"/>
  <c r="O17" i="33"/>
  <c r="N17" i="33"/>
  <c r="K17" i="33"/>
  <c r="O16" i="33"/>
  <c r="N16" i="33"/>
  <c r="K16" i="33"/>
  <c r="O15" i="33"/>
  <c r="N15" i="33"/>
  <c r="K15" i="33"/>
  <c r="O14" i="33"/>
  <c r="N14" i="33"/>
  <c r="K14" i="33"/>
  <c r="O13" i="33"/>
  <c r="N13" i="33"/>
  <c r="K13" i="33"/>
  <c r="O12" i="33"/>
  <c r="N12" i="33"/>
  <c r="K12" i="33"/>
  <c r="O11" i="33"/>
  <c r="N11" i="33"/>
  <c r="K11" i="33"/>
  <c r="O10" i="33"/>
  <c r="N10" i="33"/>
  <c r="K10" i="33"/>
  <c r="O9" i="33"/>
  <c r="N9" i="33"/>
  <c r="K9" i="33"/>
  <c r="O8" i="33"/>
  <c r="N8" i="33"/>
  <c r="K8" i="33"/>
  <c r="O7" i="33"/>
  <c r="N7" i="33"/>
  <c r="K7" i="33"/>
  <c r="O6" i="33"/>
  <c r="N6" i="33"/>
  <c r="K6" i="33"/>
  <c r="O5" i="33"/>
  <c r="N5" i="33"/>
  <c r="K5" i="33"/>
  <c r="U4" i="33"/>
  <c r="O4" i="33"/>
  <c r="N4" i="33"/>
  <c r="K4" i="33"/>
  <c r="T3" i="33"/>
  <c r="O3" i="33"/>
  <c r="N3" i="33"/>
  <c r="K3" i="33"/>
  <c r="C48" i="32"/>
  <c r="B7" i="32"/>
  <c r="B1" i="32"/>
  <c r="D18" i="14"/>
  <c r="D5" i="31"/>
  <c r="D6" i="31"/>
  <c r="D7" i="31"/>
  <c r="D8" i="31"/>
  <c r="D9" i="31"/>
  <c r="D10" i="31"/>
  <c r="D11" i="31"/>
  <c r="D12" i="31"/>
  <c r="D13" i="31"/>
  <c r="D14" i="31"/>
  <c r="D15" i="31"/>
  <c r="D16" i="31"/>
  <c r="D17" i="31"/>
  <c r="D18" i="31"/>
  <c r="D19" i="31"/>
  <c r="D20" i="31"/>
  <c r="D21" i="31"/>
  <c r="D22" i="31"/>
  <c r="D23" i="31"/>
  <c r="D24" i="31"/>
  <c r="D25" i="31"/>
  <c r="D26" i="31"/>
  <c r="D27" i="31"/>
  <c r="D28" i="31"/>
  <c r="D29" i="31"/>
  <c r="C5" i="31"/>
  <c r="C6" i="31"/>
  <c r="C7" i="31"/>
  <c r="C8" i="31"/>
  <c r="C9" i="31"/>
  <c r="C10" i="31"/>
  <c r="C11" i="31"/>
  <c r="C12" i="31"/>
  <c r="C13" i="31"/>
  <c r="C14" i="31"/>
  <c r="C15" i="31"/>
  <c r="C16" i="31"/>
  <c r="C17" i="31"/>
  <c r="C18" i="31"/>
  <c r="C19" i="31"/>
  <c r="C20" i="31"/>
  <c r="C21" i="31"/>
  <c r="C22" i="31"/>
  <c r="C23" i="31"/>
  <c r="C24" i="31"/>
  <c r="C25" i="31"/>
  <c r="C26" i="31"/>
  <c r="C27" i="31"/>
  <c r="C28" i="31"/>
  <c r="C29" i="31"/>
  <c r="B5" i="31"/>
  <c r="B6" i="31"/>
  <c r="B7" i="31"/>
  <c r="B8" i="31"/>
  <c r="B9" i="31"/>
  <c r="B10" i="31"/>
  <c r="B11" i="31"/>
  <c r="B12" i="31"/>
  <c r="B13" i="31"/>
  <c r="B14" i="31"/>
  <c r="B15" i="31"/>
  <c r="B16" i="31"/>
  <c r="B17" i="31"/>
  <c r="B18" i="31"/>
  <c r="B19" i="31"/>
  <c r="B20" i="31"/>
  <c r="B21" i="31"/>
  <c r="B22" i="31"/>
  <c r="B23" i="31"/>
  <c r="B24" i="31"/>
  <c r="B25" i="31"/>
  <c r="B26" i="31"/>
  <c r="B27" i="31"/>
  <c r="B28" i="31"/>
  <c r="B29" i="31"/>
  <c r="A1" i="31"/>
  <c r="E38" i="29"/>
  <c r="J13" i="29"/>
  <c r="J14" i="29"/>
  <c r="J15" i="29"/>
  <c r="J16" i="29"/>
  <c r="J17" i="29"/>
  <c r="J18" i="29"/>
  <c r="J19" i="29"/>
  <c r="J20" i="29"/>
  <c r="J21" i="29"/>
  <c r="J22" i="29"/>
  <c r="J23" i="29"/>
  <c r="J24" i="29"/>
  <c r="J25" i="29"/>
  <c r="J26" i="29"/>
  <c r="J27" i="29"/>
  <c r="J28" i="29"/>
  <c r="J29" i="29"/>
  <c r="J30" i="29"/>
  <c r="J31" i="29"/>
  <c r="J32" i="29"/>
  <c r="J33" i="29"/>
  <c r="J34" i="29"/>
  <c r="J35" i="29"/>
  <c r="J36" i="29"/>
  <c r="H13" i="29"/>
  <c r="H14" i="29"/>
  <c r="H15" i="29"/>
  <c r="H16" i="29"/>
  <c r="H17" i="29"/>
  <c r="H18" i="29"/>
  <c r="H19" i="29"/>
  <c r="H20" i="29"/>
  <c r="H21" i="29"/>
  <c r="H22" i="29"/>
  <c r="H23" i="29"/>
  <c r="H24" i="29"/>
  <c r="H25" i="29"/>
  <c r="H26" i="29"/>
  <c r="H27" i="29"/>
  <c r="H28" i="29"/>
  <c r="H29" i="29"/>
  <c r="H30" i="29"/>
  <c r="H31" i="29"/>
  <c r="H32" i="29"/>
  <c r="H33" i="29"/>
  <c r="H34" i="29"/>
  <c r="H35" i="29"/>
  <c r="H36" i="29"/>
  <c r="F13" i="29"/>
  <c r="F14" i="29"/>
  <c r="F15" i="29"/>
  <c r="F16" i="29"/>
  <c r="F17" i="29"/>
  <c r="F18" i="29"/>
  <c r="F19" i="29"/>
  <c r="F20" i="29"/>
  <c r="F21" i="29"/>
  <c r="F22" i="29"/>
  <c r="F23" i="29"/>
  <c r="F24" i="29"/>
  <c r="F25" i="29"/>
  <c r="F26" i="29"/>
  <c r="F27" i="29"/>
  <c r="F28" i="29"/>
  <c r="F29" i="29"/>
  <c r="F30" i="29"/>
  <c r="F31" i="29"/>
  <c r="F32" i="29"/>
  <c r="F33" i="29"/>
  <c r="F34" i="29"/>
  <c r="F35" i="29"/>
  <c r="F36" i="29"/>
  <c r="B13" i="29"/>
  <c r="B14" i="29"/>
  <c r="B15" i="29"/>
  <c r="B16" i="29"/>
  <c r="B17" i="29"/>
  <c r="B18" i="29"/>
  <c r="B19" i="29"/>
  <c r="B20" i="29"/>
  <c r="B21" i="29"/>
  <c r="B22" i="29"/>
  <c r="B23" i="29"/>
  <c r="B24" i="29"/>
  <c r="B25" i="29"/>
  <c r="B26" i="29"/>
  <c r="B27" i="29"/>
  <c r="B28" i="29"/>
  <c r="B29" i="29"/>
  <c r="B30" i="29"/>
  <c r="B31" i="29"/>
  <c r="B32" i="29"/>
  <c r="B33" i="29"/>
  <c r="B34" i="29"/>
  <c r="B35" i="29"/>
  <c r="B36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J12" i="29"/>
  <c r="H12" i="29"/>
  <c r="F12" i="29"/>
  <c r="B12" i="29"/>
  <c r="A12" i="29"/>
  <c r="AE29" i="31"/>
  <c r="AB29" i="31"/>
  <c r="Y29" i="31"/>
  <c r="X29" i="31"/>
  <c r="U29" i="31"/>
  <c r="R29" i="31"/>
  <c r="Q29" i="31"/>
  <c r="N29" i="31"/>
  <c r="K29" i="31"/>
  <c r="J29" i="31"/>
  <c r="G29" i="31"/>
  <c r="AE28" i="31"/>
  <c r="AB28" i="31"/>
  <c r="Y28" i="31"/>
  <c r="X28" i="31"/>
  <c r="U28" i="31"/>
  <c r="R28" i="31"/>
  <c r="Q28" i="31"/>
  <c r="N28" i="31"/>
  <c r="K28" i="31"/>
  <c r="J28" i="31"/>
  <c r="G28" i="31"/>
  <c r="AE27" i="31"/>
  <c r="AB27" i="31"/>
  <c r="Y27" i="31"/>
  <c r="X27" i="31"/>
  <c r="U27" i="31"/>
  <c r="R27" i="31"/>
  <c r="Q27" i="31"/>
  <c r="N27" i="31"/>
  <c r="K27" i="31"/>
  <c r="J27" i="31"/>
  <c r="G27" i="31"/>
  <c r="AE26" i="31"/>
  <c r="AB26" i="31"/>
  <c r="Y26" i="31"/>
  <c r="X26" i="31"/>
  <c r="U26" i="31"/>
  <c r="R26" i="31"/>
  <c r="Q26" i="31"/>
  <c r="N26" i="31"/>
  <c r="K26" i="31"/>
  <c r="J26" i="31"/>
  <c r="G26" i="31"/>
  <c r="AE25" i="31"/>
  <c r="AB25" i="31"/>
  <c r="Y25" i="31"/>
  <c r="X25" i="31"/>
  <c r="U25" i="31"/>
  <c r="R25" i="31"/>
  <c r="Q25" i="31"/>
  <c r="N25" i="31"/>
  <c r="K25" i="31"/>
  <c r="J25" i="31"/>
  <c r="G25" i="31"/>
  <c r="AE24" i="31"/>
  <c r="AB24" i="31"/>
  <c r="Y24" i="31"/>
  <c r="X24" i="31"/>
  <c r="U24" i="31"/>
  <c r="R24" i="31"/>
  <c r="Q24" i="31"/>
  <c r="N24" i="31"/>
  <c r="K24" i="31"/>
  <c r="J24" i="31"/>
  <c r="G24" i="31"/>
  <c r="AE23" i="31"/>
  <c r="AB23" i="31"/>
  <c r="Y23" i="31"/>
  <c r="X23" i="31"/>
  <c r="U23" i="31"/>
  <c r="R23" i="31"/>
  <c r="Q23" i="31"/>
  <c r="N23" i="31"/>
  <c r="K23" i="31"/>
  <c r="J23" i="31"/>
  <c r="G23" i="31"/>
  <c r="AE22" i="31"/>
  <c r="AB22" i="31"/>
  <c r="Y22" i="31"/>
  <c r="X22" i="31"/>
  <c r="U22" i="31"/>
  <c r="R22" i="31"/>
  <c r="Q22" i="31"/>
  <c r="N22" i="31"/>
  <c r="K22" i="31"/>
  <c r="J22" i="31"/>
  <c r="G22" i="31"/>
  <c r="AE21" i="31"/>
  <c r="AB21" i="31"/>
  <c r="Y21" i="31"/>
  <c r="X21" i="31"/>
  <c r="U21" i="31"/>
  <c r="R21" i="31"/>
  <c r="Q21" i="31"/>
  <c r="N21" i="31"/>
  <c r="K21" i="31"/>
  <c r="J21" i="31"/>
  <c r="G21" i="31"/>
  <c r="AE20" i="31"/>
  <c r="AB20" i="31"/>
  <c r="Y20" i="31"/>
  <c r="X20" i="31"/>
  <c r="U20" i="31"/>
  <c r="R20" i="31"/>
  <c r="Q20" i="31"/>
  <c r="N20" i="31"/>
  <c r="K20" i="31"/>
  <c r="J20" i="31"/>
  <c r="G20" i="31"/>
  <c r="AE19" i="31"/>
  <c r="AB19" i="31"/>
  <c r="Y19" i="31"/>
  <c r="X19" i="31"/>
  <c r="U19" i="31"/>
  <c r="R19" i="31"/>
  <c r="Q19" i="31"/>
  <c r="N19" i="31"/>
  <c r="K19" i="31"/>
  <c r="J19" i="31"/>
  <c r="G19" i="31"/>
  <c r="AE18" i="31"/>
  <c r="AB18" i="31"/>
  <c r="Y18" i="31"/>
  <c r="X18" i="31"/>
  <c r="U18" i="31"/>
  <c r="R18" i="31"/>
  <c r="Q18" i="31"/>
  <c r="N18" i="31"/>
  <c r="K18" i="31"/>
  <c r="J18" i="31"/>
  <c r="G18" i="31"/>
  <c r="AE17" i="31"/>
  <c r="AB17" i="31"/>
  <c r="Y17" i="31"/>
  <c r="X17" i="31"/>
  <c r="U17" i="31"/>
  <c r="R17" i="31"/>
  <c r="Q17" i="31"/>
  <c r="N17" i="31"/>
  <c r="K17" i="31"/>
  <c r="J17" i="31"/>
  <c r="G17" i="31"/>
  <c r="AE16" i="31"/>
  <c r="AB16" i="31"/>
  <c r="Y16" i="31"/>
  <c r="X16" i="31"/>
  <c r="U16" i="31"/>
  <c r="R16" i="31"/>
  <c r="Q16" i="31"/>
  <c r="N16" i="31"/>
  <c r="K16" i="31"/>
  <c r="J16" i="31"/>
  <c r="G16" i="31"/>
  <c r="AE15" i="31"/>
  <c r="AB15" i="31"/>
  <c r="Y15" i="31"/>
  <c r="X15" i="31"/>
  <c r="U15" i="31"/>
  <c r="R15" i="31"/>
  <c r="Q15" i="31"/>
  <c r="N15" i="31"/>
  <c r="K15" i="31"/>
  <c r="J15" i="31"/>
  <c r="G15" i="31"/>
  <c r="AE14" i="31"/>
  <c r="AB14" i="31"/>
  <c r="Y14" i="31"/>
  <c r="X14" i="31"/>
  <c r="U14" i="31"/>
  <c r="R14" i="31"/>
  <c r="Q14" i="31"/>
  <c r="N14" i="31"/>
  <c r="K14" i="31"/>
  <c r="J14" i="31"/>
  <c r="G14" i="31"/>
  <c r="AE13" i="31"/>
  <c r="AB13" i="31"/>
  <c r="Y13" i="31"/>
  <c r="X13" i="31"/>
  <c r="U13" i="31"/>
  <c r="R13" i="31"/>
  <c r="Q13" i="31"/>
  <c r="N13" i="31"/>
  <c r="K13" i="31"/>
  <c r="J13" i="31"/>
  <c r="G13" i="31"/>
  <c r="AE12" i="31"/>
  <c r="AB12" i="31"/>
  <c r="Y12" i="31"/>
  <c r="X12" i="31"/>
  <c r="U12" i="31"/>
  <c r="R12" i="31"/>
  <c r="Q12" i="31"/>
  <c r="N12" i="31"/>
  <c r="K12" i="31"/>
  <c r="J12" i="31"/>
  <c r="G12" i="31"/>
  <c r="AE11" i="31"/>
  <c r="AB11" i="31"/>
  <c r="Y11" i="31"/>
  <c r="X11" i="31"/>
  <c r="U11" i="31"/>
  <c r="R11" i="31"/>
  <c r="Q11" i="31"/>
  <c r="N11" i="31"/>
  <c r="K11" i="31"/>
  <c r="J11" i="31"/>
  <c r="G11" i="31"/>
  <c r="AE10" i="31"/>
  <c r="AB10" i="31"/>
  <c r="Y10" i="31"/>
  <c r="X10" i="31"/>
  <c r="U10" i="31"/>
  <c r="R10" i="31"/>
  <c r="Q10" i="31"/>
  <c r="N10" i="31"/>
  <c r="K10" i="31"/>
  <c r="J10" i="31"/>
  <c r="G10" i="31"/>
  <c r="AE9" i="31"/>
  <c r="AB9" i="31"/>
  <c r="Y9" i="31"/>
  <c r="X9" i="31"/>
  <c r="U9" i="31"/>
  <c r="R9" i="31"/>
  <c r="Q9" i="31"/>
  <c r="N9" i="31"/>
  <c r="K9" i="31"/>
  <c r="J9" i="31"/>
  <c r="G9" i="31"/>
  <c r="AE8" i="31"/>
  <c r="AB8" i="31"/>
  <c r="Y8" i="31"/>
  <c r="X8" i="31"/>
  <c r="U8" i="31"/>
  <c r="R8" i="31"/>
  <c r="Q8" i="31"/>
  <c r="N8" i="31"/>
  <c r="K8" i="31"/>
  <c r="J8" i="31"/>
  <c r="G8" i="31"/>
  <c r="AE7" i="31"/>
  <c r="AB7" i="31"/>
  <c r="Y7" i="31"/>
  <c r="X7" i="31"/>
  <c r="U7" i="31"/>
  <c r="R7" i="31"/>
  <c r="Q7" i="31"/>
  <c r="N7" i="31"/>
  <c r="K7" i="31"/>
  <c r="J7" i="31"/>
  <c r="G7" i="31"/>
  <c r="AE6" i="31"/>
  <c r="AB6" i="31"/>
  <c r="Y6" i="31"/>
  <c r="X6" i="31"/>
  <c r="U6" i="31"/>
  <c r="R6" i="31"/>
  <c r="Q6" i="31"/>
  <c r="N6" i="31"/>
  <c r="K6" i="31"/>
  <c r="J6" i="31"/>
  <c r="G6" i="31"/>
  <c r="AE5" i="31"/>
  <c r="AB5" i="31"/>
  <c r="Y5" i="31"/>
  <c r="X5" i="31"/>
  <c r="U5" i="31"/>
  <c r="R5" i="31"/>
  <c r="Q5" i="31"/>
  <c r="N5" i="31"/>
  <c r="K5" i="31"/>
  <c r="J5" i="31"/>
  <c r="G5" i="31"/>
  <c r="O27" i="30"/>
  <c r="N27" i="30"/>
  <c r="K27" i="30"/>
  <c r="O26" i="30"/>
  <c r="N26" i="30"/>
  <c r="K26" i="30"/>
  <c r="O25" i="30"/>
  <c r="N25" i="30"/>
  <c r="K25" i="30"/>
  <c r="O24" i="30"/>
  <c r="N24" i="30"/>
  <c r="K24" i="30"/>
  <c r="O23" i="30"/>
  <c r="N23" i="30"/>
  <c r="K23" i="30"/>
  <c r="O22" i="30"/>
  <c r="N22" i="30"/>
  <c r="K22" i="30"/>
  <c r="O21" i="30"/>
  <c r="N21" i="30"/>
  <c r="K21" i="30"/>
  <c r="O20" i="30"/>
  <c r="N20" i="30"/>
  <c r="K20" i="30"/>
  <c r="O19" i="30"/>
  <c r="N19" i="30"/>
  <c r="K19" i="30"/>
  <c r="O18" i="30"/>
  <c r="N18" i="30"/>
  <c r="K18" i="30"/>
  <c r="O17" i="30"/>
  <c r="N17" i="30"/>
  <c r="K17" i="30"/>
  <c r="O16" i="30"/>
  <c r="N16" i="30"/>
  <c r="K16" i="30"/>
  <c r="O15" i="30"/>
  <c r="N15" i="30"/>
  <c r="K15" i="30"/>
  <c r="O14" i="30"/>
  <c r="N14" i="30"/>
  <c r="K14" i="30"/>
  <c r="O13" i="30"/>
  <c r="N13" i="30"/>
  <c r="K13" i="30"/>
  <c r="O12" i="30"/>
  <c r="N12" i="30"/>
  <c r="K12" i="30"/>
  <c r="O11" i="30"/>
  <c r="N11" i="30"/>
  <c r="K11" i="30"/>
  <c r="O10" i="30"/>
  <c r="N10" i="30"/>
  <c r="K10" i="30"/>
  <c r="O9" i="30"/>
  <c r="N9" i="30"/>
  <c r="K9" i="30"/>
  <c r="O8" i="30"/>
  <c r="N8" i="30"/>
  <c r="K8" i="30"/>
  <c r="O7" i="30"/>
  <c r="N7" i="30"/>
  <c r="K7" i="30"/>
  <c r="O6" i="30"/>
  <c r="N6" i="30"/>
  <c r="K6" i="30"/>
  <c r="O5" i="30"/>
  <c r="N5" i="30"/>
  <c r="K5" i="30"/>
  <c r="U4" i="30"/>
  <c r="O4" i="30"/>
  <c r="N4" i="30"/>
  <c r="K4" i="30"/>
  <c r="T3" i="30"/>
  <c r="O3" i="30"/>
  <c r="N3" i="30"/>
  <c r="K3" i="30"/>
  <c r="C48" i="29"/>
  <c r="B7" i="29"/>
  <c r="B1" i="29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3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A1" i="28"/>
  <c r="A1" i="25"/>
  <c r="N4" i="21"/>
  <c r="N5" i="21"/>
  <c r="N6" i="21"/>
  <c r="N7" i="21"/>
  <c r="N8" i="21"/>
  <c r="N9" i="21"/>
  <c r="N10" i="21"/>
  <c r="N11" i="21"/>
  <c r="N12" i="21"/>
  <c r="N13" i="21"/>
  <c r="N14" i="21"/>
  <c r="N15" i="21"/>
  <c r="N16" i="21"/>
  <c r="N17" i="21"/>
  <c r="N18" i="21"/>
  <c r="N19" i="21"/>
  <c r="N20" i="21"/>
  <c r="N21" i="21"/>
  <c r="N22" i="21"/>
  <c r="N23" i="21"/>
  <c r="N24" i="21"/>
  <c r="N25" i="21"/>
  <c r="N26" i="21"/>
  <c r="N27" i="21"/>
  <c r="N3" i="21"/>
  <c r="K3" i="21"/>
  <c r="K4" i="21"/>
  <c r="K5" i="21"/>
  <c r="K6" i="21"/>
  <c r="K7" i="21"/>
  <c r="K8" i="21"/>
  <c r="K9" i="21"/>
  <c r="K10" i="21"/>
  <c r="K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N4" i="24"/>
  <c r="N5" i="24"/>
  <c r="N6" i="24"/>
  <c r="N7" i="24"/>
  <c r="N8" i="24"/>
  <c r="N9" i="24"/>
  <c r="N10" i="24"/>
  <c r="N11" i="24"/>
  <c r="N12" i="24"/>
  <c r="N13" i="24"/>
  <c r="N14" i="24"/>
  <c r="N15" i="24"/>
  <c r="N16" i="24"/>
  <c r="N17" i="24"/>
  <c r="N18" i="24"/>
  <c r="N19" i="24"/>
  <c r="N20" i="24"/>
  <c r="N21" i="24"/>
  <c r="N22" i="24"/>
  <c r="N23" i="24"/>
  <c r="N24" i="24"/>
  <c r="N25" i="24"/>
  <c r="N26" i="24"/>
  <c r="N27" i="24"/>
  <c r="N3" i="24"/>
  <c r="K3" i="24"/>
  <c r="K4" i="24"/>
  <c r="K5" i="24"/>
  <c r="K6" i="24"/>
  <c r="K7" i="24"/>
  <c r="K8" i="24"/>
  <c r="K9" i="24"/>
  <c r="K10" i="24"/>
  <c r="K11" i="24"/>
  <c r="K12" i="24"/>
  <c r="K13" i="24"/>
  <c r="K14" i="24"/>
  <c r="K15" i="24"/>
  <c r="K16" i="24"/>
  <c r="K17" i="24"/>
  <c r="K18" i="24"/>
  <c r="K19" i="24"/>
  <c r="K20" i="24"/>
  <c r="K21" i="24"/>
  <c r="K22" i="24"/>
  <c r="K23" i="24"/>
  <c r="K24" i="24"/>
  <c r="K25" i="24"/>
  <c r="K26" i="24"/>
  <c r="K27" i="24"/>
  <c r="N4" i="27"/>
  <c r="N5" i="27"/>
  <c r="N6" i="27"/>
  <c r="N7" i="27"/>
  <c r="N8" i="27"/>
  <c r="N9" i="27"/>
  <c r="N10" i="27"/>
  <c r="N11" i="27"/>
  <c r="N12" i="27"/>
  <c r="N13" i="27"/>
  <c r="N14" i="27"/>
  <c r="N15" i="27"/>
  <c r="N16" i="27"/>
  <c r="N17" i="27"/>
  <c r="N18" i="27"/>
  <c r="N19" i="27"/>
  <c r="N20" i="27"/>
  <c r="N21" i="27"/>
  <c r="N22" i="27"/>
  <c r="N23" i="27"/>
  <c r="N24" i="27"/>
  <c r="N25" i="27"/>
  <c r="N26" i="27"/>
  <c r="N27" i="27"/>
  <c r="N3" i="27"/>
  <c r="K3" i="27"/>
  <c r="K4" i="27"/>
  <c r="K5" i="27"/>
  <c r="K6" i="27"/>
  <c r="K7" i="27"/>
  <c r="K8" i="27"/>
  <c r="K9" i="27"/>
  <c r="K10" i="27"/>
  <c r="K11" i="27"/>
  <c r="K12" i="27"/>
  <c r="K13" i="27"/>
  <c r="K14" i="27"/>
  <c r="K15" i="27"/>
  <c r="K16" i="27"/>
  <c r="K17" i="27"/>
  <c r="K18" i="27"/>
  <c r="K19" i="27"/>
  <c r="K20" i="27"/>
  <c r="K21" i="27"/>
  <c r="K22" i="27"/>
  <c r="K23" i="27"/>
  <c r="K24" i="27"/>
  <c r="K25" i="27"/>
  <c r="K26" i="27"/>
  <c r="K27" i="27"/>
  <c r="D5" i="28"/>
  <c r="D6" i="28"/>
  <c r="D7" i="28"/>
  <c r="D8" i="28"/>
  <c r="D9" i="28"/>
  <c r="D10" i="28"/>
  <c r="D11" i="28"/>
  <c r="D12" i="28"/>
  <c r="D13" i="28"/>
  <c r="D14" i="28"/>
  <c r="D15" i="28"/>
  <c r="D16" i="28"/>
  <c r="D17" i="28"/>
  <c r="D18" i="28"/>
  <c r="D19" i="28"/>
  <c r="D20" i="28"/>
  <c r="D21" i="28"/>
  <c r="D22" i="28"/>
  <c r="D23" i="28"/>
  <c r="D24" i="28"/>
  <c r="D25" i="28"/>
  <c r="D26" i="28"/>
  <c r="D27" i="28"/>
  <c r="D28" i="28"/>
  <c r="D29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E38" i="26"/>
  <c r="J13" i="26"/>
  <c r="J14" i="26"/>
  <c r="J15" i="26"/>
  <c r="J16" i="26"/>
  <c r="J17" i="26"/>
  <c r="J18" i="26"/>
  <c r="J19" i="26"/>
  <c r="J20" i="26"/>
  <c r="J21" i="26"/>
  <c r="J22" i="26"/>
  <c r="J23" i="26"/>
  <c r="J24" i="26"/>
  <c r="J25" i="26"/>
  <c r="J26" i="26"/>
  <c r="J27" i="26"/>
  <c r="J28" i="26"/>
  <c r="J29" i="26"/>
  <c r="J30" i="26"/>
  <c r="J31" i="26"/>
  <c r="J32" i="26"/>
  <c r="J33" i="26"/>
  <c r="J34" i="26"/>
  <c r="J35" i="26"/>
  <c r="J36" i="26"/>
  <c r="H13" i="26"/>
  <c r="H14" i="26"/>
  <c r="H15" i="26"/>
  <c r="H16" i="26"/>
  <c r="H17" i="26"/>
  <c r="H18" i="26"/>
  <c r="H19" i="26"/>
  <c r="H20" i="26"/>
  <c r="H21" i="26"/>
  <c r="H22" i="26"/>
  <c r="H23" i="26"/>
  <c r="H24" i="26"/>
  <c r="H25" i="26"/>
  <c r="H26" i="26"/>
  <c r="H27" i="26"/>
  <c r="H28" i="26"/>
  <c r="H29" i="26"/>
  <c r="H30" i="26"/>
  <c r="H31" i="26"/>
  <c r="H32" i="26"/>
  <c r="H33" i="26"/>
  <c r="H34" i="26"/>
  <c r="H35" i="26"/>
  <c r="H36" i="26"/>
  <c r="F13" i="26"/>
  <c r="F14" i="26"/>
  <c r="F15" i="26"/>
  <c r="F16" i="26"/>
  <c r="F17" i="26"/>
  <c r="F18" i="26"/>
  <c r="F19" i="26"/>
  <c r="F20" i="26"/>
  <c r="F21" i="26"/>
  <c r="F22" i="26"/>
  <c r="F23" i="26"/>
  <c r="F24" i="26"/>
  <c r="F25" i="26"/>
  <c r="F26" i="26"/>
  <c r="F27" i="26"/>
  <c r="F28" i="26"/>
  <c r="F29" i="26"/>
  <c r="F30" i="26"/>
  <c r="F31" i="26"/>
  <c r="F32" i="26"/>
  <c r="F33" i="26"/>
  <c r="F34" i="26"/>
  <c r="F35" i="26"/>
  <c r="F36" i="26"/>
  <c r="B13" i="26"/>
  <c r="B14" i="26"/>
  <c r="B15" i="26"/>
  <c r="B16" i="26"/>
  <c r="B17" i="26"/>
  <c r="B18" i="26"/>
  <c r="B19" i="26"/>
  <c r="B20" i="26"/>
  <c r="B21" i="26"/>
  <c r="B22" i="26"/>
  <c r="B23" i="26"/>
  <c r="B24" i="26"/>
  <c r="B25" i="26"/>
  <c r="B26" i="26"/>
  <c r="B27" i="26"/>
  <c r="B28" i="26"/>
  <c r="B29" i="26"/>
  <c r="B30" i="26"/>
  <c r="B31" i="26"/>
  <c r="B32" i="26"/>
  <c r="B33" i="26"/>
  <c r="B34" i="26"/>
  <c r="B35" i="26"/>
  <c r="B36" i="26"/>
  <c r="A13" i="26"/>
  <c r="A14" i="26"/>
  <c r="A15" i="26"/>
  <c r="A16" i="26"/>
  <c r="A17" i="26"/>
  <c r="A18" i="26"/>
  <c r="A19" i="26"/>
  <c r="A20" i="26"/>
  <c r="A21" i="26"/>
  <c r="A22" i="26"/>
  <c r="A23" i="26"/>
  <c r="A24" i="26"/>
  <c r="A25" i="26"/>
  <c r="A26" i="26"/>
  <c r="A27" i="26"/>
  <c r="A28" i="26"/>
  <c r="A29" i="26"/>
  <c r="A30" i="26"/>
  <c r="A31" i="26"/>
  <c r="A32" i="26"/>
  <c r="A33" i="26"/>
  <c r="A34" i="26"/>
  <c r="A35" i="26"/>
  <c r="A36" i="26"/>
  <c r="J12" i="26"/>
  <c r="H12" i="26"/>
  <c r="F12" i="26"/>
  <c r="B12" i="26"/>
  <c r="A12" i="26"/>
  <c r="AE29" i="28"/>
  <c r="AB29" i="28"/>
  <c r="Y29" i="28"/>
  <c r="X29" i="28"/>
  <c r="U29" i="28"/>
  <c r="R29" i="28"/>
  <c r="Q29" i="28"/>
  <c r="N29" i="28"/>
  <c r="K29" i="28"/>
  <c r="J29" i="28"/>
  <c r="G29" i="28"/>
  <c r="AE28" i="28"/>
  <c r="AB28" i="28"/>
  <c r="Y28" i="28"/>
  <c r="X28" i="28"/>
  <c r="U28" i="28"/>
  <c r="R28" i="28"/>
  <c r="Q28" i="28"/>
  <c r="N28" i="28"/>
  <c r="K28" i="28"/>
  <c r="J28" i="28"/>
  <c r="G28" i="28"/>
  <c r="AE27" i="28"/>
  <c r="AB27" i="28"/>
  <c r="Y27" i="28"/>
  <c r="X27" i="28"/>
  <c r="U27" i="28"/>
  <c r="R27" i="28"/>
  <c r="Q27" i="28"/>
  <c r="N27" i="28"/>
  <c r="K27" i="28"/>
  <c r="J27" i="28"/>
  <c r="G27" i="28"/>
  <c r="AE26" i="28"/>
  <c r="AB26" i="28"/>
  <c r="Y26" i="28"/>
  <c r="X26" i="28"/>
  <c r="U26" i="28"/>
  <c r="R26" i="28"/>
  <c r="Q26" i="28"/>
  <c r="N26" i="28"/>
  <c r="K26" i="28"/>
  <c r="J26" i="28"/>
  <c r="G26" i="28"/>
  <c r="AE25" i="28"/>
  <c r="AB25" i="28"/>
  <c r="Y25" i="28"/>
  <c r="X25" i="28"/>
  <c r="U25" i="28"/>
  <c r="R25" i="28"/>
  <c r="Q25" i="28"/>
  <c r="N25" i="28"/>
  <c r="K25" i="28"/>
  <c r="J25" i="28"/>
  <c r="G25" i="28"/>
  <c r="AE24" i="28"/>
  <c r="AB24" i="28"/>
  <c r="Y24" i="28"/>
  <c r="X24" i="28"/>
  <c r="U24" i="28"/>
  <c r="R24" i="28"/>
  <c r="Q24" i="28"/>
  <c r="N24" i="28"/>
  <c r="K24" i="28"/>
  <c r="J24" i="28"/>
  <c r="G24" i="28"/>
  <c r="AE23" i="28"/>
  <c r="AB23" i="28"/>
  <c r="Y23" i="28"/>
  <c r="X23" i="28"/>
  <c r="U23" i="28"/>
  <c r="R23" i="28"/>
  <c r="Q23" i="28"/>
  <c r="N23" i="28"/>
  <c r="K23" i="28"/>
  <c r="J23" i="28"/>
  <c r="G23" i="28"/>
  <c r="AE22" i="28"/>
  <c r="AB22" i="28"/>
  <c r="Y22" i="28"/>
  <c r="X22" i="28"/>
  <c r="U22" i="28"/>
  <c r="R22" i="28"/>
  <c r="Q22" i="28"/>
  <c r="N22" i="28"/>
  <c r="K22" i="28"/>
  <c r="J22" i="28"/>
  <c r="G22" i="28"/>
  <c r="AE21" i="28"/>
  <c r="AB21" i="28"/>
  <c r="Y21" i="28"/>
  <c r="X21" i="28"/>
  <c r="U21" i="28"/>
  <c r="R21" i="28"/>
  <c r="Q21" i="28"/>
  <c r="N21" i="28"/>
  <c r="K21" i="28"/>
  <c r="J21" i="28"/>
  <c r="G21" i="28"/>
  <c r="AE20" i="28"/>
  <c r="AB20" i="28"/>
  <c r="Y20" i="28"/>
  <c r="X20" i="28"/>
  <c r="U20" i="28"/>
  <c r="R20" i="28"/>
  <c r="Q20" i="28"/>
  <c r="N20" i="28"/>
  <c r="K20" i="28"/>
  <c r="J20" i="28"/>
  <c r="G20" i="28"/>
  <c r="AE19" i="28"/>
  <c r="AB19" i="28"/>
  <c r="Y19" i="28"/>
  <c r="X19" i="28"/>
  <c r="U19" i="28"/>
  <c r="R19" i="28"/>
  <c r="Q19" i="28"/>
  <c r="N19" i="28"/>
  <c r="K19" i="28"/>
  <c r="J19" i="28"/>
  <c r="G19" i="28"/>
  <c r="AE18" i="28"/>
  <c r="AB18" i="28"/>
  <c r="Y18" i="28"/>
  <c r="X18" i="28"/>
  <c r="U18" i="28"/>
  <c r="R18" i="28"/>
  <c r="Q18" i="28"/>
  <c r="N18" i="28"/>
  <c r="K18" i="28"/>
  <c r="J18" i="28"/>
  <c r="G18" i="28"/>
  <c r="AE17" i="28"/>
  <c r="AB17" i="28"/>
  <c r="Y17" i="28"/>
  <c r="X17" i="28"/>
  <c r="U17" i="28"/>
  <c r="R17" i="28"/>
  <c r="Q17" i="28"/>
  <c r="N17" i="28"/>
  <c r="K17" i="28"/>
  <c r="J17" i="28"/>
  <c r="G17" i="28"/>
  <c r="AE16" i="28"/>
  <c r="AB16" i="28"/>
  <c r="Y16" i="28"/>
  <c r="X16" i="28"/>
  <c r="U16" i="28"/>
  <c r="R16" i="28"/>
  <c r="Q16" i="28"/>
  <c r="N16" i="28"/>
  <c r="K16" i="28"/>
  <c r="J16" i="28"/>
  <c r="G16" i="28"/>
  <c r="AE15" i="28"/>
  <c r="AB15" i="28"/>
  <c r="Y15" i="28"/>
  <c r="X15" i="28"/>
  <c r="U15" i="28"/>
  <c r="R15" i="28"/>
  <c r="Q15" i="28"/>
  <c r="N15" i="28"/>
  <c r="K15" i="28"/>
  <c r="J15" i="28"/>
  <c r="G15" i="28"/>
  <c r="AE14" i="28"/>
  <c r="AB14" i="28"/>
  <c r="Y14" i="28"/>
  <c r="X14" i="28"/>
  <c r="U14" i="28"/>
  <c r="R14" i="28"/>
  <c r="Q14" i="28"/>
  <c r="N14" i="28"/>
  <c r="K14" i="28"/>
  <c r="J14" i="28"/>
  <c r="G14" i="28"/>
  <c r="AE13" i="28"/>
  <c r="AB13" i="28"/>
  <c r="Y13" i="28"/>
  <c r="X13" i="28"/>
  <c r="U13" i="28"/>
  <c r="R13" i="28"/>
  <c r="Q13" i="28"/>
  <c r="N13" i="28"/>
  <c r="K13" i="28"/>
  <c r="J13" i="28"/>
  <c r="G13" i="28"/>
  <c r="AE12" i="28"/>
  <c r="AB12" i="28"/>
  <c r="Y12" i="28"/>
  <c r="X12" i="28"/>
  <c r="U12" i="28"/>
  <c r="R12" i="28"/>
  <c r="Q12" i="28"/>
  <c r="N12" i="28"/>
  <c r="K12" i="28"/>
  <c r="J12" i="28"/>
  <c r="G12" i="28"/>
  <c r="AE11" i="28"/>
  <c r="AB11" i="28"/>
  <c r="Y11" i="28"/>
  <c r="X11" i="28"/>
  <c r="U11" i="28"/>
  <c r="R11" i="28"/>
  <c r="Q11" i="28"/>
  <c r="N11" i="28"/>
  <c r="K11" i="28"/>
  <c r="J11" i="28"/>
  <c r="G11" i="28"/>
  <c r="AE10" i="28"/>
  <c r="AB10" i="28"/>
  <c r="Y10" i="28"/>
  <c r="X10" i="28"/>
  <c r="U10" i="28"/>
  <c r="R10" i="28"/>
  <c r="Q10" i="28"/>
  <c r="N10" i="28"/>
  <c r="K10" i="28"/>
  <c r="J10" i="28"/>
  <c r="G10" i="28"/>
  <c r="AE9" i="28"/>
  <c r="AB9" i="28"/>
  <c r="Y9" i="28"/>
  <c r="X9" i="28"/>
  <c r="U9" i="28"/>
  <c r="R9" i="28"/>
  <c r="Q9" i="28"/>
  <c r="N9" i="28"/>
  <c r="K9" i="28"/>
  <c r="J9" i="28"/>
  <c r="G9" i="28"/>
  <c r="AE8" i="28"/>
  <c r="AB8" i="28"/>
  <c r="Y8" i="28"/>
  <c r="X8" i="28"/>
  <c r="U8" i="28"/>
  <c r="R8" i="28"/>
  <c r="Q8" i="28"/>
  <c r="N8" i="28"/>
  <c r="K8" i="28"/>
  <c r="J8" i="28"/>
  <c r="G8" i="28"/>
  <c r="AE7" i="28"/>
  <c r="AB7" i="28"/>
  <c r="Y7" i="28"/>
  <c r="X7" i="28"/>
  <c r="U7" i="28"/>
  <c r="R7" i="28"/>
  <c r="Q7" i="28"/>
  <c r="N7" i="28"/>
  <c r="K7" i="28"/>
  <c r="J7" i="28"/>
  <c r="G7" i="28"/>
  <c r="AE6" i="28"/>
  <c r="AB6" i="28"/>
  <c r="Y6" i="28"/>
  <c r="X6" i="28"/>
  <c r="U6" i="28"/>
  <c r="R6" i="28"/>
  <c r="Q6" i="28"/>
  <c r="N6" i="28"/>
  <c r="K6" i="28"/>
  <c r="J6" i="28"/>
  <c r="G6" i="28"/>
  <c r="AE5" i="28"/>
  <c r="AB5" i="28"/>
  <c r="Y5" i="28"/>
  <c r="X5" i="28"/>
  <c r="U5" i="28"/>
  <c r="R5" i="28"/>
  <c r="Q5" i="28"/>
  <c r="N5" i="28"/>
  <c r="K5" i="28"/>
  <c r="J5" i="28"/>
  <c r="G5" i="28"/>
  <c r="O27" i="27"/>
  <c r="O26" i="27"/>
  <c r="O25" i="27"/>
  <c r="O24" i="27"/>
  <c r="O23" i="27"/>
  <c r="O22" i="27"/>
  <c r="O21" i="27"/>
  <c r="O20" i="27"/>
  <c r="O19" i="27"/>
  <c r="O18" i="27"/>
  <c r="O17" i="27"/>
  <c r="O16" i="27"/>
  <c r="O15" i="27"/>
  <c r="O14" i="27"/>
  <c r="O13" i="27"/>
  <c r="O12" i="27"/>
  <c r="O11" i="27"/>
  <c r="O10" i="27"/>
  <c r="O9" i="27"/>
  <c r="O8" i="27"/>
  <c r="O7" i="27"/>
  <c r="O6" i="27"/>
  <c r="O5" i="27"/>
  <c r="U4" i="27"/>
  <c r="O4" i="27"/>
  <c r="T3" i="27"/>
  <c r="O3" i="27"/>
  <c r="C48" i="26"/>
  <c r="B7" i="26"/>
  <c r="B1" i="26"/>
  <c r="D17" i="14"/>
  <c r="D16" i="14"/>
  <c r="Y5" i="25"/>
  <c r="Y6" i="25"/>
  <c r="Y7" i="25"/>
  <c r="Y8" i="25"/>
  <c r="Y9" i="25"/>
  <c r="Y10" i="25"/>
  <c r="Y11" i="25"/>
  <c r="Y12" i="25"/>
  <c r="Y13" i="25"/>
  <c r="Y14" i="25"/>
  <c r="Y15" i="25"/>
  <c r="Y16" i="25"/>
  <c r="Y17" i="25"/>
  <c r="Y18" i="25"/>
  <c r="Y19" i="25"/>
  <c r="Y20" i="25"/>
  <c r="Y21" i="25"/>
  <c r="Y22" i="25"/>
  <c r="Y23" i="25"/>
  <c r="Y24" i="25"/>
  <c r="Y25" i="25"/>
  <c r="Y26" i="25"/>
  <c r="Y27" i="25"/>
  <c r="Y28" i="25"/>
  <c r="Y29" i="25"/>
  <c r="R5" i="25"/>
  <c r="R6" i="25"/>
  <c r="R7" i="25"/>
  <c r="R8" i="25"/>
  <c r="R9" i="25"/>
  <c r="R10" i="25"/>
  <c r="R11" i="25"/>
  <c r="R12" i="25"/>
  <c r="R13" i="25"/>
  <c r="R14" i="25"/>
  <c r="R15" i="25"/>
  <c r="R16" i="25"/>
  <c r="R17" i="25"/>
  <c r="R18" i="25"/>
  <c r="R19" i="25"/>
  <c r="R20" i="25"/>
  <c r="R21" i="25"/>
  <c r="R22" i="25"/>
  <c r="R23" i="25"/>
  <c r="R24" i="25"/>
  <c r="R25" i="25"/>
  <c r="R26" i="25"/>
  <c r="R27" i="25"/>
  <c r="R28" i="25"/>
  <c r="R29" i="25"/>
  <c r="K5" i="25"/>
  <c r="K6" i="25"/>
  <c r="K7" i="25"/>
  <c r="K8" i="25"/>
  <c r="K9" i="25"/>
  <c r="K10" i="25"/>
  <c r="K11" i="25"/>
  <c r="K12" i="25"/>
  <c r="K13" i="25"/>
  <c r="K14" i="25"/>
  <c r="K15" i="25"/>
  <c r="K16" i="25"/>
  <c r="K17" i="25"/>
  <c r="K18" i="25"/>
  <c r="K19" i="25"/>
  <c r="K20" i="25"/>
  <c r="K21" i="25"/>
  <c r="K22" i="25"/>
  <c r="K23" i="25"/>
  <c r="K24" i="25"/>
  <c r="K25" i="25"/>
  <c r="K26" i="25"/>
  <c r="K27" i="25"/>
  <c r="K28" i="25"/>
  <c r="K29" i="25"/>
  <c r="Y5" i="22"/>
  <c r="Y6" i="22"/>
  <c r="Y7" i="22"/>
  <c r="Y8" i="22"/>
  <c r="Y9" i="22"/>
  <c r="Y10" i="22"/>
  <c r="Y11" i="22"/>
  <c r="Y12" i="22"/>
  <c r="Y13" i="22"/>
  <c r="Y14" i="22"/>
  <c r="Y15" i="22"/>
  <c r="Y16" i="22"/>
  <c r="Y17" i="22"/>
  <c r="Y18" i="22"/>
  <c r="Y19" i="22"/>
  <c r="Y20" i="22"/>
  <c r="Y21" i="22"/>
  <c r="Y22" i="22"/>
  <c r="Y23" i="22"/>
  <c r="Y24" i="22"/>
  <c r="Y25" i="22"/>
  <c r="Y26" i="22"/>
  <c r="Y27" i="22"/>
  <c r="Y28" i="22"/>
  <c r="Y29" i="22"/>
  <c r="R5" i="22"/>
  <c r="R6" i="22"/>
  <c r="R7" i="22"/>
  <c r="R8" i="22"/>
  <c r="R9" i="22"/>
  <c r="R10" i="22"/>
  <c r="R11" i="22"/>
  <c r="R12" i="22"/>
  <c r="R13" i="22"/>
  <c r="R14" i="22"/>
  <c r="R15" i="22"/>
  <c r="R16" i="22"/>
  <c r="R17" i="22"/>
  <c r="R18" i="22"/>
  <c r="R19" i="22"/>
  <c r="R20" i="22"/>
  <c r="R21" i="22"/>
  <c r="R22" i="22"/>
  <c r="R23" i="22"/>
  <c r="R24" i="22"/>
  <c r="R25" i="22"/>
  <c r="R26" i="22"/>
  <c r="R27" i="22"/>
  <c r="R28" i="22"/>
  <c r="R29" i="22"/>
  <c r="K5" i="22"/>
  <c r="K6" i="22"/>
  <c r="K7" i="22"/>
  <c r="K8" i="22"/>
  <c r="K9" i="22"/>
  <c r="K10" i="22"/>
  <c r="K11" i="22"/>
  <c r="K12" i="22"/>
  <c r="K13" i="22"/>
  <c r="K14" i="22"/>
  <c r="K15" i="22"/>
  <c r="K16" i="22"/>
  <c r="K17" i="22"/>
  <c r="K18" i="22"/>
  <c r="K19" i="22"/>
  <c r="K20" i="22"/>
  <c r="K21" i="22"/>
  <c r="K22" i="22"/>
  <c r="K23" i="22"/>
  <c r="K24" i="22"/>
  <c r="K25" i="22"/>
  <c r="K26" i="22"/>
  <c r="K27" i="22"/>
  <c r="K28" i="22"/>
  <c r="K29" i="22"/>
  <c r="R5" i="17"/>
  <c r="R6" i="17"/>
  <c r="R7" i="17"/>
  <c r="R8" i="17"/>
  <c r="R9" i="17"/>
  <c r="R10" i="17"/>
  <c r="R11" i="17"/>
  <c r="R12" i="17"/>
  <c r="R13" i="17"/>
  <c r="R14" i="17"/>
  <c r="R15" i="17"/>
  <c r="R16" i="17"/>
  <c r="R17" i="17"/>
  <c r="R18" i="17"/>
  <c r="R19" i="17"/>
  <c r="R20" i="17"/>
  <c r="R21" i="17"/>
  <c r="R22" i="17"/>
  <c r="R23" i="17"/>
  <c r="R24" i="17"/>
  <c r="R25" i="17"/>
  <c r="R26" i="17"/>
  <c r="R27" i="17"/>
  <c r="R28" i="17"/>
  <c r="R29" i="17"/>
  <c r="Y5" i="17"/>
  <c r="Y6" i="17"/>
  <c r="Y7" i="17"/>
  <c r="Y8" i="17"/>
  <c r="Y9" i="17"/>
  <c r="Y10" i="17"/>
  <c r="Y11" i="17"/>
  <c r="Y12" i="17"/>
  <c r="Y13" i="17"/>
  <c r="Y14" i="17"/>
  <c r="Y15" i="17"/>
  <c r="Y16" i="17"/>
  <c r="Y17" i="17"/>
  <c r="Y18" i="17"/>
  <c r="Y19" i="17"/>
  <c r="Y20" i="17"/>
  <c r="Y21" i="17"/>
  <c r="Y22" i="17"/>
  <c r="Y23" i="17"/>
  <c r="Y24" i="17"/>
  <c r="Y25" i="17"/>
  <c r="Y26" i="17"/>
  <c r="Y27" i="17"/>
  <c r="Y28" i="17"/>
  <c r="Y29" i="17"/>
  <c r="K5" i="17"/>
  <c r="K6" i="17"/>
  <c r="K7" i="17"/>
  <c r="K8" i="17"/>
  <c r="K9" i="17"/>
  <c r="K10" i="17"/>
  <c r="K11" i="17"/>
  <c r="K12" i="17"/>
  <c r="K13" i="17"/>
  <c r="K14" i="17"/>
  <c r="K15" i="17"/>
  <c r="K16" i="17"/>
  <c r="K17" i="17"/>
  <c r="K18" i="17"/>
  <c r="K19" i="17"/>
  <c r="K20" i="17"/>
  <c r="K21" i="17"/>
  <c r="K22" i="17"/>
  <c r="K23" i="17"/>
  <c r="K24" i="17"/>
  <c r="K25" i="17"/>
  <c r="K26" i="17"/>
  <c r="K27" i="17"/>
  <c r="K28" i="17"/>
  <c r="K29" i="17"/>
  <c r="M3" i="57" l="1"/>
  <c r="L3" i="57"/>
  <c r="M4" i="57"/>
  <c r="L4" i="57"/>
  <c r="M5" i="57"/>
  <c r="L5" i="57"/>
  <c r="M6" i="57"/>
  <c r="L6" i="57"/>
  <c r="M7" i="57"/>
  <c r="L7" i="57"/>
  <c r="M8" i="57"/>
  <c r="L8" i="57"/>
  <c r="M9" i="57"/>
  <c r="L9" i="57"/>
  <c r="M10" i="57"/>
  <c r="L10" i="57"/>
  <c r="M11" i="57"/>
  <c r="L11" i="57"/>
  <c r="M12" i="57"/>
  <c r="L12" i="57"/>
  <c r="M13" i="57"/>
  <c r="L13" i="57"/>
  <c r="M14" i="57"/>
  <c r="L14" i="57"/>
  <c r="M15" i="57"/>
  <c r="L15" i="57"/>
  <c r="M16" i="57"/>
  <c r="L16" i="57"/>
  <c r="M17" i="57"/>
  <c r="L17" i="57"/>
  <c r="M18" i="57"/>
  <c r="L18" i="57"/>
  <c r="M19" i="57"/>
  <c r="L19" i="57"/>
  <c r="M20" i="57"/>
  <c r="L20" i="57"/>
  <c r="M21" i="57"/>
  <c r="L21" i="57"/>
  <c r="M22" i="57"/>
  <c r="L22" i="57"/>
  <c r="M23" i="57"/>
  <c r="L23" i="57"/>
  <c r="M24" i="57"/>
  <c r="L24" i="57"/>
  <c r="M25" i="57"/>
  <c r="L25" i="57"/>
  <c r="M26" i="57"/>
  <c r="L26" i="57"/>
  <c r="M27" i="57"/>
  <c r="L27" i="57"/>
  <c r="M28" i="57"/>
  <c r="L28" i="57"/>
  <c r="M29" i="57"/>
  <c r="L29" i="57"/>
  <c r="M30" i="57"/>
  <c r="L30" i="57"/>
  <c r="M31" i="57"/>
  <c r="L31" i="57"/>
  <c r="M32" i="57"/>
  <c r="L32" i="57"/>
  <c r="M3" i="54"/>
  <c r="L3" i="54"/>
  <c r="M4" i="54"/>
  <c r="L4" i="54"/>
  <c r="M5" i="54"/>
  <c r="L5" i="54"/>
  <c r="M6" i="54"/>
  <c r="L6" i="54"/>
  <c r="M7" i="54"/>
  <c r="L7" i="54"/>
  <c r="M8" i="54"/>
  <c r="L8" i="54"/>
  <c r="M9" i="54"/>
  <c r="L9" i="54"/>
  <c r="M10" i="54"/>
  <c r="L10" i="54"/>
  <c r="M11" i="54"/>
  <c r="L11" i="54"/>
  <c r="M12" i="54"/>
  <c r="L12" i="54"/>
  <c r="M13" i="54"/>
  <c r="L13" i="54"/>
  <c r="M14" i="54"/>
  <c r="L14" i="54"/>
  <c r="M15" i="54"/>
  <c r="L15" i="54"/>
  <c r="M16" i="54"/>
  <c r="L16" i="54"/>
  <c r="M17" i="54"/>
  <c r="L17" i="54"/>
  <c r="M18" i="54"/>
  <c r="L18" i="54"/>
  <c r="M19" i="54"/>
  <c r="L19" i="54"/>
  <c r="M20" i="54"/>
  <c r="L20" i="54"/>
  <c r="M21" i="54"/>
  <c r="L21" i="54"/>
  <c r="M22" i="54"/>
  <c r="L22" i="54"/>
  <c r="M23" i="54"/>
  <c r="L23" i="54"/>
  <c r="M24" i="54"/>
  <c r="L24" i="54"/>
  <c r="M25" i="54"/>
  <c r="L25" i="54"/>
  <c r="M26" i="54"/>
  <c r="L26" i="54"/>
  <c r="M27" i="54"/>
  <c r="L27" i="54"/>
  <c r="M28" i="54"/>
  <c r="L28" i="54"/>
  <c r="M29" i="54"/>
  <c r="L29" i="54"/>
  <c r="M30" i="54"/>
  <c r="L30" i="54"/>
  <c r="M31" i="54"/>
  <c r="L31" i="54"/>
  <c r="M32" i="54"/>
  <c r="L32" i="54"/>
  <c r="M3" i="51"/>
  <c r="L3" i="51"/>
  <c r="M4" i="51"/>
  <c r="L4" i="51"/>
  <c r="M5" i="51"/>
  <c r="L5" i="51"/>
  <c r="M6" i="51"/>
  <c r="L6" i="51"/>
  <c r="M7" i="51"/>
  <c r="L7" i="51"/>
  <c r="M8" i="51"/>
  <c r="L8" i="51"/>
  <c r="M9" i="51"/>
  <c r="L9" i="51"/>
  <c r="M10" i="51"/>
  <c r="L10" i="51"/>
  <c r="M11" i="51"/>
  <c r="L11" i="51"/>
  <c r="M12" i="51"/>
  <c r="L12" i="51"/>
  <c r="M13" i="51"/>
  <c r="L13" i="51"/>
  <c r="M14" i="51"/>
  <c r="L14" i="51"/>
  <c r="M15" i="51"/>
  <c r="L15" i="51"/>
  <c r="M16" i="51"/>
  <c r="L16" i="51"/>
  <c r="M17" i="51"/>
  <c r="L17" i="51"/>
  <c r="M18" i="51"/>
  <c r="L18" i="51"/>
  <c r="M19" i="51"/>
  <c r="L19" i="51"/>
  <c r="M20" i="51"/>
  <c r="L20" i="51"/>
  <c r="M21" i="51"/>
  <c r="L21" i="51"/>
  <c r="M22" i="51"/>
  <c r="L22" i="51"/>
  <c r="M23" i="51"/>
  <c r="L23" i="51"/>
  <c r="M24" i="51"/>
  <c r="L24" i="51"/>
  <c r="M25" i="51"/>
  <c r="L25" i="51"/>
  <c r="M26" i="51"/>
  <c r="L26" i="51"/>
  <c r="M27" i="51"/>
  <c r="L27" i="51"/>
  <c r="M28" i="51"/>
  <c r="L28" i="51"/>
  <c r="M29" i="51"/>
  <c r="L29" i="51"/>
  <c r="M30" i="51"/>
  <c r="L30" i="51"/>
  <c r="M31" i="51"/>
  <c r="L31" i="51"/>
  <c r="M32" i="51"/>
  <c r="L32" i="51"/>
  <c r="L28" i="48"/>
  <c r="M28" i="48"/>
  <c r="L29" i="48"/>
  <c r="M29" i="48"/>
  <c r="L30" i="48"/>
  <c r="M30" i="48"/>
  <c r="L31" i="48"/>
  <c r="M31" i="48"/>
  <c r="L32" i="48"/>
  <c r="M32" i="48"/>
  <c r="M3" i="48"/>
  <c r="L3" i="48"/>
  <c r="M4" i="48"/>
  <c r="L4" i="48"/>
  <c r="M5" i="48"/>
  <c r="L5" i="48"/>
  <c r="M6" i="48"/>
  <c r="L6" i="48"/>
  <c r="M7" i="48"/>
  <c r="L7" i="48"/>
  <c r="M8" i="48"/>
  <c r="L8" i="48"/>
  <c r="M9" i="48"/>
  <c r="L9" i="48"/>
  <c r="M10" i="48"/>
  <c r="L10" i="48"/>
  <c r="M11" i="48"/>
  <c r="L11" i="48"/>
  <c r="M12" i="48"/>
  <c r="L12" i="48"/>
  <c r="M13" i="48"/>
  <c r="L13" i="48"/>
  <c r="M14" i="48"/>
  <c r="L14" i="48"/>
  <c r="M15" i="48"/>
  <c r="L15" i="48"/>
  <c r="M16" i="48"/>
  <c r="L16" i="48"/>
  <c r="M17" i="48"/>
  <c r="L17" i="48"/>
  <c r="M18" i="48"/>
  <c r="L18" i="48"/>
  <c r="M19" i="48"/>
  <c r="L19" i="48"/>
  <c r="M20" i="48"/>
  <c r="L20" i="48"/>
  <c r="M21" i="48"/>
  <c r="L21" i="48"/>
  <c r="M22" i="48"/>
  <c r="L22" i="48"/>
  <c r="M23" i="48"/>
  <c r="L23" i="48"/>
  <c r="M24" i="48"/>
  <c r="L24" i="48"/>
  <c r="M25" i="48"/>
  <c r="L25" i="48"/>
  <c r="M26" i="48"/>
  <c r="L26" i="48"/>
  <c r="M27" i="48"/>
  <c r="L27" i="48"/>
  <c r="M3" i="45"/>
  <c r="L3" i="45"/>
  <c r="M4" i="45"/>
  <c r="L4" i="45"/>
  <c r="M5" i="45"/>
  <c r="L5" i="45"/>
  <c r="M6" i="45"/>
  <c r="L6" i="45"/>
  <c r="M7" i="45"/>
  <c r="L7" i="45"/>
  <c r="M8" i="45"/>
  <c r="L8" i="45"/>
  <c r="M9" i="45"/>
  <c r="L9" i="45"/>
  <c r="M10" i="45"/>
  <c r="L10" i="45"/>
  <c r="M11" i="45"/>
  <c r="L11" i="45"/>
  <c r="M12" i="45"/>
  <c r="L12" i="45"/>
  <c r="M13" i="45"/>
  <c r="L13" i="45"/>
  <c r="M14" i="45"/>
  <c r="L14" i="45"/>
  <c r="M15" i="45"/>
  <c r="L15" i="45"/>
  <c r="M16" i="45"/>
  <c r="L16" i="45"/>
  <c r="M17" i="45"/>
  <c r="L17" i="45"/>
  <c r="M18" i="45"/>
  <c r="L18" i="45"/>
  <c r="M19" i="45"/>
  <c r="L19" i="45"/>
  <c r="M20" i="45"/>
  <c r="L20" i="45"/>
  <c r="M21" i="45"/>
  <c r="L21" i="45"/>
  <c r="M22" i="45"/>
  <c r="L22" i="45"/>
  <c r="M23" i="45"/>
  <c r="L23" i="45"/>
  <c r="M24" i="45"/>
  <c r="L24" i="45"/>
  <c r="M25" i="45"/>
  <c r="L25" i="45"/>
  <c r="M26" i="45"/>
  <c r="L26" i="45"/>
  <c r="M27" i="45"/>
  <c r="L27" i="45"/>
  <c r="M3" i="42"/>
  <c r="L3" i="42"/>
  <c r="M4" i="42"/>
  <c r="L4" i="42"/>
  <c r="M5" i="42"/>
  <c r="L5" i="42"/>
  <c r="M6" i="42"/>
  <c r="L6" i="42"/>
  <c r="M7" i="42"/>
  <c r="L7" i="42"/>
  <c r="M8" i="42"/>
  <c r="L8" i="42"/>
  <c r="M9" i="42"/>
  <c r="L9" i="42"/>
  <c r="M10" i="42"/>
  <c r="L10" i="42"/>
  <c r="M11" i="42"/>
  <c r="L11" i="42"/>
  <c r="M12" i="42"/>
  <c r="L12" i="42"/>
  <c r="M13" i="42"/>
  <c r="L13" i="42"/>
  <c r="M14" i="42"/>
  <c r="L14" i="42"/>
  <c r="M15" i="42"/>
  <c r="L15" i="42"/>
  <c r="M16" i="42"/>
  <c r="L16" i="42"/>
  <c r="M17" i="42"/>
  <c r="L17" i="42"/>
  <c r="M18" i="42"/>
  <c r="L18" i="42"/>
  <c r="M19" i="42"/>
  <c r="L19" i="42"/>
  <c r="M20" i="42"/>
  <c r="L20" i="42"/>
  <c r="M21" i="42"/>
  <c r="L21" i="42"/>
  <c r="M22" i="42"/>
  <c r="L22" i="42"/>
  <c r="M23" i="42"/>
  <c r="L23" i="42"/>
  <c r="M24" i="42"/>
  <c r="L24" i="42"/>
  <c r="M25" i="42"/>
  <c r="L25" i="42"/>
  <c r="M26" i="42"/>
  <c r="L26" i="42"/>
  <c r="M27" i="42"/>
  <c r="L27" i="42"/>
  <c r="M3" i="39"/>
  <c r="L3" i="39"/>
  <c r="M4" i="39"/>
  <c r="L4" i="39"/>
  <c r="M5" i="39"/>
  <c r="L5" i="39"/>
  <c r="M6" i="39"/>
  <c r="L6" i="39"/>
  <c r="M7" i="39"/>
  <c r="L7" i="39"/>
  <c r="M8" i="39"/>
  <c r="L8" i="39"/>
  <c r="M9" i="39"/>
  <c r="L9" i="39"/>
  <c r="M10" i="39"/>
  <c r="L10" i="39"/>
  <c r="M11" i="39"/>
  <c r="L11" i="39"/>
  <c r="M12" i="39"/>
  <c r="L12" i="39"/>
  <c r="M13" i="39"/>
  <c r="L13" i="39"/>
  <c r="M14" i="39"/>
  <c r="L14" i="39"/>
  <c r="M15" i="39"/>
  <c r="L15" i="39"/>
  <c r="M16" i="39"/>
  <c r="L16" i="39"/>
  <c r="M17" i="39"/>
  <c r="L17" i="39"/>
  <c r="M18" i="39"/>
  <c r="L18" i="39"/>
  <c r="M19" i="39"/>
  <c r="L19" i="39"/>
  <c r="M20" i="39"/>
  <c r="L20" i="39"/>
  <c r="M21" i="39"/>
  <c r="L21" i="39"/>
  <c r="M22" i="39"/>
  <c r="L22" i="39"/>
  <c r="M23" i="39"/>
  <c r="L23" i="39"/>
  <c r="M24" i="39"/>
  <c r="L24" i="39"/>
  <c r="M25" i="39"/>
  <c r="L25" i="39"/>
  <c r="M26" i="39"/>
  <c r="L26" i="39"/>
  <c r="M27" i="39"/>
  <c r="L27" i="39"/>
  <c r="M3" i="36"/>
  <c r="L3" i="36"/>
  <c r="M4" i="36"/>
  <c r="L4" i="36"/>
  <c r="M5" i="36"/>
  <c r="L5" i="36"/>
  <c r="M6" i="36"/>
  <c r="L6" i="36"/>
  <c r="M7" i="36"/>
  <c r="L7" i="36"/>
  <c r="M8" i="36"/>
  <c r="L8" i="36"/>
  <c r="M9" i="36"/>
  <c r="L9" i="36"/>
  <c r="M10" i="36"/>
  <c r="L10" i="36"/>
  <c r="M11" i="36"/>
  <c r="L11" i="36"/>
  <c r="M12" i="36"/>
  <c r="L12" i="36"/>
  <c r="M13" i="36"/>
  <c r="L13" i="36"/>
  <c r="M14" i="36"/>
  <c r="L14" i="36"/>
  <c r="M15" i="36"/>
  <c r="L15" i="36"/>
  <c r="M16" i="36"/>
  <c r="L16" i="36"/>
  <c r="M17" i="36"/>
  <c r="L17" i="36"/>
  <c r="M18" i="36"/>
  <c r="L18" i="36"/>
  <c r="M19" i="36"/>
  <c r="L19" i="36"/>
  <c r="M20" i="36"/>
  <c r="L20" i="36"/>
  <c r="M21" i="36"/>
  <c r="L21" i="36"/>
  <c r="M22" i="36"/>
  <c r="L22" i="36"/>
  <c r="M23" i="36"/>
  <c r="L23" i="36"/>
  <c r="M24" i="36"/>
  <c r="L24" i="36"/>
  <c r="M25" i="36"/>
  <c r="L25" i="36"/>
  <c r="M26" i="36"/>
  <c r="L26" i="36"/>
  <c r="M27" i="36"/>
  <c r="L27" i="36"/>
  <c r="M3" i="33"/>
  <c r="L3" i="33"/>
  <c r="M4" i="33"/>
  <c r="L4" i="33"/>
  <c r="M5" i="33"/>
  <c r="L5" i="33"/>
  <c r="M6" i="33"/>
  <c r="L6" i="33"/>
  <c r="M7" i="33"/>
  <c r="L7" i="33"/>
  <c r="M8" i="33"/>
  <c r="L8" i="33"/>
  <c r="M9" i="33"/>
  <c r="L9" i="33"/>
  <c r="M10" i="33"/>
  <c r="L10" i="33"/>
  <c r="M11" i="33"/>
  <c r="L11" i="33"/>
  <c r="M12" i="33"/>
  <c r="L12" i="33"/>
  <c r="M13" i="33"/>
  <c r="L13" i="33"/>
  <c r="M14" i="33"/>
  <c r="L14" i="33"/>
  <c r="M15" i="33"/>
  <c r="L15" i="33"/>
  <c r="M16" i="33"/>
  <c r="L16" i="33"/>
  <c r="M17" i="33"/>
  <c r="L17" i="33"/>
  <c r="M18" i="33"/>
  <c r="L18" i="33"/>
  <c r="M19" i="33"/>
  <c r="L19" i="33"/>
  <c r="M20" i="33"/>
  <c r="L20" i="33"/>
  <c r="M21" i="33"/>
  <c r="L21" i="33"/>
  <c r="M22" i="33"/>
  <c r="L22" i="33"/>
  <c r="M23" i="33"/>
  <c r="L23" i="33"/>
  <c r="M24" i="33"/>
  <c r="L24" i="33"/>
  <c r="M25" i="33"/>
  <c r="L25" i="33"/>
  <c r="M26" i="33"/>
  <c r="L26" i="33"/>
  <c r="M27" i="33"/>
  <c r="L27" i="33"/>
  <c r="M3" i="30"/>
  <c r="L3" i="30"/>
  <c r="M4" i="30"/>
  <c r="L4" i="30"/>
  <c r="M5" i="30"/>
  <c r="L5" i="30"/>
  <c r="M6" i="30"/>
  <c r="L6" i="30"/>
  <c r="M7" i="30"/>
  <c r="L7" i="30"/>
  <c r="M8" i="30"/>
  <c r="L8" i="30"/>
  <c r="M9" i="30"/>
  <c r="L9" i="30"/>
  <c r="M10" i="30"/>
  <c r="L10" i="30"/>
  <c r="M11" i="30"/>
  <c r="L11" i="30"/>
  <c r="M12" i="30"/>
  <c r="L12" i="30"/>
  <c r="M13" i="30"/>
  <c r="L13" i="30"/>
  <c r="M14" i="30"/>
  <c r="L14" i="30"/>
  <c r="M15" i="30"/>
  <c r="L15" i="30"/>
  <c r="M16" i="30"/>
  <c r="L16" i="30"/>
  <c r="M17" i="30"/>
  <c r="L17" i="30"/>
  <c r="M18" i="30"/>
  <c r="L18" i="30"/>
  <c r="M19" i="30"/>
  <c r="L19" i="30"/>
  <c r="M20" i="30"/>
  <c r="L20" i="30"/>
  <c r="M21" i="30"/>
  <c r="L21" i="30"/>
  <c r="M22" i="30"/>
  <c r="L22" i="30"/>
  <c r="M23" i="30"/>
  <c r="L23" i="30"/>
  <c r="M24" i="30"/>
  <c r="L24" i="30"/>
  <c r="M25" i="30"/>
  <c r="L25" i="30"/>
  <c r="M26" i="30"/>
  <c r="L26" i="30"/>
  <c r="M27" i="30"/>
  <c r="L27" i="30"/>
  <c r="M3" i="27"/>
  <c r="L3" i="27"/>
  <c r="M4" i="27"/>
  <c r="L4" i="27"/>
  <c r="M5" i="27"/>
  <c r="L5" i="27"/>
  <c r="M6" i="27"/>
  <c r="L6" i="27"/>
  <c r="M7" i="27"/>
  <c r="L7" i="27"/>
  <c r="M8" i="27"/>
  <c r="L8" i="27"/>
  <c r="M9" i="27"/>
  <c r="L9" i="27"/>
  <c r="M10" i="27"/>
  <c r="L10" i="27"/>
  <c r="M11" i="27"/>
  <c r="L11" i="27"/>
  <c r="M12" i="27"/>
  <c r="L12" i="27"/>
  <c r="M13" i="27"/>
  <c r="L13" i="27"/>
  <c r="M14" i="27"/>
  <c r="L14" i="27"/>
  <c r="M15" i="27"/>
  <c r="L15" i="27"/>
  <c r="M16" i="27"/>
  <c r="L16" i="27"/>
  <c r="M17" i="27"/>
  <c r="L17" i="27"/>
  <c r="M18" i="27"/>
  <c r="L18" i="27"/>
  <c r="M19" i="27"/>
  <c r="L19" i="27"/>
  <c r="M20" i="27"/>
  <c r="L20" i="27"/>
  <c r="M21" i="27"/>
  <c r="L21" i="27"/>
  <c r="M22" i="27"/>
  <c r="L22" i="27"/>
  <c r="M23" i="27"/>
  <c r="L23" i="27"/>
  <c r="M24" i="27"/>
  <c r="L24" i="27"/>
  <c r="M25" i="27"/>
  <c r="L25" i="27"/>
  <c r="M26" i="27"/>
  <c r="L26" i="27"/>
  <c r="M27" i="27"/>
  <c r="L27" i="27"/>
  <c r="D6" i="25"/>
  <c r="D7" i="25"/>
  <c r="D8" i="25"/>
  <c r="D9" i="25"/>
  <c r="D10" i="25"/>
  <c r="D11" i="25"/>
  <c r="D12" i="25"/>
  <c r="D13" i="25"/>
  <c r="D14" i="25"/>
  <c r="D15" i="25"/>
  <c r="D16" i="25"/>
  <c r="D17" i="25"/>
  <c r="D18" i="25"/>
  <c r="D19" i="25"/>
  <c r="D20" i="25"/>
  <c r="D21" i="25"/>
  <c r="D22" i="25"/>
  <c r="D23" i="25"/>
  <c r="D24" i="25"/>
  <c r="D25" i="25"/>
  <c r="D26" i="25"/>
  <c r="D27" i="25"/>
  <c r="D28" i="25"/>
  <c r="D29" i="25"/>
  <c r="C6" i="25"/>
  <c r="C7" i="25"/>
  <c r="C8" i="25"/>
  <c r="C9" i="25"/>
  <c r="C10" i="25"/>
  <c r="C11" i="25"/>
  <c r="C12" i="25"/>
  <c r="C13" i="25"/>
  <c r="C14" i="25"/>
  <c r="C15" i="25"/>
  <c r="C16" i="25"/>
  <c r="C17" i="25"/>
  <c r="C18" i="25"/>
  <c r="C19" i="25"/>
  <c r="C20" i="25"/>
  <c r="C21" i="25"/>
  <c r="C22" i="25"/>
  <c r="C23" i="25"/>
  <c r="C24" i="25"/>
  <c r="C25" i="25"/>
  <c r="C26" i="25"/>
  <c r="C27" i="25"/>
  <c r="C28" i="25"/>
  <c r="C29" i="25"/>
  <c r="B6" i="25"/>
  <c r="B7" i="25"/>
  <c r="B8" i="25"/>
  <c r="B9" i="25"/>
  <c r="B10" i="25"/>
  <c r="B11" i="25"/>
  <c r="B12" i="25"/>
  <c r="B13" i="25"/>
  <c r="B14" i="25"/>
  <c r="B15" i="25"/>
  <c r="B16" i="25"/>
  <c r="B17" i="25"/>
  <c r="B18" i="25"/>
  <c r="B19" i="25"/>
  <c r="B20" i="25"/>
  <c r="B21" i="25"/>
  <c r="B22" i="25"/>
  <c r="B23" i="25"/>
  <c r="B24" i="25"/>
  <c r="B25" i="25"/>
  <c r="B26" i="25"/>
  <c r="B27" i="25"/>
  <c r="B28" i="25"/>
  <c r="B29" i="25"/>
  <c r="D5" i="25"/>
  <c r="C5" i="25"/>
  <c r="B5" i="25"/>
  <c r="E38" i="23"/>
  <c r="J13" i="23"/>
  <c r="J14" i="23"/>
  <c r="J15" i="23"/>
  <c r="J16" i="23"/>
  <c r="J17" i="23"/>
  <c r="J18" i="23"/>
  <c r="J19" i="23"/>
  <c r="J20" i="23"/>
  <c r="J21" i="23"/>
  <c r="J22" i="23"/>
  <c r="J23" i="23"/>
  <c r="J24" i="23"/>
  <c r="J25" i="23"/>
  <c r="J26" i="23"/>
  <c r="J27" i="23"/>
  <c r="J28" i="23"/>
  <c r="J29" i="23"/>
  <c r="J30" i="23"/>
  <c r="J31" i="23"/>
  <c r="J32" i="23"/>
  <c r="J33" i="23"/>
  <c r="J34" i="23"/>
  <c r="J35" i="23"/>
  <c r="J36" i="23"/>
  <c r="H13" i="23"/>
  <c r="H14" i="23"/>
  <c r="H15" i="23"/>
  <c r="H16" i="23"/>
  <c r="H17" i="23"/>
  <c r="H18" i="23"/>
  <c r="H19" i="23"/>
  <c r="H20" i="23"/>
  <c r="H21" i="23"/>
  <c r="H22" i="23"/>
  <c r="H23" i="23"/>
  <c r="H24" i="23"/>
  <c r="H25" i="23"/>
  <c r="H26" i="23"/>
  <c r="H27" i="23"/>
  <c r="H28" i="23"/>
  <c r="H29" i="23"/>
  <c r="H30" i="23"/>
  <c r="H31" i="23"/>
  <c r="H32" i="23"/>
  <c r="H33" i="23"/>
  <c r="H34" i="23"/>
  <c r="H35" i="23"/>
  <c r="H36" i="23"/>
  <c r="F13" i="23"/>
  <c r="F14" i="23"/>
  <c r="F15" i="23"/>
  <c r="F16" i="23"/>
  <c r="F17" i="23"/>
  <c r="F18" i="23"/>
  <c r="F19" i="23"/>
  <c r="F20" i="23"/>
  <c r="F21" i="23"/>
  <c r="F22" i="23"/>
  <c r="F23" i="23"/>
  <c r="F24" i="23"/>
  <c r="F25" i="23"/>
  <c r="F26" i="23"/>
  <c r="F27" i="23"/>
  <c r="F28" i="23"/>
  <c r="F29" i="23"/>
  <c r="F30" i="23"/>
  <c r="F31" i="23"/>
  <c r="F32" i="23"/>
  <c r="F33" i="23"/>
  <c r="F34" i="23"/>
  <c r="F35" i="23"/>
  <c r="F36" i="23"/>
  <c r="B13" i="23"/>
  <c r="B14" i="23"/>
  <c r="B15" i="23"/>
  <c r="B16" i="23"/>
  <c r="B17" i="23"/>
  <c r="B18" i="23"/>
  <c r="B19" i="23"/>
  <c r="B20" i="23"/>
  <c r="B21" i="23"/>
  <c r="B22" i="23"/>
  <c r="B23" i="23"/>
  <c r="B24" i="23"/>
  <c r="B25" i="23"/>
  <c r="B26" i="23"/>
  <c r="B27" i="23"/>
  <c r="B28" i="23"/>
  <c r="B29" i="23"/>
  <c r="B30" i="23"/>
  <c r="B31" i="23"/>
  <c r="B32" i="23"/>
  <c r="B33" i="23"/>
  <c r="B34" i="23"/>
  <c r="B35" i="23"/>
  <c r="B36" i="23"/>
  <c r="A13" i="23"/>
  <c r="A14" i="23"/>
  <c r="A15" i="23"/>
  <c r="A16" i="23"/>
  <c r="A17" i="23"/>
  <c r="A18" i="23"/>
  <c r="A19" i="23"/>
  <c r="A20" i="23"/>
  <c r="A21" i="23"/>
  <c r="A22" i="23"/>
  <c r="A23" i="23"/>
  <c r="A24" i="23"/>
  <c r="A25" i="23"/>
  <c r="A26" i="23"/>
  <c r="A27" i="23"/>
  <c r="A28" i="23"/>
  <c r="A29" i="23"/>
  <c r="A30" i="23"/>
  <c r="A31" i="23"/>
  <c r="A32" i="23"/>
  <c r="A33" i="23"/>
  <c r="A34" i="23"/>
  <c r="A35" i="23"/>
  <c r="A36" i="23"/>
  <c r="J12" i="23"/>
  <c r="H12" i="23"/>
  <c r="F12" i="23"/>
  <c r="B12" i="23"/>
  <c r="A12" i="23"/>
  <c r="AE29" i="25"/>
  <c r="AB29" i="25"/>
  <c r="X29" i="25"/>
  <c r="U29" i="25"/>
  <c r="Q29" i="25"/>
  <c r="N29" i="25"/>
  <c r="J29" i="25"/>
  <c r="G29" i="25"/>
  <c r="AE28" i="25"/>
  <c r="AB28" i="25"/>
  <c r="X28" i="25"/>
  <c r="U28" i="25"/>
  <c r="Q28" i="25"/>
  <c r="N28" i="25"/>
  <c r="J28" i="25"/>
  <c r="G28" i="25"/>
  <c r="AE27" i="25"/>
  <c r="AB27" i="25"/>
  <c r="X27" i="25"/>
  <c r="U27" i="25"/>
  <c r="Q27" i="25"/>
  <c r="N27" i="25"/>
  <c r="J27" i="25"/>
  <c r="G27" i="25"/>
  <c r="AE26" i="25"/>
  <c r="AB26" i="25"/>
  <c r="X26" i="25"/>
  <c r="U26" i="25"/>
  <c r="Q26" i="25"/>
  <c r="N26" i="25"/>
  <c r="J26" i="25"/>
  <c r="G26" i="25"/>
  <c r="AE25" i="25"/>
  <c r="AB25" i="25"/>
  <c r="X25" i="25"/>
  <c r="U25" i="25"/>
  <c r="Q25" i="25"/>
  <c r="N25" i="25"/>
  <c r="J25" i="25"/>
  <c r="G25" i="25"/>
  <c r="AE24" i="25"/>
  <c r="AB24" i="25"/>
  <c r="X24" i="25"/>
  <c r="U24" i="25"/>
  <c r="Q24" i="25"/>
  <c r="N24" i="25"/>
  <c r="J24" i="25"/>
  <c r="G24" i="25"/>
  <c r="AE23" i="25"/>
  <c r="AB23" i="25"/>
  <c r="X23" i="25"/>
  <c r="U23" i="25"/>
  <c r="Q23" i="25"/>
  <c r="N23" i="25"/>
  <c r="J23" i="25"/>
  <c r="G23" i="25"/>
  <c r="AE22" i="25"/>
  <c r="AB22" i="25"/>
  <c r="X22" i="25"/>
  <c r="U22" i="25"/>
  <c r="Q22" i="25"/>
  <c r="N22" i="25"/>
  <c r="J22" i="25"/>
  <c r="G22" i="25"/>
  <c r="AE21" i="25"/>
  <c r="AB21" i="25"/>
  <c r="X21" i="25"/>
  <c r="U21" i="25"/>
  <c r="Q21" i="25"/>
  <c r="N21" i="25"/>
  <c r="J21" i="25"/>
  <c r="G21" i="25"/>
  <c r="AE20" i="25"/>
  <c r="AB20" i="25"/>
  <c r="X20" i="25"/>
  <c r="U20" i="25"/>
  <c r="Q20" i="25"/>
  <c r="N20" i="25"/>
  <c r="J20" i="25"/>
  <c r="G20" i="25"/>
  <c r="AE19" i="25"/>
  <c r="AB19" i="25"/>
  <c r="X19" i="25"/>
  <c r="U19" i="25"/>
  <c r="Q19" i="25"/>
  <c r="N19" i="25"/>
  <c r="J19" i="25"/>
  <c r="G19" i="25"/>
  <c r="AE18" i="25"/>
  <c r="AB18" i="25"/>
  <c r="X18" i="25"/>
  <c r="U18" i="25"/>
  <c r="Q18" i="25"/>
  <c r="N18" i="25"/>
  <c r="J18" i="25"/>
  <c r="G18" i="25"/>
  <c r="AE17" i="25"/>
  <c r="AB17" i="25"/>
  <c r="X17" i="25"/>
  <c r="U17" i="25"/>
  <c r="Q17" i="25"/>
  <c r="N17" i="25"/>
  <c r="J17" i="25"/>
  <c r="G17" i="25"/>
  <c r="AE16" i="25"/>
  <c r="AB16" i="25"/>
  <c r="X16" i="25"/>
  <c r="U16" i="25"/>
  <c r="Q16" i="25"/>
  <c r="N16" i="25"/>
  <c r="J16" i="25"/>
  <c r="G16" i="25"/>
  <c r="AE15" i="25"/>
  <c r="AB15" i="25"/>
  <c r="X15" i="25"/>
  <c r="U15" i="25"/>
  <c r="Q15" i="25"/>
  <c r="N15" i="25"/>
  <c r="J15" i="25"/>
  <c r="G15" i="25"/>
  <c r="AE14" i="25"/>
  <c r="AB14" i="25"/>
  <c r="X14" i="25"/>
  <c r="U14" i="25"/>
  <c r="Q14" i="25"/>
  <c r="N14" i="25"/>
  <c r="J14" i="25"/>
  <c r="G14" i="25"/>
  <c r="AE13" i="25"/>
  <c r="AB13" i="25"/>
  <c r="X13" i="25"/>
  <c r="U13" i="25"/>
  <c r="Q13" i="25"/>
  <c r="N13" i="25"/>
  <c r="J13" i="25"/>
  <c r="G13" i="25"/>
  <c r="AE12" i="25"/>
  <c r="AB12" i="25"/>
  <c r="X12" i="25"/>
  <c r="U12" i="25"/>
  <c r="Q12" i="25"/>
  <c r="N12" i="25"/>
  <c r="J12" i="25"/>
  <c r="G12" i="25"/>
  <c r="AE11" i="25"/>
  <c r="AB11" i="25"/>
  <c r="X11" i="25"/>
  <c r="U11" i="25"/>
  <c r="Q11" i="25"/>
  <c r="N11" i="25"/>
  <c r="J11" i="25"/>
  <c r="G11" i="25"/>
  <c r="AE10" i="25"/>
  <c r="AB10" i="25"/>
  <c r="X10" i="25"/>
  <c r="U10" i="25"/>
  <c r="Q10" i="25"/>
  <c r="N10" i="25"/>
  <c r="J10" i="25"/>
  <c r="G10" i="25"/>
  <c r="AE9" i="25"/>
  <c r="AB9" i="25"/>
  <c r="X9" i="25"/>
  <c r="U9" i="25"/>
  <c r="Q9" i="25"/>
  <c r="N9" i="25"/>
  <c r="J9" i="25"/>
  <c r="G9" i="25"/>
  <c r="AE8" i="25"/>
  <c r="AB8" i="25"/>
  <c r="X8" i="25"/>
  <c r="U8" i="25"/>
  <c r="Q8" i="25"/>
  <c r="N8" i="25"/>
  <c r="J8" i="25"/>
  <c r="G8" i="25"/>
  <c r="AE7" i="25"/>
  <c r="AB7" i="25"/>
  <c r="X7" i="25"/>
  <c r="U7" i="25"/>
  <c r="Q7" i="25"/>
  <c r="N7" i="25"/>
  <c r="J7" i="25"/>
  <c r="G7" i="25"/>
  <c r="AE6" i="25"/>
  <c r="AB6" i="25"/>
  <c r="X6" i="25"/>
  <c r="U6" i="25"/>
  <c r="Q6" i="25"/>
  <c r="N6" i="25"/>
  <c r="J6" i="25"/>
  <c r="G6" i="25"/>
  <c r="AE5" i="25"/>
  <c r="AB5" i="25"/>
  <c r="X5" i="25"/>
  <c r="U5" i="25"/>
  <c r="Q5" i="25"/>
  <c r="N5" i="25"/>
  <c r="J5" i="25"/>
  <c r="G5" i="25"/>
  <c r="O27" i="24"/>
  <c r="O26" i="24"/>
  <c r="O25" i="24"/>
  <c r="O24" i="24"/>
  <c r="O23" i="24"/>
  <c r="O22" i="24"/>
  <c r="O21" i="24"/>
  <c r="O20" i="24"/>
  <c r="O19" i="24"/>
  <c r="O18" i="24"/>
  <c r="O17" i="24"/>
  <c r="O16" i="24"/>
  <c r="O15" i="24"/>
  <c r="O14" i="24"/>
  <c r="O13" i="24"/>
  <c r="O12" i="24"/>
  <c r="O11" i="24"/>
  <c r="O10" i="24"/>
  <c r="O9" i="24"/>
  <c r="O8" i="24"/>
  <c r="O7" i="24"/>
  <c r="O6" i="24"/>
  <c r="O5" i="24"/>
  <c r="U4" i="24"/>
  <c r="O4" i="24"/>
  <c r="T3" i="24"/>
  <c r="O3" i="24"/>
  <c r="C48" i="23"/>
  <c r="B7" i="23"/>
  <c r="B1" i="23"/>
  <c r="D53" i="14"/>
  <c r="A1" i="22"/>
  <c r="B6" i="22"/>
  <c r="C6" i="22"/>
  <c r="D6" i="22"/>
  <c r="B7" i="22"/>
  <c r="C7" i="22"/>
  <c r="D7" i="22"/>
  <c r="B8" i="22"/>
  <c r="C8" i="22"/>
  <c r="D8" i="22"/>
  <c r="B9" i="22"/>
  <c r="C9" i="22"/>
  <c r="D9" i="22"/>
  <c r="B10" i="22"/>
  <c r="C10" i="22"/>
  <c r="D10" i="22"/>
  <c r="B11" i="22"/>
  <c r="C11" i="22"/>
  <c r="D11" i="22"/>
  <c r="B12" i="22"/>
  <c r="C12" i="22"/>
  <c r="D12" i="22"/>
  <c r="B13" i="22"/>
  <c r="C13" i="22"/>
  <c r="D13" i="22"/>
  <c r="B14" i="22"/>
  <c r="C14" i="22"/>
  <c r="D14" i="22"/>
  <c r="B15" i="22"/>
  <c r="C15" i="22"/>
  <c r="D15" i="22"/>
  <c r="B16" i="22"/>
  <c r="C16" i="22"/>
  <c r="D16" i="22"/>
  <c r="B17" i="22"/>
  <c r="C17" i="22"/>
  <c r="D17" i="22"/>
  <c r="B18" i="22"/>
  <c r="C18" i="22"/>
  <c r="D18" i="22"/>
  <c r="B19" i="22"/>
  <c r="C19" i="22"/>
  <c r="D19" i="22"/>
  <c r="B20" i="22"/>
  <c r="C20" i="22"/>
  <c r="D20" i="22"/>
  <c r="B21" i="22"/>
  <c r="C21" i="22"/>
  <c r="D21" i="22"/>
  <c r="B22" i="22"/>
  <c r="C22" i="22"/>
  <c r="D22" i="22"/>
  <c r="B23" i="22"/>
  <c r="C23" i="22"/>
  <c r="D23" i="22"/>
  <c r="B24" i="22"/>
  <c r="C24" i="22"/>
  <c r="D24" i="22"/>
  <c r="B25" i="22"/>
  <c r="C25" i="22"/>
  <c r="D25" i="22"/>
  <c r="B26" i="22"/>
  <c r="C26" i="22"/>
  <c r="D26" i="22"/>
  <c r="B27" i="22"/>
  <c r="C27" i="22"/>
  <c r="D27" i="22"/>
  <c r="B28" i="22"/>
  <c r="C28" i="22"/>
  <c r="D28" i="22"/>
  <c r="B29" i="22"/>
  <c r="C29" i="22"/>
  <c r="D29" i="22"/>
  <c r="D5" i="22"/>
  <c r="C5" i="22"/>
  <c r="B5" i="22"/>
  <c r="J13" i="20"/>
  <c r="J14" i="20"/>
  <c r="J15" i="20"/>
  <c r="J16" i="20"/>
  <c r="J17" i="20"/>
  <c r="J18" i="20"/>
  <c r="J19" i="20"/>
  <c r="J20" i="20"/>
  <c r="J21" i="20"/>
  <c r="J22" i="20"/>
  <c r="J23" i="20"/>
  <c r="J24" i="20"/>
  <c r="J25" i="20"/>
  <c r="J26" i="20"/>
  <c r="J27" i="20"/>
  <c r="J28" i="20"/>
  <c r="J29" i="20"/>
  <c r="J30" i="20"/>
  <c r="J31" i="20"/>
  <c r="J32" i="20"/>
  <c r="J33" i="20"/>
  <c r="J34" i="20"/>
  <c r="J35" i="20"/>
  <c r="J36" i="20"/>
  <c r="H23" i="20"/>
  <c r="H24" i="20"/>
  <c r="H25" i="20"/>
  <c r="H26" i="20"/>
  <c r="H27" i="20"/>
  <c r="H28" i="20"/>
  <c r="H29" i="20"/>
  <c r="H30" i="20"/>
  <c r="H31" i="20"/>
  <c r="H32" i="20"/>
  <c r="H33" i="20"/>
  <c r="H34" i="20"/>
  <c r="H35" i="20"/>
  <c r="H36" i="20"/>
  <c r="H13" i="20"/>
  <c r="H14" i="20"/>
  <c r="H15" i="20"/>
  <c r="H16" i="20"/>
  <c r="H17" i="20"/>
  <c r="H18" i="20"/>
  <c r="H19" i="20"/>
  <c r="H20" i="20"/>
  <c r="H21" i="20"/>
  <c r="H22" i="20"/>
  <c r="F13" i="20"/>
  <c r="F14" i="20"/>
  <c r="F15" i="20"/>
  <c r="F16" i="20"/>
  <c r="F17" i="20"/>
  <c r="F18" i="20"/>
  <c r="F19" i="20"/>
  <c r="F20" i="20"/>
  <c r="F21" i="20"/>
  <c r="F22" i="20"/>
  <c r="F23" i="20"/>
  <c r="F24" i="20"/>
  <c r="F25" i="20"/>
  <c r="F26" i="20"/>
  <c r="F27" i="20"/>
  <c r="F28" i="20"/>
  <c r="F29" i="20"/>
  <c r="F30" i="20"/>
  <c r="F31" i="20"/>
  <c r="F32" i="20"/>
  <c r="F33" i="20"/>
  <c r="F34" i="20"/>
  <c r="F35" i="20"/>
  <c r="F36" i="20"/>
  <c r="B13" i="20"/>
  <c r="B14" i="20"/>
  <c r="B15" i="20"/>
  <c r="B16" i="20"/>
  <c r="B17" i="20"/>
  <c r="B18" i="20"/>
  <c r="B19" i="20"/>
  <c r="B20" i="20"/>
  <c r="B21" i="20"/>
  <c r="B22" i="20"/>
  <c r="B23" i="20"/>
  <c r="B24" i="20"/>
  <c r="B25" i="20"/>
  <c r="B26" i="20"/>
  <c r="B27" i="20"/>
  <c r="B28" i="20"/>
  <c r="B29" i="20"/>
  <c r="B30" i="20"/>
  <c r="B31" i="20"/>
  <c r="B32" i="20"/>
  <c r="B33" i="20"/>
  <c r="B34" i="20"/>
  <c r="B35" i="20"/>
  <c r="B36" i="20"/>
  <c r="A13" i="20"/>
  <c r="A14" i="20"/>
  <c r="A15" i="20"/>
  <c r="A16" i="20"/>
  <c r="A17" i="20"/>
  <c r="A18" i="20"/>
  <c r="A19" i="20"/>
  <c r="A20" i="20"/>
  <c r="A21" i="20"/>
  <c r="A22" i="20"/>
  <c r="A23" i="20"/>
  <c r="A24" i="20"/>
  <c r="A25" i="20"/>
  <c r="A26" i="20"/>
  <c r="A27" i="20"/>
  <c r="A28" i="20"/>
  <c r="A29" i="20"/>
  <c r="A30" i="20"/>
  <c r="A31" i="20"/>
  <c r="A32" i="20"/>
  <c r="A33" i="20"/>
  <c r="A34" i="20"/>
  <c r="A35" i="20"/>
  <c r="A36" i="20"/>
  <c r="J12" i="20"/>
  <c r="H12" i="20"/>
  <c r="F12" i="20"/>
  <c r="B12" i="20"/>
  <c r="A12" i="20"/>
  <c r="AE29" i="22"/>
  <c r="AB29" i="22"/>
  <c r="X29" i="22"/>
  <c r="U29" i="22"/>
  <c r="Q29" i="22"/>
  <c r="N29" i="22"/>
  <c r="J29" i="22"/>
  <c r="G29" i="22"/>
  <c r="AE28" i="22"/>
  <c r="AB28" i="22"/>
  <c r="X28" i="22"/>
  <c r="U28" i="22"/>
  <c r="Q28" i="22"/>
  <c r="N28" i="22"/>
  <c r="J28" i="22"/>
  <c r="G28" i="22"/>
  <c r="AE27" i="22"/>
  <c r="AB27" i="22"/>
  <c r="X27" i="22"/>
  <c r="U27" i="22"/>
  <c r="Q27" i="22"/>
  <c r="N27" i="22"/>
  <c r="J27" i="22"/>
  <c r="G27" i="22"/>
  <c r="AE26" i="22"/>
  <c r="AB26" i="22"/>
  <c r="X26" i="22"/>
  <c r="U26" i="22"/>
  <c r="Q26" i="22"/>
  <c r="N26" i="22"/>
  <c r="J26" i="22"/>
  <c r="G26" i="22"/>
  <c r="AE25" i="22"/>
  <c r="AB25" i="22"/>
  <c r="X25" i="22"/>
  <c r="U25" i="22"/>
  <c r="Q25" i="22"/>
  <c r="N25" i="22"/>
  <c r="J25" i="22"/>
  <c r="G25" i="22"/>
  <c r="AE24" i="22"/>
  <c r="AB24" i="22"/>
  <c r="X24" i="22"/>
  <c r="U24" i="22"/>
  <c r="Q24" i="22"/>
  <c r="N24" i="22"/>
  <c r="J24" i="22"/>
  <c r="G24" i="22"/>
  <c r="AE23" i="22"/>
  <c r="AB23" i="22"/>
  <c r="X23" i="22"/>
  <c r="U23" i="22"/>
  <c r="Q23" i="22"/>
  <c r="N23" i="22"/>
  <c r="J23" i="22"/>
  <c r="G23" i="22"/>
  <c r="AE22" i="22"/>
  <c r="AB22" i="22"/>
  <c r="X22" i="22"/>
  <c r="U22" i="22"/>
  <c r="Q22" i="22"/>
  <c r="N22" i="22"/>
  <c r="J22" i="22"/>
  <c r="G22" i="22"/>
  <c r="AE21" i="22"/>
  <c r="AB21" i="22"/>
  <c r="X21" i="22"/>
  <c r="U21" i="22"/>
  <c r="Q21" i="22"/>
  <c r="N21" i="22"/>
  <c r="J21" i="22"/>
  <c r="G21" i="22"/>
  <c r="AE20" i="22"/>
  <c r="AB20" i="22"/>
  <c r="X20" i="22"/>
  <c r="U20" i="22"/>
  <c r="Q20" i="22"/>
  <c r="N20" i="22"/>
  <c r="J20" i="22"/>
  <c r="G20" i="22"/>
  <c r="AE19" i="22"/>
  <c r="AB19" i="22"/>
  <c r="X19" i="22"/>
  <c r="U19" i="22"/>
  <c r="Q19" i="22"/>
  <c r="N19" i="22"/>
  <c r="J19" i="22"/>
  <c r="G19" i="22"/>
  <c r="AE18" i="22"/>
  <c r="AB18" i="22"/>
  <c r="X18" i="22"/>
  <c r="U18" i="22"/>
  <c r="Q18" i="22"/>
  <c r="N18" i="22"/>
  <c r="J18" i="22"/>
  <c r="G18" i="22"/>
  <c r="AE17" i="22"/>
  <c r="AB17" i="22"/>
  <c r="X17" i="22"/>
  <c r="U17" i="22"/>
  <c r="Q17" i="22"/>
  <c r="N17" i="22"/>
  <c r="J17" i="22"/>
  <c r="G17" i="22"/>
  <c r="AE16" i="22"/>
  <c r="AB16" i="22"/>
  <c r="X16" i="22"/>
  <c r="U16" i="22"/>
  <c r="Q16" i="22"/>
  <c r="N16" i="22"/>
  <c r="J16" i="22"/>
  <c r="G16" i="22"/>
  <c r="AE15" i="22"/>
  <c r="AB15" i="22"/>
  <c r="X15" i="22"/>
  <c r="U15" i="22"/>
  <c r="Q15" i="22"/>
  <c r="N15" i="22"/>
  <c r="J15" i="22"/>
  <c r="G15" i="22"/>
  <c r="AE14" i="22"/>
  <c r="AB14" i="22"/>
  <c r="X14" i="22"/>
  <c r="U14" i="22"/>
  <c r="Q14" i="22"/>
  <c r="N14" i="22"/>
  <c r="J14" i="22"/>
  <c r="G14" i="22"/>
  <c r="AE13" i="22"/>
  <c r="AB13" i="22"/>
  <c r="X13" i="22"/>
  <c r="U13" i="22"/>
  <c r="Q13" i="22"/>
  <c r="N13" i="22"/>
  <c r="J13" i="22"/>
  <c r="G13" i="22"/>
  <c r="AE12" i="22"/>
  <c r="AB12" i="22"/>
  <c r="X12" i="22"/>
  <c r="U12" i="22"/>
  <c r="Q12" i="22"/>
  <c r="N12" i="22"/>
  <c r="J12" i="22"/>
  <c r="G12" i="22"/>
  <c r="AE11" i="22"/>
  <c r="AB11" i="22"/>
  <c r="X11" i="22"/>
  <c r="U11" i="22"/>
  <c r="Q11" i="22"/>
  <c r="N11" i="22"/>
  <c r="J11" i="22"/>
  <c r="G11" i="22"/>
  <c r="AE10" i="22"/>
  <c r="AB10" i="22"/>
  <c r="X10" i="22"/>
  <c r="U10" i="22"/>
  <c r="Q10" i="22"/>
  <c r="N10" i="22"/>
  <c r="J10" i="22"/>
  <c r="G10" i="22"/>
  <c r="AE9" i="22"/>
  <c r="AB9" i="22"/>
  <c r="X9" i="22"/>
  <c r="U9" i="22"/>
  <c r="Q9" i="22"/>
  <c r="N9" i="22"/>
  <c r="J9" i="22"/>
  <c r="G9" i="22"/>
  <c r="AE8" i="22"/>
  <c r="AB8" i="22"/>
  <c r="X8" i="22"/>
  <c r="U8" i="22"/>
  <c r="Q8" i="22"/>
  <c r="N8" i="22"/>
  <c r="J8" i="22"/>
  <c r="G8" i="22"/>
  <c r="AE7" i="22"/>
  <c r="AB7" i="22"/>
  <c r="X7" i="22"/>
  <c r="U7" i="22"/>
  <c r="Q7" i="22"/>
  <c r="N7" i="22"/>
  <c r="J7" i="22"/>
  <c r="G7" i="22"/>
  <c r="AE6" i="22"/>
  <c r="AB6" i="22"/>
  <c r="X6" i="22"/>
  <c r="U6" i="22"/>
  <c r="Q6" i="22"/>
  <c r="N6" i="22"/>
  <c r="J6" i="22"/>
  <c r="G6" i="22"/>
  <c r="AE5" i="22"/>
  <c r="AB5" i="22"/>
  <c r="X5" i="22"/>
  <c r="U5" i="22"/>
  <c r="Q5" i="22"/>
  <c r="N5" i="22"/>
  <c r="J5" i="22"/>
  <c r="G5" i="22"/>
  <c r="O27" i="21"/>
  <c r="O26" i="21"/>
  <c r="O25" i="21"/>
  <c r="O24" i="21"/>
  <c r="O23" i="21"/>
  <c r="O22" i="21"/>
  <c r="O21" i="21"/>
  <c r="O20" i="21"/>
  <c r="O19" i="21"/>
  <c r="O18" i="21"/>
  <c r="O17" i="21"/>
  <c r="O16" i="21"/>
  <c r="O15" i="21"/>
  <c r="O14" i="21"/>
  <c r="O13" i="21"/>
  <c r="O12" i="21"/>
  <c r="O11" i="21"/>
  <c r="O10" i="21"/>
  <c r="O9" i="21"/>
  <c r="O8" i="21"/>
  <c r="O7" i="21"/>
  <c r="O6" i="21"/>
  <c r="O5" i="21"/>
  <c r="U4" i="21"/>
  <c r="E38" i="20" s="1"/>
  <c r="O4" i="21"/>
  <c r="T3" i="21"/>
  <c r="O3" i="21"/>
  <c r="C48" i="20"/>
  <c r="B7" i="20"/>
  <c r="B1" i="20"/>
  <c r="A1" i="17"/>
  <c r="B6" i="17"/>
  <c r="C6" i="17"/>
  <c r="D6" i="17"/>
  <c r="B7" i="17"/>
  <c r="C7" i="17"/>
  <c r="D7" i="17"/>
  <c r="B8" i="17"/>
  <c r="C8" i="17"/>
  <c r="D8" i="17"/>
  <c r="B9" i="17"/>
  <c r="C9" i="17"/>
  <c r="D9" i="17"/>
  <c r="B10" i="17"/>
  <c r="C10" i="17"/>
  <c r="D10" i="17"/>
  <c r="B11" i="17"/>
  <c r="C11" i="17"/>
  <c r="D11" i="17"/>
  <c r="B12" i="17"/>
  <c r="C12" i="17"/>
  <c r="D12" i="17"/>
  <c r="B13" i="17"/>
  <c r="C13" i="17"/>
  <c r="D13" i="17"/>
  <c r="B14" i="17"/>
  <c r="C14" i="17"/>
  <c r="D14" i="17"/>
  <c r="B15" i="17"/>
  <c r="C15" i="17"/>
  <c r="D15" i="17"/>
  <c r="B16" i="17"/>
  <c r="C16" i="17"/>
  <c r="D16" i="17"/>
  <c r="B17" i="17"/>
  <c r="C17" i="17"/>
  <c r="D17" i="17"/>
  <c r="B18" i="17"/>
  <c r="C18" i="17"/>
  <c r="D18" i="17"/>
  <c r="B19" i="17"/>
  <c r="C19" i="17"/>
  <c r="D19" i="17"/>
  <c r="B20" i="17"/>
  <c r="C20" i="17"/>
  <c r="D20" i="17"/>
  <c r="B21" i="17"/>
  <c r="C21" i="17"/>
  <c r="D21" i="17"/>
  <c r="B22" i="17"/>
  <c r="C22" i="17"/>
  <c r="D22" i="17"/>
  <c r="B23" i="17"/>
  <c r="C23" i="17"/>
  <c r="D23" i="17"/>
  <c r="B24" i="17"/>
  <c r="C24" i="17"/>
  <c r="D24" i="17"/>
  <c r="B25" i="17"/>
  <c r="C25" i="17"/>
  <c r="D25" i="17"/>
  <c r="B26" i="17"/>
  <c r="C26" i="17"/>
  <c r="D26" i="17"/>
  <c r="B27" i="17"/>
  <c r="C27" i="17"/>
  <c r="D27" i="17"/>
  <c r="B28" i="17"/>
  <c r="C28" i="17"/>
  <c r="D28" i="17"/>
  <c r="B29" i="17"/>
  <c r="C29" i="17"/>
  <c r="D29" i="17"/>
  <c r="B5" i="17"/>
  <c r="D5" i="17"/>
  <c r="C5" i="17"/>
  <c r="C48" i="19"/>
  <c r="A34" i="19"/>
  <c r="B34" i="19"/>
  <c r="F34" i="19"/>
  <c r="H34" i="19"/>
  <c r="J34" i="19"/>
  <c r="A35" i="19"/>
  <c r="B35" i="19"/>
  <c r="F35" i="19"/>
  <c r="H35" i="19"/>
  <c r="J35" i="19"/>
  <c r="A36" i="19"/>
  <c r="B36" i="19"/>
  <c r="F36" i="19"/>
  <c r="H36" i="19"/>
  <c r="J36" i="19"/>
  <c r="A13" i="19"/>
  <c r="B13" i="19"/>
  <c r="F13" i="19"/>
  <c r="H13" i="19"/>
  <c r="J13" i="19"/>
  <c r="A14" i="19"/>
  <c r="B14" i="19"/>
  <c r="F14" i="19"/>
  <c r="H14" i="19"/>
  <c r="J14" i="19"/>
  <c r="A15" i="19"/>
  <c r="B15" i="19"/>
  <c r="F15" i="19"/>
  <c r="H15" i="19"/>
  <c r="J15" i="19"/>
  <c r="A16" i="19"/>
  <c r="B16" i="19"/>
  <c r="F16" i="19"/>
  <c r="H16" i="19"/>
  <c r="J16" i="19"/>
  <c r="A17" i="19"/>
  <c r="B17" i="19"/>
  <c r="F17" i="19"/>
  <c r="H17" i="19"/>
  <c r="J17" i="19"/>
  <c r="A18" i="19"/>
  <c r="B18" i="19"/>
  <c r="H18" i="19"/>
  <c r="J18" i="19"/>
  <c r="A19" i="19"/>
  <c r="B19" i="19"/>
  <c r="F19" i="19"/>
  <c r="H19" i="19"/>
  <c r="J19" i="19"/>
  <c r="A20" i="19"/>
  <c r="B20" i="19"/>
  <c r="F20" i="19"/>
  <c r="H20" i="19"/>
  <c r="J20" i="19"/>
  <c r="A21" i="19"/>
  <c r="B21" i="19"/>
  <c r="F21" i="19"/>
  <c r="H21" i="19"/>
  <c r="J21" i="19"/>
  <c r="A22" i="19"/>
  <c r="B22" i="19"/>
  <c r="F22" i="19"/>
  <c r="H22" i="19"/>
  <c r="J22" i="19"/>
  <c r="A23" i="19"/>
  <c r="B23" i="19"/>
  <c r="F23" i="19"/>
  <c r="H23" i="19"/>
  <c r="J23" i="19"/>
  <c r="A24" i="19"/>
  <c r="B24" i="19"/>
  <c r="F24" i="19"/>
  <c r="H24" i="19"/>
  <c r="J24" i="19"/>
  <c r="A25" i="19"/>
  <c r="B25" i="19"/>
  <c r="F25" i="19"/>
  <c r="H25" i="19"/>
  <c r="J25" i="19"/>
  <c r="A26" i="19"/>
  <c r="B26" i="19"/>
  <c r="F26" i="19"/>
  <c r="H26" i="19"/>
  <c r="J26" i="19"/>
  <c r="A27" i="19"/>
  <c r="B27" i="19"/>
  <c r="F27" i="19"/>
  <c r="H27" i="19"/>
  <c r="J27" i="19"/>
  <c r="A28" i="19"/>
  <c r="B28" i="19"/>
  <c r="F28" i="19"/>
  <c r="H28" i="19"/>
  <c r="J28" i="19"/>
  <c r="A29" i="19"/>
  <c r="B29" i="19"/>
  <c r="F29" i="19"/>
  <c r="H29" i="19"/>
  <c r="J29" i="19"/>
  <c r="A30" i="19"/>
  <c r="B30" i="19"/>
  <c r="F30" i="19"/>
  <c r="H30" i="19"/>
  <c r="J30" i="19"/>
  <c r="A31" i="19"/>
  <c r="B31" i="19"/>
  <c r="F31" i="19"/>
  <c r="H31" i="19"/>
  <c r="J31" i="19"/>
  <c r="A32" i="19"/>
  <c r="B32" i="19"/>
  <c r="F32" i="19"/>
  <c r="H32" i="19"/>
  <c r="J32" i="19"/>
  <c r="A33" i="19"/>
  <c r="B33" i="19"/>
  <c r="F33" i="19"/>
  <c r="H33" i="19"/>
  <c r="J33" i="19"/>
  <c r="A12" i="19"/>
  <c r="B12" i="19"/>
  <c r="H12" i="19"/>
  <c r="J12" i="19"/>
  <c r="B7" i="19"/>
  <c r="B1" i="19"/>
  <c r="Q3" i="57" l="1"/>
  <c r="E44" i="56" s="1"/>
  <c r="R3" i="57"/>
  <c r="E45" i="56" s="1"/>
  <c r="Q3" i="54"/>
  <c r="R3" i="54"/>
  <c r="Q3" i="51"/>
  <c r="R3" i="51"/>
  <c r="R3" i="48"/>
  <c r="Q3" i="48"/>
  <c r="Q3" i="45"/>
  <c r="R3" i="45"/>
  <c r="Q3" i="42"/>
  <c r="R3" i="42"/>
  <c r="Q3" i="39"/>
  <c r="R3" i="39"/>
  <c r="Q3" i="36"/>
  <c r="R3" i="36"/>
  <c r="Q3" i="33"/>
  <c r="R3" i="33"/>
  <c r="Q3" i="30"/>
  <c r="R3" i="30"/>
  <c r="Q3" i="27"/>
  <c r="R3" i="27"/>
  <c r="M3" i="24"/>
  <c r="L3" i="24"/>
  <c r="M4" i="24"/>
  <c r="L4" i="24"/>
  <c r="M5" i="24"/>
  <c r="L5" i="24"/>
  <c r="M6" i="24"/>
  <c r="L6" i="24"/>
  <c r="M7" i="24"/>
  <c r="L7" i="24"/>
  <c r="M8" i="24"/>
  <c r="L8" i="24"/>
  <c r="M9" i="24"/>
  <c r="L9" i="24"/>
  <c r="M10" i="24"/>
  <c r="L10" i="24"/>
  <c r="M11" i="24"/>
  <c r="L11" i="24"/>
  <c r="M12" i="24"/>
  <c r="L12" i="24"/>
  <c r="M13" i="24"/>
  <c r="L13" i="24"/>
  <c r="M14" i="24"/>
  <c r="L14" i="24"/>
  <c r="M15" i="24"/>
  <c r="L15" i="24"/>
  <c r="M16" i="24"/>
  <c r="L16" i="24"/>
  <c r="M17" i="24"/>
  <c r="L17" i="24"/>
  <c r="M18" i="24"/>
  <c r="L18" i="24"/>
  <c r="M19" i="24"/>
  <c r="L19" i="24"/>
  <c r="M20" i="24"/>
  <c r="L20" i="24"/>
  <c r="M21" i="24"/>
  <c r="L21" i="24"/>
  <c r="M22" i="24"/>
  <c r="L22" i="24"/>
  <c r="M23" i="24"/>
  <c r="L23" i="24"/>
  <c r="M24" i="24"/>
  <c r="L24" i="24"/>
  <c r="M25" i="24"/>
  <c r="L25" i="24"/>
  <c r="M26" i="24"/>
  <c r="L26" i="24"/>
  <c r="M27" i="24"/>
  <c r="L27" i="24"/>
  <c r="M3" i="21"/>
  <c r="L3" i="21"/>
  <c r="M4" i="21"/>
  <c r="L4" i="21"/>
  <c r="M5" i="21"/>
  <c r="L5" i="21"/>
  <c r="M6" i="21"/>
  <c r="L6" i="21"/>
  <c r="M7" i="21"/>
  <c r="L7" i="21"/>
  <c r="M8" i="21"/>
  <c r="L8" i="21"/>
  <c r="M9" i="21"/>
  <c r="L9" i="21"/>
  <c r="M10" i="21"/>
  <c r="L10" i="21"/>
  <c r="M11" i="21"/>
  <c r="L11" i="21"/>
  <c r="M12" i="21"/>
  <c r="L12" i="21"/>
  <c r="M13" i="21"/>
  <c r="L13" i="21"/>
  <c r="M14" i="21"/>
  <c r="L14" i="21"/>
  <c r="M15" i="21"/>
  <c r="L15" i="21"/>
  <c r="M16" i="21"/>
  <c r="L16" i="21"/>
  <c r="M17" i="21"/>
  <c r="L17" i="21"/>
  <c r="M18" i="21"/>
  <c r="L18" i="21"/>
  <c r="M19" i="21"/>
  <c r="L19" i="21"/>
  <c r="M20" i="21"/>
  <c r="L20" i="21"/>
  <c r="M21" i="21"/>
  <c r="L21" i="21"/>
  <c r="M22" i="21"/>
  <c r="L22" i="21"/>
  <c r="M23" i="21"/>
  <c r="L23" i="21"/>
  <c r="M24" i="21"/>
  <c r="L24" i="21"/>
  <c r="M25" i="21"/>
  <c r="L25" i="21"/>
  <c r="M26" i="21"/>
  <c r="L26" i="21"/>
  <c r="M27" i="21"/>
  <c r="L27" i="21"/>
  <c r="AE29" i="17"/>
  <c r="AB29" i="17"/>
  <c r="X29" i="17"/>
  <c r="U29" i="17"/>
  <c r="Q29" i="17"/>
  <c r="N29" i="17"/>
  <c r="J29" i="17"/>
  <c r="G29" i="17"/>
  <c r="AE28" i="17"/>
  <c r="AB28" i="17"/>
  <c r="X28" i="17"/>
  <c r="U28" i="17"/>
  <c r="Q28" i="17"/>
  <c r="N28" i="17"/>
  <c r="J28" i="17"/>
  <c r="G28" i="17"/>
  <c r="AE27" i="17"/>
  <c r="AB27" i="17"/>
  <c r="X27" i="17"/>
  <c r="U27" i="17"/>
  <c r="Q27" i="17"/>
  <c r="N27" i="17"/>
  <c r="J27" i="17"/>
  <c r="G27" i="17"/>
  <c r="AE26" i="17"/>
  <c r="AB26" i="17"/>
  <c r="X26" i="17"/>
  <c r="U26" i="17"/>
  <c r="Q26" i="17"/>
  <c r="N26" i="17"/>
  <c r="J26" i="17"/>
  <c r="G26" i="17"/>
  <c r="AE25" i="17"/>
  <c r="AB25" i="17"/>
  <c r="X25" i="17"/>
  <c r="U25" i="17"/>
  <c r="Q25" i="17"/>
  <c r="N25" i="17"/>
  <c r="J25" i="17"/>
  <c r="G25" i="17"/>
  <c r="AE24" i="17"/>
  <c r="AB24" i="17"/>
  <c r="X24" i="17"/>
  <c r="U24" i="17"/>
  <c r="Q24" i="17"/>
  <c r="N24" i="17"/>
  <c r="J24" i="17"/>
  <c r="G24" i="17"/>
  <c r="AE23" i="17"/>
  <c r="AB23" i="17"/>
  <c r="X23" i="17"/>
  <c r="U23" i="17"/>
  <c r="Q23" i="17"/>
  <c r="N23" i="17"/>
  <c r="J23" i="17"/>
  <c r="G23" i="17"/>
  <c r="AE22" i="17"/>
  <c r="AB22" i="17"/>
  <c r="X22" i="17"/>
  <c r="U22" i="17"/>
  <c r="Q22" i="17"/>
  <c r="N22" i="17"/>
  <c r="J22" i="17"/>
  <c r="G22" i="17"/>
  <c r="AE21" i="17"/>
  <c r="AB21" i="17"/>
  <c r="X21" i="17"/>
  <c r="U21" i="17"/>
  <c r="Q21" i="17"/>
  <c r="N21" i="17"/>
  <c r="J21" i="17"/>
  <c r="G21" i="17"/>
  <c r="AE20" i="17"/>
  <c r="AB20" i="17"/>
  <c r="X20" i="17"/>
  <c r="U20" i="17"/>
  <c r="Q20" i="17"/>
  <c r="N20" i="17"/>
  <c r="J20" i="17"/>
  <c r="G20" i="17"/>
  <c r="AE19" i="17"/>
  <c r="AB19" i="17"/>
  <c r="X19" i="17"/>
  <c r="U19" i="17"/>
  <c r="Q19" i="17"/>
  <c r="N19" i="17"/>
  <c r="J19" i="17"/>
  <c r="G19" i="17"/>
  <c r="AE18" i="17"/>
  <c r="AB18" i="17"/>
  <c r="X18" i="17"/>
  <c r="U18" i="17"/>
  <c r="Q18" i="17"/>
  <c r="N18" i="17"/>
  <c r="J18" i="17"/>
  <c r="G18" i="17"/>
  <c r="AE17" i="17"/>
  <c r="AB17" i="17"/>
  <c r="X17" i="17"/>
  <c r="U17" i="17"/>
  <c r="Q17" i="17"/>
  <c r="N17" i="17"/>
  <c r="J17" i="17"/>
  <c r="G17" i="17"/>
  <c r="AE16" i="17"/>
  <c r="AB16" i="17"/>
  <c r="X16" i="17"/>
  <c r="U16" i="17"/>
  <c r="Q16" i="17"/>
  <c r="N16" i="17"/>
  <c r="J16" i="17"/>
  <c r="G16" i="17"/>
  <c r="AE15" i="17"/>
  <c r="AB15" i="17"/>
  <c r="X15" i="17"/>
  <c r="U15" i="17"/>
  <c r="Q15" i="17"/>
  <c r="N15" i="17"/>
  <c r="J15" i="17"/>
  <c r="G15" i="17"/>
  <c r="AE14" i="17"/>
  <c r="AB14" i="17"/>
  <c r="X14" i="17"/>
  <c r="U14" i="17"/>
  <c r="Q14" i="17"/>
  <c r="N14" i="17"/>
  <c r="J14" i="17"/>
  <c r="G14" i="17"/>
  <c r="AE13" i="17"/>
  <c r="AB13" i="17"/>
  <c r="X13" i="17"/>
  <c r="U13" i="17"/>
  <c r="Q13" i="17"/>
  <c r="N13" i="17"/>
  <c r="J13" i="17"/>
  <c r="G13" i="17"/>
  <c r="AE12" i="17"/>
  <c r="AB12" i="17"/>
  <c r="X12" i="17"/>
  <c r="U12" i="17"/>
  <c r="Q12" i="17"/>
  <c r="N12" i="17"/>
  <c r="J12" i="17"/>
  <c r="G12" i="17"/>
  <c r="AE11" i="17"/>
  <c r="AB11" i="17"/>
  <c r="X11" i="17"/>
  <c r="U11" i="17"/>
  <c r="Q11" i="17"/>
  <c r="N11" i="17"/>
  <c r="J11" i="17"/>
  <c r="G11" i="17"/>
  <c r="AE10" i="17"/>
  <c r="AB10" i="17"/>
  <c r="X10" i="17"/>
  <c r="U10" i="17"/>
  <c r="Q10" i="17"/>
  <c r="N10" i="17"/>
  <c r="J10" i="17"/>
  <c r="G10" i="17"/>
  <c r="AE9" i="17"/>
  <c r="AB9" i="17"/>
  <c r="X9" i="17"/>
  <c r="U9" i="17"/>
  <c r="Q9" i="17"/>
  <c r="N9" i="17"/>
  <c r="J9" i="17"/>
  <c r="G9" i="17"/>
  <c r="AE8" i="17"/>
  <c r="AB8" i="17"/>
  <c r="X8" i="17"/>
  <c r="U8" i="17"/>
  <c r="Q8" i="17"/>
  <c r="N8" i="17"/>
  <c r="J8" i="17"/>
  <c r="G8" i="17"/>
  <c r="AE7" i="17"/>
  <c r="AB7" i="17"/>
  <c r="X7" i="17"/>
  <c r="U7" i="17"/>
  <c r="Q7" i="17"/>
  <c r="N7" i="17"/>
  <c r="J7" i="17"/>
  <c r="G7" i="17"/>
  <c r="AE6" i="17"/>
  <c r="AB6" i="17"/>
  <c r="X6" i="17"/>
  <c r="U6" i="17"/>
  <c r="Q6" i="17"/>
  <c r="N6" i="17"/>
  <c r="J6" i="17"/>
  <c r="G6" i="17"/>
  <c r="AE5" i="17"/>
  <c r="AB5" i="17"/>
  <c r="X5" i="17"/>
  <c r="U5" i="17"/>
  <c r="Q5" i="17"/>
  <c r="N5" i="17"/>
  <c r="J5" i="17"/>
  <c r="G5" i="17"/>
  <c r="E45" i="53" l="1"/>
  <c r="E44" i="53"/>
  <c r="E45" i="50"/>
  <c r="E44" i="50"/>
  <c r="E44" i="47"/>
  <c r="E45" i="47"/>
  <c r="E40" i="44"/>
  <c r="E39" i="44"/>
  <c r="E40" i="41"/>
  <c r="E39" i="41"/>
  <c r="E40" i="38"/>
  <c r="E39" i="38"/>
  <c r="E40" i="35"/>
  <c r="E39" i="35"/>
  <c r="E40" i="32"/>
  <c r="E39" i="32"/>
  <c r="E40" i="29"/>
  <c r="E39" i="29"/>
  <c r="E40" i="26"/>
  <c r="E39" i="26"/>
  <c r="Q3" i="24"/>
  <c r="R3" i="24"/>
  <c r="Q3" i="21"/>
  <c r="R3" i="21"/>
  <c r="D2" i="15"/>
  <c r="C2" i="15"/>
  <c r="E27" i="14"/>
  <c r="E23" i="14"/>
  <c r="O27" i="1"/>
  <c r="M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M11" i="1"/>
  <c r="O10" i="1"/>
  <c r="M10" i="1"/>
  <c r="O9" i="1"/>
  <c r="M9" i="1"/>
  <c r="F18" i="19"/>
  <c r="O8" i="1"/>
  <c r="M8" i="1"/>
  <c r="O7" i="1"/>
  <c r="M7" i="1"/>
  <c r="O6" i="1"/>
  <c r="M6" i="1"/>
  <c r="O5" i="1"/>
  <c r="M5" i="1"/>
  <c r="O4" i="1"/>
  <c r="M4" i="1"/>
  <c r="O3" i="1"/>
  <c r="M3" i="1"/>
  <c r="F12" i="19"/>
  <c r="T3" i="1"/>
  <c r="U4" i="1"/>
  <c r="E40" i="23" l="1"/>
  <c r="E39" i="23"/>
  <c r="E40" i="20"/>
  <c r="E39" i="20"/>
  <c r="E38" i="19"/>
  <c r="D15" i="14"/>
  <c r="M13" i="1"/>
  <c r="M15" i="1"/>
  <c r="M17" i="1"/>
  <c r="M19" i="1"/>
  <c r="M21" i="1"/>
  <c r="M23" i="1"/>
  <c r="M25" i="1"/>
  <c r="M12" i="1"/>
  <c r="M14" i="1"/>
  <c r="M16" i="1"/>
  <c r="M18" i="1"/>
  <c r="M20" i="1"/>
  <c r="M22" i="1"/>
  <c r="M24" i="1"/>
  <c r="M26" i="1"/>
  <c r="E25" i="14"/>
  <c r="L3" i="1"/>
  <c r="L6" i="1"/>
  <c r="L7" i="1"/>
  <c r="L8" i="1"/>
  <c r="L4" i="1"/>
  <c r="L5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I17" i="14"/>
  <c r="E19" i="14"/>
  <c r="E21" i="14"/>
  <c r="I15" i="14" l="1"/>
  <c r="H27" i="14"/>
  <c r="R3" i="1"/>
  <c r="H23" i="14"/>
  <c r="Q3" i="1"/>
  <c r="E39" i="19" l="1"/>
  <c r="E40" i="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tc={093FC395-5B2B-4072-9A72-122A10EACE83}</author>
  </authors>
  <commentList>
    <comment ref="A1" authorId="0" shapeId="0" xr:uid="{093FC395-5B2B-4072-9A72-122A10EACE83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Senha para desbloquear as planhilhas e a edição do codigo VBA: 1234</t>
      </text>
    </comment>
  </commentList>
</comments>
</file>

<file path=xl/sharedStrings.xml><?xml version="1.0" encoding="utf-8"?>
<sst xmlns="http://schemas.openxmlformats.org/spreadsheetml/2006/main" count="1132" uniqueCount="138">
  <si>
    <t>Idade Minima</t>
  </si>
  <si>
    <t>Total Abaixo de 4 Anos</t>
  </si>
  <si>
    <t>Total Acima de 4 Anos</t>
  </si>
  <si>
    <t>Idade Precisa</t>
  </si>
  <si>
    <t>Idade minima (MESES)</t>
  </si>
  <si>
    <t>Professor(a):</t>
  </si>
  <si>
    <t>Quantidade de Alunos na Turma:</t>
  </si>
  <si>
    <t>*******</t>
  </si>
  <si>
    <t>Tarde</t>
  </si>
  <si>
    <t>Nº</t>
  </si>
  <si>
    <t>Nome</t>
  </si>
  <si>
    <t>CPF</t>
  </si>
  <si>
    <t>SUS</t>
  </si>
  <si>
    <t>Data Nasc</t>
  </si>
  <si>
    <t>Celular 1</t>
  </si>
  <si>
    <t>Celular 2</t>
  </si>
  <si>
    <t>Cancelado Transferido Desistente</t>
  </si>
  <si>
    <t>Mat.</t>
  </si>
  <si>
    <t>Responsavel (Mãe)</t>
  </si>
  <si>
    <t>Idade</t>
  </si>
  <si>
    <t>FALTA</t>
  </si>
  <si>
    <t>Manhã</t>
  </si>
  <si>
    <t>Total Abaixo de 10 Anos</t>
  </si>
  <si>
    <t>Total Acima de 10 Anos</t>
  </si>
  <si>
    <t>ENSINO INFANTIL</t>
  </si>
  <si>
    <t>ENSINO FUNDAMENTAL I</t>
  </si>
  <si>
    <t>TOTAL ATUAL</t>
  </si>
  <si>
    <t>TOTAL MAXIMO</t>
  </si>
  <si>
    <t>PRESENÇA</t>
  </si>
  <si>
    <t>% PRESENÇA</t>
  </si>
  <si>
    <t>% FALTA</t>
  </si>
  <si>
    <t>OUTUBRO</t>
  </si>
  <si>
    <t>NOVEMBRO</t>
  </si>
  <si>
    <t>MARÇO</t>
  </si>
  <si>
    <t>ABRIL</t>
  </si>
  <si>
    <t>MAIO</t>
  </si>
  <si>
    <t>JUNHO</t>
  </si>
  <si>
    <t>PRIMEIRO SIMESTRE</t>
  </si>
  <si>
    <t>SEGUNDO SEMESTRE</t>
  </si>
  <si>
    <t>AGOSTO</t>
  </si>
  <si>
    <t>SETEMBRO</t>
  </si>
  <si>
    <t>CALCULADORA DE % DE PRESENÇA</t>
  </si>
  <si>
    <t>PRES MAR</t>
  </si>
  <si>
    <t>FALTA MAR</t>
  </si>
  <si>
    <t>% PRESENÇA MAR</t>
  </si>
  <si>
    <t>FALT ABR</t>
  </si>
  <si>
    <t>PRES ABR</t>
  </si>
  <si>
    <t>.</t>
  </si>
  <si>
    <t>PRES MAI</t>
  </si>
  <si>
    <t>FALTA MAI</t>
  </si>
  <si>
    <t>% PRESENÇA MAI</t>
  </si>
  <si>
    <t>% PRESENÇA ABR</t>
  </si>
  <si>
    <t>PRES JUN</t>
  </si>
  <si>
    <t>FALTA JUN</t>
  </si>
  <si>
    <t>% PRESENÇA JUN</t>
  </si>
  <si>
    <t>,</t>
  </si>
  <si>
    <t>PRES AGO</t>
  </si>
  <si>
    <t>FALTA AGO</t>
  </si>
  <si>
    <t>% PRESENÇA AGO</t>
  </si>
  <si>
    <t>PRES SET</t>
  </si>
  <si>
    <t>FALTA SET</t>
  </si>
  <si>
    <t>% PRESENÇA SET</t>
  </si>
  <si>
    <t>;</t>
  </si>
  <si>
    <t>PRES OUT</t>
  </si>
  <si>
    <t>FALTA OUT</t>
  </si>
  <si>
    <t>% PRESENÇA OUT</t>
  </si>
  <si>
    <t>PRES NOV</t>
  </si>
  <si>
    <t>FALTA NOV</t>
  </si>
  <si>
    <t>% PRESENÇA NOV</t>
  </si>
  <si>
    <t>Unidade Escola:</t>
  </si>
  <si>
    <t>Turno:</t>
  </si>
  <si>
    <t>Turma:</t>
  </si>
  <si>
    <t>Ano Letivo:</t>
  </si>
  <si>
    <t>Prof. Auxiliar:</t>
  </si>
  <si>
    <t>Prof. Tempo de Aprender:</t>
  </si>
  <si>
    <t>ANO LETIVO</t>
  </si>
  <si>
    <t>UNIDADE ESCOLAR</t>
  </si>
  <si>
    <t>Lista de Alunos</t>
  </si>
  <si>
    <t>Nome Completo</t>
  </si>
  <si>
    <t>Contato</t>
  </si>
  <si>
    <t>Nasc.</t>
  </si>
  <si>
    <t>Total de Alunos Maticulados Ativos:</t>
  </si>
  <si>
    <t>Total de Alunos acima de 4 anos:</t>
  </si>
  <si>
    <t>Total de Alunos abaixo dos 4 anos:</t>
  </si>
  <si>
    <t>Documento gerado em:</t>
  </si>
  <si>
    <t>1º Periodo - B</t>
  </si>
  <si>
    <t xml:space="preserve">Documento gerado em: </t>
  </si>
  <si>
    <t>2º Periodo - A</t>
  </si>
  <si>
    <t>SEM</t>
  </si>
  <si>
    <t>2º Periodo - B</t>
  </si>
  <si>
    <t>Total Abaixo de 5 Anos</t>
  </si>
  <si>
    <t>Total Acima de 5 Anos</t>
  </si>
  <si>
    <t>Total de Alunos acima de 5 anos:</t>
  </si>
  <si>
    <t>Total de Alunos abaixo dos 5 anos:</t>
  </si>
  <si>
    <t>1º Ano - A</t>
  </si>
  <si>
    <t>Total de Alunos acima de 6 anos:</t>
  </si>
  <si>
    <t>Total de Alunos abaixo dos 6 anos:</t>
  </si>
  <si>
    <t>Total Abaixo de 6 Anos</t>
  </si>
  <si>
    <t>Total Acima de 6 Anos</t>
  </si>
  <si>
    <t>Observação</t>
  </si>
  <si>
    <r>
      <t xml:space="preserve">senha: </t>
    </r>
    <r>
      <rPr>
        <b/>
        <sz val="22"/>
        <color rgb="FFFF0000"/>
        <rFont val="Calibri"/>
        <family val="2"/>
      </rPr>
      <t>1234</t>
    </r>
  </si>
  <si>
    <t>1º Ano - B</t>
  </si>
  <si>
    <t>E.M.E.I.E.F. Ficticio</t>
  </si>
  <si>
    <t>2º Ano - A</t>
  </si>
  <si>
    <t>Total de Alunos acima de 7 anos:</t>
  </si>
  <si>
    <t>Total de Alunos abaixo dos 7 anos:</t>
  </si>
  <si>
    <t>Total Abaixo de 7 Anos</t>
  </si>
  <si>
    <t>Total Acima de 7 Anos</t>
  </si>
  <si>
    <t>2º Ano - B</t>
  </si>
  <si>
    <t>Farinha</t>
  </si>
  <si>
    <t>Taliana</t>
  </si>
  <si>
    <t>Sulana</t>
  </si>
  <si>
    <t>Emilha</t>
  </si>
  <si>
    <t>Camomila</t>
  </si>
  <si>
    <t>Dalila</t>
  </si>
  <si>
    <t>Janiana</t>
  </si>
  <si>
    <t>3º Ano - A</t>
  </si>
  <si>
    <t>Total de Alunos acima de 8 anos:</t>
  </si>
  <si>
    <t>Total de Alunos abaixo dos 8 anos:</t>
  </si>
  <si>
    <t>Total Abaixo de 8 Anos</t>
  </si>
  <si>
    <t>Total Acima de 8 Anos</t>
  </si>
  <si>
    <t>3º Ano - B</t>
  </si>
  <si>
    <t>Claudiana</t>
  </si>
  <si>
    <t>Total Abaixo de 9 Anos</t>
  </si>
  <si>
    <t>Total Acima de 9 Anos</t>
  </si>
  <si>
    <t>Total de Alunos acima de 9 anos:</t>
  </si>
  <si>
    <t>Total de Alunos abaixo dos 9 anos:</t>
  </si>
  <si>
    <t>4º Ano - A</t>
  </si>
  <si>
    <t>Eirele</t>
  </si>
  <si>
    <t>4º Ano - B</t>
  </si>
  <si>
    <t>Luniara</t>
  </si>
  <si>
    <t>5º Ano - A</t>
  </si>
  <si>
    <t>Vandaria</t>
  </si>
  <si>
    <t>Total de Alunos acima de 10 anos:</t>
  </si>
  <si>
    <t>Total de Alunos abaixo dos 10 anos:</t>
  </si>
  <si>
    <t>5º Ano - B</t>
  </si>
  <si>
    <t>Raniara</t>
  </si>
  <si>
    <t>1º Período - Único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</si>
</sst>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&quot;.&quot;0000&quot;.&quot;0000&quot;.&quot;0000"/>
    <numFmt numFmtId="165" formatCode="000&quot;.&quot;000&quot;.&quot;000&quot;-&quot;00"/>
    <numFmt numFmtId="166" formatCode="d/m/yyyy"/>
    <numFmt numFmtId="167" formatCode="&quot;(&quot;00&quot;)&quot;0&quot; &quot;0000&quot;-&quot;0000"/>
    <numFmt numFmtId="168" formatCode="0000"/>
  </numFmts>
  <fonts count="33">
    <font>
      <sz val="10"/>
      <color rgb="FF000000"/>
      <name val="Calibri"/>
      <charset val="134"/>
    </font>
    <font>
      <sz val="26"/>
      <color rgb="FF000000"/>
      <name val="Calibri"/>
      <charset val="134"/>
    </font>
    <font>
      <sz val="26"/>
      <color rgb="FFFF0000"/>
      <name val="Calibri"/>
      <charset val="134"/>
    </font>
    <font>
      <b/>
      <sz val="26"/>
      <color rgb="FF000000"/>
      <name val="Calibri"/>
      <charset val="134"/>
    </font>
    <font>
      <b/>
      <sz val="26"/>
      <color rgb="FFFF0000"/>
      <name val="Calibri"/>
      <charset val="134"/>
    </font>
    <font>
      <b/>
      <sz val="72"/>
      <color rgb="FF000000"/>
      <name val="Calibri"/>
      <charset val="134"/>
    </font>
    <font>
      <b/>
      <sz val="72"/>
      <color rgb="FFFF0000"/>
      <name val="Calibri"/>
      <charset val="134"/>
    </font>
    <font>
      <b/>
      <sz val="100"/>
      <color rgb="FF000000"/>
      <name val="Calibri"/>
      <charset val="134"/>
    </font>
    <font>
      <b/>
      <sz val="28"/>
      <color rgb="FFFF0000"/>
      <name val="Calibri"/>
      <charset val="134"/>
    </font>
    <font>
      <b/>
      <sz val="10"/>
      <color rgb="FF000000"/>
      <name val="Calibri"/>
      <charset val="134"/>
    </font>
    <font>
      <b/>
      <sz val="16"/>
      <color rgb="FF0070C0"/>
      <name val="Calibri"/>
      <charset val="134"/>
    </font>
    <font>
      <b/>
      <sz val="20"/>
      <color rgb="FF0070C0"/>
      <name val="Calibri"/>
      <charset val="134"/>
    </font>
    <font>
      <sz val="10"/>
      <color theme="9" tint="-0.499984740745262"/>
      <name val="Calibri"/>
      <charset val="134"/>
    </font>
    <font>
      <sz val="12"/>
      <color rgb="FF000000"/>
      <name val="Arial"/>
      <charset val="134"/>
    </font>
    <font>
      <b/>
      <sz val="12"/>
      <color rgb="FF000000"/>
      <name val="Arial"/>
      <charset val="134"/>
    </font>
    <font>
      <b/>
      <sz val="12"/>
      <color theme="4"/>
      <name val="Arial"/>
      <charset val="134"/>
    </font>
    <font>
      <sz val="10"/>
      <color rgb="FF000000"/>
      <name val="Calibri"/>
      <charset val="134"/>
    </font>
    <font>
      <sz val="12"/>
      <name val="Arial"/>
      <family val="2"/>
    </font>
    <font>
      <sz val="12"/>
      <color rgb="FF000000"/>
      <name val="Arial"/>
      <family val="2"/>
    </font>
    <font>
      <b/>
      <sz val="12"/>
      <color rgb="FF000000"/>
      <name val="Arial"/>
      <family val="2"/>
    </font>
    <font>
      <b/>
      <sz val="12"/>
      <color theme="0"/>
      <name val="Arial"/>
      <charset val="134"/>
    </font>
    <font>
      <sz val="12"/>
      <color theme="1"/>
      <name val="Arial"/>
      <charset val="134"/>
    </font>
    <font>
      <sz val="28"/>
      <color rgb="FF000000"/>
      <name val="Calibri"/>
      <family val="2"/>
    </font>
    <font>
      <b/>
      <sz val="16"/>
      <color rgb="FF000000"/>
      <name val="Calibri"/>
      <family val="2"/>
    </font>
    <font>
      <b/>
      <sz val="22"/>
      <color rgb="FF000000"/>
      <name val="Calibri"/>
      <family val="2"/>
    </font>
    <font>
      <sz val="8"/>
      <color rgb="FF000000"/>
      <name val="Arial"/>
      <family val="2"/>
    </font>
    <font>
      <b/>
      <sz val="12"/>
      <color theme="0"/>
      <name val="Arial"/>
      <family val="2"/>
    </font>
    <font>
      <sz val="12"/>
      <color theme="0"/>
      <name val="Arial"/>
      <family val="2"/>
    </font>
    <font>
      <sz val="12"/>
      <color rgb="FF000000"/>
      <name val="Arial"/>
      <family val="2"/>
      <charset val="134"/>
    </font>
    <font>
      <sz val="10"/>
      <name val="Calibri"/>
      <family val="2"/>
    </font>
    <font>
      <b/>
      <sz val="22"/>
      <color rgb="FFFF0000"/>
      <name val="Calibri"/>
      <family val="2"/>
    </font>
    <font>
      <b/>
      <sz val="12"/>
      <color theme="4"/>
      <name val="Arial"/>
    </font>
    <font>
      <sz val="12"/>
      <color rgb="FF000000"/>
      <name val="Arial"/>
    </font>
  </fonts>
  <fills count="1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8840296639912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89013336588644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 tint="-9.9978637043366805E-2"/>
        <bgColor indexed="64"/>
      </patternFill>
    </fill>
  </fills>
  <borders count="4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thin">
        <color auto="1"/>
      </right>
      <top style="thin">
        <color theme="4" tint="0.39997558519241921"/>
      </top>
      <bottom style="thin">
        <color auto="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medium">
        <color auto="1"/>
      </right>
      <top/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indexed="64"/>
      </bottom>
      <diagonal/>
    </border>
    <border>
      <left/>
      <right style="medium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/>
  </cellStyleXfs>
  <cellXfs count="227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2" borderId="0" xfId="0" applyFont="1" applyFill="1">
      <alignment vertical="center"/>
    </xf>
    <xf numFmtId="0" fontId="2" fillId="3" borderId="0" xfId="0" applyFont="1" applyFill="1">
      <alignment vertical="center"/>
    </xf>
    <xf numFmtId="0" fontId="3" fillId="2" borderId="0" xfId="0" applyFont="1" applyFill="1">
      <alignment vertical="center"/>
    </xf>
    <xf numFmtId="0" fontId="4" fillId="3" borderId="0" xfId="0" applyFont="1" applyFill="1">
      <alignment vertical="center"/>
    </xf>
    <xf numFmtId="0" fontId="5" fillId="4" borderId="0" xfId="0" applyFont="1" applyFill="1" applyAlignment="1" applyProtection="1">
      <alignment horizontal="center" vertical="center"/>
      <protection locked="0"/>
    </xf>
    <xf numFmtId="0" fontId="6" fillId="5" borderId="0" xfId="0" applyFont="1" applyFill="1" applyAlignment="1" applyProtection="1">
      <alignment horizontal="center" vertical="center"/>
      <protection locked="0"/>
    </xf>
    <xf numFmtId="0" fontId="7" fillId="2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0" fillId="4" borderId="1" xfId="0" applyFill="1" applyBorder="1">
      <alignment vertical="center"/>
    </xf>
    <xf numFmtId="0" fontId="9" fillId="6" borderId="4" xfId="0" applyFont="1" applyFill="1" applyBorder="1">
      <alignment vertical="center"/>
    </xf>
    <xf numFmtId="0" fontId="0" fillId="7" borderId="1" xfId="0" applyFill="1" applyBorder="1">
      <alignment vertical="center"/>
    </xf>
    <xf numFmtId="0" fontId="0" fillId="8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9" borderId="1" xfId="0" applyFill="1" applyBorder="1">
      <alignment vertical="center"/>
    </xf>
    <xf numFmtId="0" fontId="0" fillId="10" borderId="1" xfId="0" applyFill="1" applyBorder="1">
      <alignment vertical="center"/>
    </xf>
    <xf numFmtId="0" fontId="13" fillId="0" borderId="0" xfId="0" applyFont="1">
      <alignment vertical="center"/>
    </xf>
    <xf numFmtId="165" fontId="13" fillId="0" borderId="0" xfId="0" applyNumberFormat="1" applyFont="1">
      <alignment vertical="center"/>
    </xf>
    <xf numFmtId="164" fontId="13" fillId="0" borderId="0" xfId="0" applyNumberFormat="1" applyFont="1">
      <alignment vertical="center"/>
    </xf>
    <xf numFmtId="0" fontId="14" fillId="0" borderId="5" xfId="0" applyFont="1" applyBorder="1" applyAlignment="1">
      <alignment horizontal="center" vertical="center"/>
    </xf>
    <xf numFmtId="0" fontId="14" fillId="0" borderId="6" xfId="0" applyFont="1" applyBorder="1">
      <alignment vertical="center"/>
    </xf>
    <xf numFmtId="0" fontId="14" fillId="0" borderId="6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3" fillId="0" borderId="2" xfId="0" applyFont="1" applyBorder="1">
      <alignment vertical="center"/>
    </xf>
    <xf numFmtId="0" fontId="13" fillId="0" borderId="9" xfId="0" applyFont="1" applyBorder="1">
      <alignment vertical="center"/>
    </xf>
    <xf numFmtId="0" fontId="14" fillId="0" borderId="12" xfId="0" applyFont="1" applyBorder="1" applyAlignment="1">
      <alignment horizontal="center" vertical="center"/>
    </xf>
    <xf numFmtId="167" fontId="13" fillId="0" borderId="0" xfId="0" applyNumberFormat="1" applyFont="1">
      <alignment vertical="center"/>
    </xf>
    <xf numFmtId="9" fontId="17" fillId="11" borderId="11" xfId="2" applyFont="1" applyFill="1" applyBorder="1" applyAlignment="1">
      <alignment vertical="center"/>
    </xf>
    <xf numFmtId="9" fontId="17" fillId="13" borderId="11" xfId="2" applyFont="1" applyFill="1" applyBorder="1" applyAlignment="1">
      <alignment vertical="center"/>
    </xf>
    <xf numFmtId="9" fontId="17" fillId="13" borderId="2" xfId="2" applyFont="1" applyFill="1" applyBorder="1" applyAlignment="1">
      <alignment vertical="center"/>
    </xf>
    <xf numFmtId="0" fontId="17" fillId="11" borderId="4" xfId="0" applyFont="1" applyFill="1" applyBorder="1" applyAlignment="1">
      <alignment vertical="center" wrapText="1"/>
    </xf>
    <xf numFmtId="0" fontId="17" fillId="11" borderId="1" xfId="0" applyFont="1" applyFill="1" applyBorder="1" applyAlignment="1">
      <alignment vertical="center" wrapText="1"/>
    </xf>
    <xf numFmtId="0" fontId="17" fillId="11" borderId="11" xfId="0" applyFont="1" applyFill="1" applyBorder="1" applyAlignment="1">
      <alignment vertical="center" wrapText="1"/>
    </xf>
    <xf numFmtId="0" fontId="17" fillId="12" borderId="10" xfId="0" applyFont="1" applyFill="1" applyBorder="1" applyAlignment="1">
      <alignment vertical="center" wrapText="1"/>
    </xf>
    <xf numFmtId="0" fontId="17" fillId="12" borderId="1" xfId="0" applyFont="1" applyFill="1" applyBorder="1" applyAlignment="1">
      <alignment vertical="center" wrapText="1"/>
    </xf>
    <xf numFmtId="0" fontId="17" fillId="12" borderId="11" xfId="0" applyFont="1" applyFill="1" applyBorder="1" applyAlignment="1">
      <alignment vertical="center" wrapText="1"/>
    </xf>
    <xf numFmtId="0" fontId="17" fillId="11" borderId="10" xfId="0" applyFont="1" applyFill="1" applyBorder="1" applyAlignment="1">
      <alignment vertical="center" wrapText="1"/>
    </xf>
    <xf numFmtId="0" fontId="17" fillId="12" borderId="2" xfId="0" applyFont="1" applyFill="1" applyBorder="1" applyAlignment="1">
      <alignment vertical="center" wrapText="1"/>
    </xf>
    <xf numFmtId="0" fontId="17" fillId="12" borderId="10" xfId="0" applyFont="1" applyFill="1" applyBorder="1" applyProtection="1">
      <alignment vertical="center"/>
      <protection locked="0"/>
    </xf>
    <xf numFmtId="0" fontId="17" fillId="12" borderId="1" xfId="0" applyFont="1" applyFill="1" applyBorder="1" applyProtection="1">
      <alignment vertical="center"/>
      <protection locked="0"/>
    </xf>
    <xf numFmtId="0" fontId="17" fillId="11" borderId="10" xfId="0" applyFont="1" applyFill="1" applyBorder="1" applyProtection="1">
      <alignment vertical="center"/>
      <protection locked="0"/>
    </xf>
    <xf numFmtId="0" fontId="17" fillId="11" borderId="1" xfId="0" applyFont="1" applyFill="1" applyBorder="1" applyProtection="1">
      <alignment vertical="center"/>
      <protection locked="0"/>
    </xf>
    <xf numFmtId="0" fontId="17" fillId="11" borderId="4" xfId="0" applyFont="1" applyFill="1" applyBorder="1" applyProtection="1">
      <alignment vertical="center"/>
      <protection locked="0"/>
    </xf>
    <xf numFmtId="0" fontId="13" fillId="0" borderId="1" xfId="0" applyFont="1" applyBorder="1" applyProtection="1">
      <alignment vertical="center"/>
      <protection locked="0"/>
    </xf>
    <xf numFmtId="14" fontId="13" fillId="0" borderId="1" xfId="0" applyNumberFormat="1" applyFont="1" applyBorder="1" applyAlignment="1" applyProtection="1">
      <alignment horizontal="center" vertical="center"/>
      <protection locked="0"/>
    </xf>
    <xf numFmtId="165" fontId="13" fillId="0" borderId="1" xfId="0" applyNumberFormat="1" applyFont="1" applyBorder="1" applyProtection="1">
      <alignment vertical="center"/>
      <protection locked="0"/>
    </xf>
    <xf numFmtId="0" fontId="13" fillId="0" borderId="1" xfId="0" applyFont="1" applyBorder="1" applyAlignment="1" applyProtection="1">
      <alignment horizontal="center" vertical="center"/>
      <protection locked="0"/>
    </xf>
    <xf numFmtId="0" fontId="13" fillId="0" borderId="8" xfId="0" applyFont="1" applyBorder="1" applyProtection="1">
      <alignment vertical="center"/>
      <protection locked="0"/>
    </xf>
    <xf numFmtId="14" fontId="13" fillId="0" borderId="8" xfId="0" applyNumberFormat="1" applyFont="1" applyBorder="1" applyAlignment="1" applyProtection="1">
      <alignment horizontal="center" vertical="center"/>
      <protection locked="0"/>
    </xf>
    <xf numFmtId="0" fontId="13" fillId="0" borderId="8" xfId="0" applyFont="1" applyBorder="1" applyAlignment="1" applyProtection="1">
      <alignment horizontal="center" vertical="center"/>
      <protection locked="0"/>
    </xf>
    <xf numFmtId="164" fontId="13" fillId="0" borderId="1" xfId="0" applyNumberFormat="1" applyFont="1" applyBorder="1" applyAlignment="1" applyProtection="1">
      <alignment horizontal="right" vertical="center"/>
      <protection locked="0"/>
    </xf>
    <xf numFmtId="167" fontId="13" fillId="0" borderId="1" xfId="0" applyNumberFormat="1" applyFont="1" applyBorder="1" applyAlignment="1" applyProtection="1">
      <alignment horizontal="center" vertical="center"/>
      <protection locked="0"/>
    </xf>
    <xf numFmtId="166" fontId="13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164" fontId="13" fillId="0" borderId="8" xfId="0" applyNumberFormat="1" applyFont="1" applyBorder="1" applyAlignment="1" applyProtection="1">
      <alignment horizontal="right" vertical="center"/>
      <protection locked="0"/>
    </xf>
    <xf numFmtId="167" fontId="13" fillId="0" borderId="8" xfId="0" applyNumberFormat="1" applyFont="1" applyBorder="1" applyAlignment="1" applyProtection="1">
      <alignment horizontal="center" vertical="center"/>
      <protection locked="0"/>
    </xf>
    <xf numFmtId="0" fontId="20" fillId="15" borderId="19" xfId="0" applyFont="1" applyFill="1" applyBorder="1">
      <alignment vertical="center"/>
    </xf>
    <xf numFmtId="0" fontId="20" fillId="15" borderId="19" xfId="0" applyFont="1" applyFill="1" applyBorder="1" applyAlignment="1">
      <alignment horizontal="center" vertical="center"/>
    </xf>
    <xf numFmtId="0" fontId="20" fillId="15" borderId="19" xfId="0" applyFont="1" applyFill="1" applyBorder="1" applyAlignment="1">
      <alignment horizontal="center" vertical="center" wrapText="1"/>
    </xf>
    <xf numFmtId="0" fontId="21" fillId="16" borderId="1" xfId="0" applyFont="1" applyFill="1" applyBorder="1">
      <alignment vertical="center"/>
    </xf>
    <xf numFmtId="14" fontId="21" fillId="16" borderId="1" xfId="0" applyNumberFormat="1" applyFont="1" applyFill="1" applyBorder="1" applyAlignment="1">
      <alignment horizontal="center" vertical="center"/>
    </xf>
    <xf numFmtId="0" fontId="21" fillId="16" borderId="1" xfId="0" applyFont="1" applyFill="1" applyBorder="1" applyAlignment="1">
      <alignment horizontal="center" vertical="center"/>
    </xf>
    <xf numFmtId="0" fontId="20" fillId="15" borderId="21" xfId="0" applyFont="1" applyFill="1" applyBorder="1" applyAlignment="1">
      <alignment horizontal="center" vertical="center"/>
    </xf>
    <xf numFmtId="0" fontId="13" fillId="14" borderId="0" xfId="0" applyFont="1" applyFill="1">
      <alignment vertical="center"/>
    </xf>
    <xf numFmtId="0" fontId="18" fillId="14" borderId="0" xfId="0" applyFont="1" applyFill="1" applyAlignment="1">
      <alignment vertical="center" wrapText="1"/>
    </xf>
    <xf numFmtId="0" fontId="18" fillId="0" borderId="0" xfId="0" applyFont="1">
      <alignment vertical="center"/>
    </xf>
    <xf numFmtId="0" fontId="26" fillId="0" borderId="0" xfId="0" applyFont="1" applyAlignment="1">
      <alignment horizontal="center" vertical="center"/>
    </xf>
    <xf numFmtId="0" fontId="27" fillId="0" borderId="0" xfId="0" applyFont="1">
      <alignment vertical="center"/>
    </xf>
    <xf numFmtId="0" fontId="27" fillId="0" borderId="0" xfId="0" applyFont="1" applyAlignment="1">
      <alignment horizontal="distributed" vertical="center"/>
    </xf>
    <xf numFmtId="0" fontId="27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168" fontId="21" fillId="16" borderId="4" xfId="0" applyNumberFormat="1" applyFont="1" applyFill="1" applyBorder="1" applyProtection="1">
      <alignment vertical="center"/>
      <protection locked="0"/>
    </xf>
    <xf numFmtId="0" fontId="19" fillId="0" borderId="29" xfId="0" applyFont="1" applyBorder="1">
      <alignment vertical="center"/>
    </xf>
    <xf numFmtId="0" fontId="19" fillId="0" borderId="10" xfId="0" applyFont="1" applyBorder="1">
      <alignment vertical="center"/>
    </xf>
    <xf numFmtId="0" fontId="19" fillId="0" borderId="30" xfId="0" applyFont="1" applyBorder="1">
      <alignment vertical="center"/>
    </xf>
    <xf numFmtId="0" fontId="29" fillId="0" borderId="0" xfId="0" applyFont="1">
      <alignment vertical="center"/>
    </xf>
    <xf numFmtId="0" fontId="29" fillId="0" borderId="0" xfId="0" applyFont="1" applyAlignment="1">
      <alignment horizontal="center" vertical="center"/>
    </xf>
    <xf numFmtId="168" fontId="25" fillId="0" borderId="34" xfId="0" applyNumberFormat="1" applyFont="1" applyBorder="1" applyAlignment="1">
      <alignment horizontal="center" vertical="center"/>
    </xf>
    <xf numFmtId="0" fontId="19" fillId="0" borderId="33" xfId="0" applyFont="1" applyBorder="1">
      <alignment vertical="center"/>
    </xf>
    <xf numFmtId="168" fontId="25" fillId="0" borderId="26" xfId="0" applyNumberFormat="1" applyFont="1" applyBorder="1" applyAlignment="1">
      <alignment horizontal="center" vertical="center"/>
    </xf>
    <xf numFmtId="168" fontId="13" fillId="0" borderId="4" xfId="0" applyNumberFormat="1" applyFont="1" applyBorder="1" applyProtection="1">
      <alignment vertical="center"/>
      <protection locked="0"/>
    </xf>
    <xf numFmtId="168" fontId="15" fillId="0" borderId="4" xfId="0" applyNumberFormat="1" applyFont="1" applyBorder="1" applyProtection="1">
      <alignment vertical="center"/>
      <protection locked="0"/>
    </xf>
    <xf numFmtId="168" fontId="15" fillId="0" borderId="7" xfId="0" applyNumberFormat="1" applyFont="1" applyBorder="1" applyProtection="1">
      <alignment vertical="center"/>
      <protection locked="0"/>
    </xf>
    <xf numFmtId="0" fontId="24" fillId="0" borderId="0" xfId="0" applyFont="1">
      <alignment vertical="center"/>
    </xf>
    <xf numFmtId="168" fontId="25" fillId="0" borderId="37" xfId="0" applyNumberFormat="1" applyFont="1" applyBorder="1" applyAlignment="1">
      <alignment horizontal="center" vertical="center"/>
    </xf>
    <xf numFmtId="168" fontId="25" fillId="0" borderId="38" xfId="0" applyNumberFormat="1" applyFont="1" applyBorder="1" applyAlignment="1">
      <alignment horizontal="center" vertical="center"/>
    </xf>
    <xf numFmtId="168" fontId="13" fillId="14" borderId="0" xfId="0" applyNumberFormat="1" applyFont="1" applyFill="1">
      <alignment vertical="center"/>
    </xf>
    <xf numFmtId="0" fontId="23" fillId="0" borderId="0" xfId="0" applyFont="1" applyAlignment="1">
      <alignment horizontal="center" vertical="center"/>
    </xf>
    <xf numFmtId="0" fontId="23" fillId="13" borderId="0" xfId="0" applyFont="1" applyFill="1" applyAlignment="1" applyProtection="1">
      <alignment horizontal="center" vertical="center"/>
      <protection locked="0"/>
    </xf>
    <xf numFmtId="0" fontId="24" fillId="0" borderId="0" xfId="0" applyFont="1" applyAlignment="1">
      <alignment horizontal="center" vertical="center"/>
    </xf>
    <xf numFmtId="0" fontId="24" fillId="13" borderId="0" xfId="0" applyFont="1" applyFill="1" applyAlignment="1" applyProtection="1">
      <alignment horizontal="center" vertical="center"/>
      <protection locked="0"/>
    </xf>
    <xf numFmtId="0" fontId="13" fillId="0" borderId="24" xfId="0" applyFont="1" applyBorder="1" applyAlignment="1">
      <alignment horizontal="left" vertical="center"/>
    </xf>
    <xf numFmtId="0" fontId="13" fillId="0" borderId="25" xfId="0" applyFont="1" applyBorder="1" applyAlignment="1">
      <alignment horizontal="left" vertical="center"/>
    </xf>
    <xf numFmtId="0" fontId="28" fillId="17" borderId="1" xfId="0" applyFont="1" applyFill="1" applyBorder="1" applyAlignment="1" applyProtection="1">
      <alignment horizontal="left" vertical="center"/>
      <protection locked="0"/>
    </xf>
    <xf numFmtId="0" fontId="13" fillId="17" borderId="1" xfId="0" applyFont="1" applyFill="1" applyBorder="1" applyAlignment="1" applyProtection="1">
      <alignment horizontal="left" vertical="center"/>
      <protection locked="0"/>
    </xf>
    <xf numFmtId="0" fontId="13" fillId="17" borderId="11" xfId="0" applyFont="1" applyFill="1" applyBorder="1" applyAlignment="1" applyProtection="1">
      <alignment horizontal="left" vertical="center"/>
      <protection locked="0"/>
    </xf>
    <xf numFmtId="0" fontId="13" fillId="0" borderId="27" xfId="0" applyFont="1" applyBorder="1" applyAlignment="1">
      <alignment horizontal="left" vertical="center"/>
    </xf>
    <xf numFmtId="0" fontId="13" fillId="0" borderId="28" xfId="0" applyFont="1" applyBorder="1" applyAlignment="1">
      <alignment horizontal="left" vertical="center"/>
    </xf>
    <xf numFmtId="0" fontId="19" fillId="0" borderId="10" xfId="0" applyFont="1" applyBorder="1" applyAlignment="1">
      <alignment horizontal="left" vertical="center"/>
    </xf>
    <xf numFmtId="0" fontId="19" fillId="0" borderId="1" xfId="0" applyFont="1" applyBorder="1" applyAlignment="1">
      <alignment horizontal="left" vertical="center"/>
    </xf>
    <xf numFmtId="0" fontId="25" fillId="0" borderId="10" xfId="0" applyFont="1" applyBorder="1" applyAlignment="1">
      <alignment horizontal="left" vertical="center"/>
    </xf>
    <xf numFmtId="0" fontId="25" fillId="0" borderId="1" xfId="0" applyFont="1" applyBorder="1" applyAlignment="1">
      <alignment horizontal="left" vertical="center"/>
    </xf>
    <xf numFmtId="0" fontId="25" fillId="0" borderId="11" xfId="0" applyFont="1" applyBorder="1" applyAlignment="1">
      <alignment horizontal="left" vertical="center"/>
    </xf>
    <xf numFmtId="0" fontId="25" fillId="0" borderId="10" xfId="0" applyFont="1" applyBorder="1" applyAlignment="1">
      <alignment horizontal="center" vertical="center"/>
    </xf>
    <xf numFmtId="0" fontId="25" fillId="0" borderId="11" xfId="0" applyFont="1" applyBorder="1" applyAlignment="1">
      <alignment horizontal="center" vertical="center"/>
    </xf>
    <xf numFmtId="14" fontId="25" fillId="0" borderId="10" xfId="0" applyNumberFormat="1" applyFont="1" applyBorder="1" applyAlignment="1">
      <alignment horizontal="center" vertical="center"/>
    </xf>
    <xf numFmtId="0" fontId="19" fillId="0" borderId="29" xfId="0" applyFont="1" applyBorder="1" applyAlignment="1">
      <alignment horizontal="center" vertical="center"/>
    </xf>
    <xf numFmtId="0" fontId="19" fillId="0" borderId="24" xfId="0" applyFont="1" applyBorder="1" applyAlignment="1">
      <alignment horizontal="center" vertical="center"/>
    </xf>
    <xf numFmtId="0" fontId="19" fillId="0" borderId="25" xfId="0" applyFont="1" applyBorder="1" applyAlignment="1">
      <alignment horizontal="center" vertical="center"/>
    </xf>
    <xf numFmtId="0" fontId="19" fillId="0" borderId="30" xfId="0" applyFont="1" applyBorder="1" applyAlignment="1">
      <alignment horizontal="center" vertical="center"/>
    </xf>
    <xf numFmtId="0" fontId="19" fillId="0" borderId="27" xfId="0" applyFont="1" applyBorder="1" applyAlignment="1">
      <alignment horizontal="center" vertical="center"/>
    </xf>
    <xf numFmtId="0" fontId="19" fillId="0" borderId="28" xfId="0" applyFont="1" applyBorder="1" applyAlignment="1">
      <alignment horizontal="center" vertical="center"/>
    </xf>
    <xf numFmtId="0" fontId="25" fillId="0" borderId="30" xfId="0" applyFont="1" applyBorder="1" applyAlignment="1">
      <alignment horizontal="left" vertical="center"/>
    </xf>
    <xf numFmtId="0" fontId="25" fillId="0" borderId="27" xfId="0" applyFont="1" applyBorder="1" applyAlignment="1">
      <alignment horizontal="left" vertical="center"/>
    </xf>
    <xf numFmtId="0" fontId="25" fillId="0" borderId="28" xfId="0" applyFont="1" applyBorder="1" applyAlignment="1">
      <alignment horizontal="left" vertical="center"/>
    </xf>
    <xf numFmtId="0" fontId="25" fillId="0" borderId="30" xfId="0" applyFont="1" applyBorder="1" applyAlignment="1">
      <alignment horizontal="center" vertical="center"/>
    </xf>
    <xf numFmtId="0" fontId="25" fillId="0" borderId="28" xfId="0" applyFont="1" applyBorder="1" applyAlignment="1">
      <alignment horizontal="center" vertical="center"/>
    </xf>
    <xf numFmtId="14" fontId="25" fillId="0" borderId="30" xfId="0" applyNumberFormat="1" applyFont="1" applyBorder="1" applyAlignment="1">
      <alignment horizontal="center" vertical="center"/>
    </xf>
    <xf numFmtId="0" fontId="18" fillId="0" borderId="0" xfId="0" applyFont="1" applyAlignment="1">
      <alignment horizontal="left" vertical="center"/>
    </xf>
    <xf numFmtId="0" fontId="19" fillId="0" borderId="0" xfId="0" applyFont="1" applyAlignment="1">
      <alignment horizontal="center" vertical="center"/>
    </xf>
    <xf numFmtId="14" fontId="13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6" fillId="0" borderId="0" xfId="0" applyFont="1" applyAlignment="1">
      <alignment horizontal="right" vertical="center"/>
    </xf>
    <xf numFmtId="0" fontId="22" fillId="0" borderId="0" xfId="0" applyFont="1" applyAlignment="1">
      <alignment horizontal="center" vertical="center"/>
    </xf>
    <xf numFmtId="0" fontId="22" fillId="0" borderId="20" xfId="0" applyFont="1" applyBorder="1" applyAlignment="1">
      <alignment horizontal="center" vertical="center"/>
    </xf>
    <xf numFmtId="0" fontId="22" fillId="0" borderId="22" xfId="0" applyFont="1" applyBorder="1" applyAlignment="1">
      <alignment horizontal="center" vertical="center"/>
    </xf>
    <xf numFmtId="0" fontId="22" fillId="0" borderId="23" xfId="0" applyFont="1" applyBorder="1" applyAlignment="1">
      <alignment horizontal="center" vertical="center"/>
    </xf>
    <xf numFmtId="0" fontId="18" fillId="9" borderId="16" xfId="0" applyFont="1" applyFill="1" applyBorder="1" applyAlignment="1">
      <alignment horizontal="center" vertical="center"/>
    </xf>
    <xf numFmtId="0" fontId="13" fillId="9" borderId="17" xfId="0" applyFont="1" applyFill="1" applyBorder="1" applyAlignment="1">
      <alignment horizontal="center" vertical="center"/>
    </xf>
    <xf numFmtId="0" fontId="13" fillId="9" borderId="18" xfId="0" applyFont="1" applyFill="1" applyBorder="1" applyAlignment="1">
      <alignment horizontal="center" vertical="center"/>
    </xf>
    <xf numFmtId="0" fontId="19" fillId="14" borderId="16" xfId="0" applyFont="1" applyFill="1" applyBorder="1" applyAlignment="1">
      <alignment horizontal="center" vertical="center"/>
    </xf>
    <xf numFmtId="0" fontId="19" fillId="14" borderId="17" xfId="0" applyFont="1" applyFill="1" applyBorder="1" applyAlignment="1">
      <alignment horizontal="center" vertical="center"/>
    </xf>
    <xf numFmtId="0" fontId="19" fillId="14" borderId="18" xfId="0" applyFont="1" applyFill="1" applyBorder="1" applyAlignment="1">
      <alignment horizontal="center" vertical="center"/>
    </xf>
    <xf numFmtId="0" fontId="13" fillId="11" borderId="14" xfId="0" applyFont="1" applyFill="1" applyBorder="1" applyAlignment="1">
      <alignment horizontal="center" vertical="center"/>
    </xf>
    <xf numFmtId="0" fontId="13" fillId="11" borderId="6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8" fillId="11" borderId="14" xfId="0" applyFont="1" applyFill="1" applyBorder="1" applyAlignment="1">
      <alignment horizontal="center" vertical="center"/>
    </xf>
    <xf numFmtId="0" fontId="13" fillId="12" borderId="14" xfId="0" applyFont="1" applyFill="1" applyBorder="1" applyAlignment="1">
      <alignment horizontal="center" vertical="center"/>
    </xf>
    <xf numFmtId="0" fontId="13" fillId="12" borderId="6" xfId="0" applyFont="1" applyFill="1" applyBorder="1" applyAlignment="1">
      <alignment horizontal="center" vertical="center"/>
    </xf>
    <xf numFmtId="0" fontId="13" fillId="12" borderId="15" xfId="0" applyFont="1" applyFill="1" applyBorder="1" applyAlignment="1">
      <alignment horizontal="center" vertical="center"/>
    </xf>
    <xf numFmtId="0" fontId="18" fillId="12" borderId="14" xfId="0" applyFont="1" applyFill="1" applyBorder="1" applyAlignment="1">
      <alignment horizontal="center" vertical="center"/>
    </xf>
    <xf numFmtId="0" fontId="25" fillId="0" borderId="35" xfId="0" applyFont="1" applyBorder="1" applyAlignment="1">
      <alignment horizontal="left" vertical="center"/>
    </xf>
    <xf numFmtId="0" fontId="25" fillId="0" borderId="36" xfId="0" applyFont="1" applyBorder="1" applyAlignment="1">
      <alignment horizontal="left" vertical="center"/>
    </xf>
    <xf numFmtId="0" fontId="25" fillId="0" borderId="31" xfId="0" applyFont="1" applyBorder="1" applyAlignment="1">
      <alignment horizontal="left" vertical="center"/>
    </xf>
    <xf numFmtId="0" fontId="25" fillId="0" borderId="32" xfId="0" applyFont="1" applyBorder="1" applyAlignment="1">
      <alignment horizontal="center" vertical="center"/>
    </xf>
    <xf numFmtId="0" fontId="25" fillId="0" borderId="13" xfId="0" applyFont="1" applyBorder="1" applyAlignment="1">
      <alignment horizontal="center" vertical="center"/>
    </xf>
    <xf numFmtId="14" fontId="25" fillId="0" borderId="35" xfId="0" applyNumberFormat="1" applyFont="1" applyBorder="1" applyAlignment="1">
      <alignment horizontal="center" vertical="center"/>
    </xf>
    <xf numFmtId="0" fontId="25" fillId="0" borderId="31" xfId="0" applyFont="1" applyBorder="1" applyAlignment="1">
      <alignment horizontal="center" vertical="center"/>
    </xf>
    <xf numFmtId="0" fontId="25" fillId="0" borderId="14" xfId="0" applyFont="1" applyBorder="1" applyAlignment="1">
      <alignment horizontal="left" vertical="center"/>
    </xf>
    <xf numFmtId="0" fontId="25" fillId="0" borderId="6" xfId="0" applyFont="1" applyBorder="1" applyAlignment="1">
      <alignment horizontal="left" vertical="center"/>
    </xf>
    <xf numFmtId="0" fontId="25" fillId="0" borderId="15" xfId="0" applyFont="1" applyBorder="1" applyAlignment="1">
      <alignment horizontal="left" vertical="center"/>
    </xf>
    <xf numFmtId="0" fontId="25" fillId="0" borderId="5" xfId="0" applyFont="1" applyBorder="1" applyAlignment="1">
      <alignment horizontal="center" vertical="center"/>
    </xf>
    <xf numFmtId="0" fontId="25" fillId="0" borderId="12" xfId="0" applyFont="1" applyBorder="1" applyAlignment="1">
      <alignment horizontal="center" vertical="center"/>
    </xf>
    <xf numFmtId="14" fontId="25" fillId="0" borderId="14" xfId="0" applyNumberFormat="1" applyFont="1" applyBorder="1" applyAlignment="1">
      <alignment horizontal="center" vertical="center"/>
    </xf>
    <xf numFmtId="0" fontId="25" fillId="0" borderId="15" xfId="0" applyFont="1" applyBorder="1" applyAlignment="1">
      <alignment horizontal="center" vertical="center"/>
    </xf>
    <xf numFmtId="0" fontId="18" fillId="17" borderId="1" xfId="0" applyFont="1" applyFill="1" applyBorder="1" applyAlignment="1" applyProtection="1">
      <alignment horizontal="left" vertical="center"/>
      <protection locked="0"/>
    </xf>
    <xf numFmtId="14" fontId="25" fillId="0" borderId="41" xfId="0" applyNumberFormat="1" applyFont="1" applyBorder="1" applyAlignment="1">
      <alignment horizontal="center" vertical="center"/>
    </xf>
    <xf numFmtId="14" fontId="25" fillId="0" borderId="42" xfId="0" applyNumberFormat="1" applyFont="1" applyBorder="1" applyAlignment="1">
      <alignment horizontal="center" vertical="center"/>
    </xf>
    <xf numFmtId="14" fontId="25" fillId="0" borderId="39" xfId="0" applyNumberFormat="1" applyFont="1" applyBorder="1" applyAlignment="1">
      <alignment horizontal="center" vertical="center"/>
    </xf>
    <xf numFmtId="14" fontId="25" fillId="0" borderId="40" xfId="0" applyNumberFormat="1" applyFont="1" applyBorder="1" applyAlignment="1">
      <alignment horizontal="center" vertical="center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10" fillId="4" borderId="4" xfId="0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11" fillId="4" borderId="1" xfId="0" applyFont="1" applyFill="1" applyBorder="1" applyAlignment="1">
      <alignment horizontal="center" vertical="center"/>
    </xf>
    <xf numFmtId="0" fontId="12" fillId="3" borderId="4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68" fontId="31" fillId="0" borderId="7" xfId="0" applyNumberFormat="1" applyFont="1" applyBorder="1" applyProtection="1">
      <alignment vertical="center"/>
      <protection locked="0"/>
    </xf>
    <xf numFmtId="0" fontId="32" fillId="0" borderId="8" xfId="0" applyFont="1" applyBorder="1" applyProtection="1">
      <alignment vertical="center"/>
      <protection locked="0"/>
    </xf>
    <xf numFmtId="14" fontId="32" fillId="0" borderId="8" xfId="0" applyNumberFormat="1" applyFont="1" applyBorder="1" applyAlignment="1" applyProtection="1">
      <alignment horizontal="center" vertical="center"/>
      <protection locked="0"/>
    </xf>
    <xf numFmtId="165" fontId="32" fillId="0" borderId="8" xfId="0" applyNumberFormat="1" applyFont="1" applyBorder="1" applyProtection="1">
      <alignment vertical="center"/>
      <protection locked="0"/>
    </xf>
    <xf numFmtId="164" fontId="32" fillId="0" borderId="8" xfId="0" applyNumberFormat="1" applyFont="1" applyBorder="1" applyAlignment="1" applyProtection="1">
      <alignment horizontal="right" vertical="center"/>
      <protection locked="0"/>
    </xf>
    <xf numFmtId="167" fontId="32" fillId="0" borderId="8" xfId="0" applyNumberFormat="1" applyFont="1" applyBorder="1" applyAlignment="1" applyProtection="1">
      <alignment horizontal="center" vertical="center"/>
      <protection locked="0"/>
    </xf>
    <xf numFmtId="0" fontId="32" fillId="0" borderId="8" xfId="0" applyFont="1" applyBorder="1" applyAlignment="1" applyProtection="1">
      <alignment horizontal="center" vertical="center"/>
      <protection locked="0"/>
    </xf>
    <xf numFmtId="0" fontId="32" fillId="0" borderId="9" xfId="0" applyNumberFormat="1" applyFont="1" applyBorder="1">
      <alignment vertical="center"/>
    </xf>
    <xf numFmtId="0" fontId="0" fillId="0" borderId="0" xfId="0" applyFont="1">
      <alignment vertical="center"/>
    </xf>
    <xf numFmtId="168" fontId="15" fillId="16" borderId="7" xfId="0" applyNumberFormat="1" applyFont="1" applyFill="1" applyBorder="1" applyProtection="1">
      <alignment vertical="center"/>
      <protection locked="0"/>
    </xf>
    <xf numFmtId="0" fontId="21" fillId="16" borderId="8" xfId="0" applyNumberFormat="1" applyFont="1" applyFill="1" applyBorder="1">
      <alignment vertical="center"/>
    </xf>
    <xf numFmtId="14" fontId="21" fillId="16" borderId="8" xfId="0" applyNumberFormat="1" applyFont="1" applyFill="1" applyBorder="1" applyAlignment="1">
      <alignment horizontal="center" vertical="center"/>
    </xf>
    <xf numFmtId="0" fontId="21" fillId="16" borderId="8" xfId="0" applyNumberFormat="1" applyFont="1" applyFill="1" applyBorder="1" applyAlignment="1">
      <alignment horizontal="center" vertical="center"/>
    </xf>
    <xf numFmtId="0" fontId="17" fillId="11" borderId="7" xfId="0" applyFont="1" applyFill="1" applyBorder="1" applyProtection="1">
      <alignment vertical="center"/>
      <protection locked="0"/>
    </xf>
    <xf numFmtId="0" fontId="17" fillId="11" borderId="8" xfId="0" applyFont="1" applyFill="1" applyBorder="1" applyProtection="1">
      <alignment vertical="center"/>
      <protection locked="0"/>
    </xf>
    <xf numFmtId="9" fontId="17" fillId="11" borderId="43" xfId="2" applyFont="1" applyFill="1" applyBorder="1" applyAlignment="1">
      <alignment vertical="center"/>
    </xf>
    <xf numFmtId="0" fontId="17" fillId="12" borderId="44" xfId="0" applyFont="1" applyFill="1" applyBorder="1" applyProtection="1">
      <alignment vertical="center"/>
      <protection locked="0"/>
    </xf>
    <xf numFmtId="0" fontId="17" fillId="12" borderId="8" xfId="0" applyFont="1" applyFill="1" applyBorder="1" applyProtection="1">
      <alignment vertical="center"/>
      <protection locked="0"/>
    </xf>
    <xf numFmtId="9" fontId="17" fillId="13" borderId="9" xfId="2" applyFont="1" applyFill="1" applyBorder="1" applyAlignment="1">
      <alignment vertical="center"/>
    </xf>
    <xf numFmtId="168" fontId="13" fillId="14" borderId="0" xfId="0" applyNumberFormat="1" applyFont="1" applyFill="1" applyBorder="1">
      <alignment vertical="center"/>
    </xf>
    <xf numFmtId="0" fontId="13" fillId="11" borderId="29" xfId="0" applyFont="1" applyFill="1" applyBorder="1" applyAlignment="1">
      <alignment horizontal="center" vertical="center"/>
    </xf>
    <xf numFmtId="0" fontId="13" fillId="11" borderId="24" xfId="0" applyFont="1" applyFill="1" applyBorder="1" applyAlignment="1">
      <alignment horizontal="center" vertical="center"/>
    </xf>
    <xf numFmtId="0" fontId="13" fillId="11" borderId="25" xfId="0" applyFont="1" applyFill="1" applyBorder="1" applyAlignment="1">
      <alignment horizontal="center" vertical="center"/>
    </xf>
    <xf numFmtId="0" fontId="17" fillId="11" borderId="44" xfId="0" applyFont="1" applyFill="1" applyBorder="1" applyProtection="1">
      <alignment vertical="center"/>
      <protection locked="0"/>
    </xf>
    <xf numFmtId="0" fontId="17" fillId="11" borderId="30" xfId="0" applyFont="1" applyFill="1" applyBorder="1" applyProtection="1">
      <alignment vertical="center"/>
      <protection locked="0"/>
    </xf>
    <xf numFmtId="0" fontId="17" fillId="11" borderId="27" xfId="0" applyFont="1" applyFill="1" applyBorder="1" applyProtection="1">
      <alignment vertical="center"/>
      <protection locked="0"/>
    </xf>
    <xf numFmtId="9" fontId="17" fillId="11" borderId="28" xfId="2" applyFont="1" applyFill="1" applyBorder="1" applyAlignment="1">
      <alignment vertical="center"/>
    </xf>
    <xf numFmtId="0" fontId="18" fillId="11" borderId="29" xfId="0" applyFont="1" applyFill="1" applyBorder="1" applyAlignment="1">
      <alignment horizontal="center" vertical="center"/>
    </xf>
    <xf numFmtId="0" fontId="13" fillId="12" borderId="29" xfId="0" applyFont="1" applyFill="1" applyBorder="1" applyAlignment="1">
      <alignment horizontal="center" vertical="center"/>
    </xf>
    <xf numFmtId="0" fontId="13" fillId="12" borderId="24" xfId="0" applyFont="1" applyFill="1" applyBorder="1" applyAlignment="1">
      <alignment horizontal="center" vertical="center"/>
    </xf>
    <xf numFmtId="0" fontId="13" fillId="12" borderId="25" xfId="0" applyFont="1" applyFill="1" applyBorder="1" applyAlignment="1">
      <alignment horizontal="center" vertical="center"/>
    </xf>
    <xf numFmtId="9" fontId="17" fillId="13" borderId="43" xfId="2" applyFont="1" applyFill="1" applyBorder="1" applyAlignment="1">
      <alignment vertical="center"/>
    </xf>
    <xf numFmtId="0" fontId="17" fillId="12" borderId="30" xfId="0" applyFont="1" applyFill="1" applyBorder="1" applyProtection="1">
      <alignment vertical="center"/>
      <protection locked="0"/>
    </xf>
    <xf numFmtId="0" fontId="17" fillId="12" borderId="27" xfId="0" applyFont="1" applyFill="1" applyBorder="1" applyProtection="1">
      <alignment vertical="center"/>
      <protection locked="0"/>
    </xf>
    <xf numFmtId="9" fontId="17" fillId="13" borderId="28" xfId="2" applyFont="1" applyFill="1" applyBorder="1" applyAlignment="1">
      <alignment vertical="center"/>
    </xf>
    <xf numFmtId="0" fontId="18" fillId="12" borderId="29" xfId="0" applyFont="1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0" fontId="0" fillId="9" borderId="4" xfId="0" applyFill="1" applyBorder="1" applyAlignment="1">
      <alignment horizontal="center" vertical="center"/>
    </xf>
    <xf numFmtId="0" fontId="0" fillId="10" borderId="2" xfId="0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0" fontId="9" fillId="6" borderId="2" xfId="0" applyFont="1" applyFill="1" applyBorder="1" applyAlignment="1">
      <alignment horizontal="left" vertical="center"/>
    </xf>
    <xf numFmtId="0" fontId="9" fillId="6" borderId="3" xfId="0" applyFont="1" applyFill="1" applyBorder="1" applyAlignment="1">
      <alignment horizontal="left" vertical="center"/>
    </xf>
    <xf numFmtId="0" fontId="0" fillId="4" borderId="2" xfId="0" applyFill="1" applyBorder="1">
      <alignment vertical="center"/>
    </xf>
    <xf numFmtId="0" fontId="0" fillId="0" borderId="0" xfId="0" applyFill="1" applyBorder="1">
      <alignment vertical="center"/>
    </xf>
    <xf numFmtId="0" fontId="9" fillId="0" borderId="0" xfId="0" applyFont="1" applyFill="1" applyBorder="1">
      <alignment vertical="center"/>
    </xf>
  </cellXfs>
  <cellStyles count="3">
    <cellStyle name="Normal" xfId="0" builtinId="0"/>
    <cellStyle name="Normal 2" xfId="1" xr:uid="{00000000-0005-0000-0000-000001000000}"/>
    <cellStyle name="Porcentagem" xfId="2" builtinId="5"/>
  </cellStyles>
  <dxfs count="72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19" formatCode="dd/mm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4"/>
        <name val="Arial"/>
        <charset val="134"/>
        <scheme val="none"/>
      </font>
      <numFmt numFmtId="168" formatCode="00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left style="thin">
          <color rgb="FF9BC2E6"/>
        </left>
      </border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 val="0"/>
        <i val="0"/>
        <strike val="0"/>
        <u val="none"/>
        <sz val="12"/>
        <color rgb="FF000000"/>
        <name val="Arial"/>
        <scheme val="none"/>
      </font>
      <numFmt numFmtId="0" formatCode="General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2"/>
        <color rgb="FF000000"/>
        <name val="Arial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7" formatCode="&quot;(&quot;00&quot;)&quot;0&quot; &quot;0000&quot;-&quot;000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7" formatCode="&quot;(&quot;00&quot;)&quot;0&quot; &quot;0000&quot;-&quot;000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4" formatCode="000&quot;.&quot;0000&quot;.&quot;0000&quot;.&quot;0000"/>
      <alignment horizontal="right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5" formatCode="000&quot;.&quot;000&quot;.&quot;000&quot;-&quot;0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i val="0"/>
        <strike val="0"/>
        <u val="none"/>
        <sz val="12"/>
        <color theme="4"/>
        <name val="Arial"/>
        <scheme val="none"/>
      </font>
      <numFmt numFmtId="168" formatCode="0000"/>
      <border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bgColor rgb="FFFF0000"/>
        </patternFill>
      </fill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  <color rgb="FFC0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19" formatCode="dd/mm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4"/>
        <name val="Arial"/>
        <charset val="134"/>
        <scheme val="none"/>
      </font>
      <numFmt numFmtId="168" formatCode="00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left style="thin">
          <color rgb="FF9BC2E6"/>
        </left>
      </border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 val="0"/>
        <i val="0"/>
        <strike val="0"/>
        <u val="none"/>
        <sz val="12"/>
        <color rgb="FF000000"/>
        <name val="Arial"/>
        <scheme val="none"/>
      </font>
      <numFmt numFmtId="0" formatCode="General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2"/>
        <color rgb="FF000000"/>
        <name val="Arial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7" formatCode="&quot;(&quot;00&quot;)&quot;0&quot; &quot;0000&quot;-&quot;000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7" formatCode="&quot;(&quot;00&quot;)&quot;0&quot; &quot;0000&quot;-&quot;000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4" formatCode="000&quot;.&quot;0000&quot;.&quot;0000&quot;.&quot;0000"/>
      <alignment horizontal="right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5" formatCode="000&quot;.&quot;000&quot;.&quot;000&quot;-&quot;0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i val="0"/>
        <strike val="0"/>
        <u val="none"/>
        <sz val="12"/>
        <color theme="4"/>
        <name val="Arial"/>
        <scheme val="none"/>
      </font>
      <numFmt numFmtId="168" formatCode="0000"/>
      <border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bgColor rgb="FFFF0000"/>
        </patternFill>
      </fill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  <color rgb="FFC0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19" formatCode="dd/mm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4"/>
        <name val="Arial"/>
        <charset val="134"/>
        <scheme val="none"/>
      </font>
      <numFmt numFmtId="168" formatCode="00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left style="thin">
          <color rgb="FF9BC2E6"/>
        </left>
      </border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 val="0"/>
        <i val="0"/>
        <strike val="0"/>
        <u val="none"/>
        <sz val="12"/>
        <color rgb="FF000000"/>
        <name val="Arial"/>
        <scheme val="none"/>
      </font>
      <numFmt numFmtId="0" formatCode="General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2"/>
        <color rgb="FF000000"/>
        <name val="Arial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7" formatCode="&quot;(&quot;00&quot;)&quot;0&quot; &quot;0000&quot;-&quot;000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7" formatCode="&quot;(&quot;00&quot;)&quot;0&quot; &quot;0000&quot;-&quot;000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4" formatCode="000&quot;.&quot;0000&quot;.&quot;0000&quot;.&quot;0000"/>
      <alignment horizontal="right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5" formatCode="000&quot;.&quot;000&quot;.&quot;000&quot;-&quot;0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i val="0"/>
        <strike val="0"/>
        <u val="none"/>
        <sz val="12"/>
        <color theme="4"/>
        <name val="Arial"/>
        <scheme val="none"/>
      </font>
      <numFmt numFmtId="168" formatCode="0000"/>
      <border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bgColor rgb="FFFF0000"/>
        </patternFill>
      </fill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  <color rgb="FFC0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19" formatCode="dd/mm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  <color rgb="FFC00000"/>
      </font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  <color rgb="FFC00000"/>
      </font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  <color rgb="FFC00000"/>
      </font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  <color rgb="FFC00000"/>
      </font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  <color rgb="FFC00000"/>
      </font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  <color rgb="FFC00000"/>
      </font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  <color rgb="FFC00000"/>
      </font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  <color rgb="FFC00000"/>
      </font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  <color rgb="FFC00000"/>
      </font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  <color rgb="FFC00000"/>
      </font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  <color rgb="FFC0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4"/>
        <name val="Arial"/>
        <charset val="134"/>
        <scheme val="none"/>
      </font>
      <numFmt numFmtId="168" formatCode="00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left style="thin">
          <color rgb="FF9BC2E6"/>
        </left>
      </border>
    </dxf>
    <dxf>
      <font>
        <b val="0"/>
        <i val="0"/>
        <strike val="0"/>
        <u val="none"/>
        <sz val="12"/>
        <color rgb="FF000000"/>
        <name val="Arial"/>
        <scheme val="none"/>
      </font>
      <numFmt numFmtId="0" formatCode="General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2"/>
        <color rgb="FF000000"/>
        <name val="Arial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7" formatCode="&quot;(&quot;00&quot;)&quot;0&quot; &quot;0000&quot;-&quot;000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7" formatCode="&quot;(&quot;00&quot;)&quot;0&quot; &quot;0000&quot;-&quot;000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4" formatCode="000&quot;.&quot;0000&quot;.&quot;0000&quot;.&quot;0000"/>
      <alignment horizontal="right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5" formatCode="000&quot;.&quot;000&quot;.&quot;000&quot;-&quot;0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i val="0"/>
        <strike val="0"/>
        <u val="none"/>
        <sz val="12"/>
        <color theme="4"/>
        <name val="Arial"/>
        <scheme val="none"/>
      </font>
      <numFmt numFmtId="168" formatCode="0000"/>
      <border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19" formatCode="dd/mm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4"/>
        <name val="Arial"/>
        <charset val="134"/>
        <scheme val="none"/>
      </font>
      <numFmt numFmtId="168" formatCode="00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left style="thin">
          <color rgb="FF9BC2E6"/>
        </left>
      </border>
    </dxf>
    <dxf>
      <font>
        <b val="0"/>
        <i val="0"/>
        <strike val="0"/>
        <u val="none"/>
        <sz val="12"/>
        <color rgb="FF000000"/>
        <name val="Arial"/>
        <scheme val="none"/>
      </font>
      <numFmt numFmtId="0" formatCode="General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2"/>
        <color rgb="FF000000"/>
        <name val="Arial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7" formatCode="&quot;(&quot;00&quot;)&quot;0&quot; &quot;0000&quot;-&quot;000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7" formatCode="&quot;(&quot;00&quot;)&quot;0&quot; &quot;0000&quot;-&quot;000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4" formatCode="000&quot;.&quot;0000&quot;.&quot;0000&quot;.&quot;0000"/>
      <alignment horizontal="right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5" formatCode="000&quot;.&quot;000&quot;.&quot;000&quot;-&quot;0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i val="0"/>
        <strike val="0"/>
        <u val="none"/>
        <sz val="12"/>
        <color theme="4"/>
        <name val="Arial"/>
        <scheme val="none"/>
      </font>
      <numFmt numFmtId="168" formatCode="0000"/>
      <border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19" formatCode="dd/mm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4"/>
        <name val="Arial"/>
        <charset val="134"/>
        <scheme val="none"/>
      </font>
      <numFmt numFmtId="168" formatCode="00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left style="thin">
          <color rgb="FF9BC2E6"/>
        </left>
      </border>
    </dxf>
    <dxf>
      <font>
        <b val="0"/>
        <i val="0"/>
        <strike val="0"/>
        <u val="none"/>
        <sz val="12"/>
        <color rgb="FF000000"/>
        <name val="Arial"/>
        <scheme val="none"/>
      </font>
      <numFmt numFmtId="0" formatCode="General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2"/>
        <color rgb="FF000000"/>
        <name val="Arial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7" formatCode="&quot;(&quot;00&quot;)&quot;0&quot; &quot;0000&quot;-&quot;000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7" formatCode="&quot;(&quot;00&quot;)&quot;0&quot; &quot;0000&quot;-&quot;000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4" formatCode="000&quot;.&quot;0000&quot;.&quot;0000&quot;.&quot;0000"/>
      <alignment horizontal="right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5" formatCode="000&quot;.&quot;000&quot;.&quot;000&quot;-&quot;0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i val="0"/>
        <strike val="0"/>
        <u val="none"/>
        <sz val="12"/>
        <color theme="4"/>
        <name val="Arial"/>
        <scheme val="none"/>
      </font>
      <numFmt numFmtId="168" formatCode="0000"/>
      <border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19" formatCode="dd/mm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4"/>
        <name val="Arial"/>
        <charset val="134"/>
        <scheme val="none"/>
      </font>
      <numFmt numFmtId="168" formatCode="00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left style="thin">
          <color rgb="FF9BC2E6"/>
        </left>
      </border>
    </dxf>
    <dxf>
      <font>
        <b val="0"/>
        <i val="0"/>
        <strike val="0"/>
        <u val="none"/>
        <sz val="12"/>
        <color rgb="FF000000"/>
        <name val="Arial"/>
        <scheme val="none"/>
      </font>
      <numFmt numFmtId="0" formatCode="General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2"/>
        <color rgb="FF000000"/>
        <name val="Arial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7" formatCode="&quot;(&quot;00&quot;)&quot;0&quot; &quot;0000&quot;-&quot;000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7" formatCode="&quot;(&quot;00&quot;)&quot;0&quot; &quot;0000&quot;-&quot;000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4" formatCode="000&quot;.&quot;0000&quot;.&quot;0000&quot;.&quot;0000"/>
      <alignment horizontal="right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5" formatCode="000&quot;.&quot;000&quot;.&quot;000&quot;-&quot;0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i val="0"/>
        <strike val="0"/>
        <u val="none"/>
        <sz val="12"/>
        <color theme="4"/>
        <name val="Arial"/>
        <scheme val="none"/>
      </font>
      <numFmt numFmtId="168" formatCode="0000"/>
      <border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19" formatCode="dd/mm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4"/>
        <name val="Arial"/>
        <charset val="134"/>
        <scheme val="none"/>
      </font>
      <numFmt numFmtId="168" formatCode="00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left style="thin">
          <color rgb="FF9BC2E6"/>
        </left>
      </border>
    </dxf>
    <dxf>
      <font>
        <b val="0"/>
        <i val="0"/>
        <strike val="0"/>
        <u val="none"/>
        <sz val="12"/>
        <color rgb="FF000000"/>
        <name val="Arial"/>
        <scheme val="none"/>
      </font>
      <numFmt numFmtId="0" formatCode="General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2"/>
        <color rgb="FF000000"/>
        <name val="Arial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7" formatCode="&quot;(&quot;00&quot;)&quot;0&quot; &quot;0000&quot;-&quot;000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7" formatCode="&quot;(&quot;00&quot;)&quot;0&quot; &quot;0000&quot;-&quot;000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4" formatCode="000&quot;.&quot;0000&quot;.&quot;0000&quot;.&quot;0000"/>
      <alignment horizontal="right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5" formatCode="000&quot;.&quot;000&quot;.&quot;000&quot;-&quot;0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i val="0"/>
        <strike val="0"/>
        <u val="none"/>
        <sz val="12"/>
        <color theme="4"/>
        <name val="Arial"/>
        <scheme val="none"/>
      </font>
      <numFmt numFmtId="168" formatCode="0000"/>
      <border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19" formatCode="dd/mm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4"/>
        <name val="Arial"/>
        <charset val="134"/>
        <scheme val="none"/>
      </font>
      <numFmt numFmtId="168" formatCode="00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left style="thin">
          <color rgb="FF9BC2E6"/>
        </left>
      </border>
    </dxf>
    <dxf>
      <font>
        <b val="0"/>
        <i val="0"/>
        <strike val="0"/>
        <u val="none"/>
        <sz val="12"/>
        <color rgb="FF000000"/>
        <name val="Arial"/>
        <scheme val="none"/>
      </font>
      <numFmt numFmtId="0" formatCode="General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2"/>
        <color rgb="FF000000"/>
        <name val="Arial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7" formatCode="&quot;(&quot;00&quot;)&quot;0&quot; &quot;0000&quot;-&quot;000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7" formatCode="&quot;(&quot;00&quot;)&quot;0&quot; &quot;0000&quot;-&quot;000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4" formatCode="000&quot;.&quot;0000&quot;.&quot;0000&quot;.&quot;0000"/>
      <alignment horizontal="right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5" formatCode="000&quot;.&quot;000&quot;.&quot;000&quot;-&quot;0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i val="0"/>
        <strike val="0"/>
        <u val="none"/>
        <sz val="12"/>
        <color theme="4"/>
        <name val="Arial"/>
        <scheme val="none"/>
      </font>
      <numFmt numFmtId="168" formatCode="0000"/>
      <border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19" formatCode="dd/mm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4"/>
        <name val="Arial"/>
        <charset val="134"/>
        <scheme val="none"/>
      </font>
      <numFmt numFmtId="168" formatCode="00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left style="thin">
          <color rgb="FF9BC2E6"/>
        </left>
      </border>
    </dxf>
    <dxf>
      <font>
        <b val="0"/>
        <i val="0"/>
        <strike val="0"/>
        <u val="none"/>
        <sz val="12"/>
        <color rgb="FF000000"/>
        <name val="Arial"/>
        <scheme val="none"/>
      </font>
      <numFmt numFmtId="0" formatCode="General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2"/>
        <color rgb="FF000000"/>
        <name val="Arial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7" formatCode="&quot;(&quot;00&quot;)&quot;0&quot; &quot;0000&quot;-&quot;000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7" formatCode="&quot;(&quot;00&quot;)&quot;0&quot; &quot;0000&quot;-&quot;000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4" formatCode="000&quot;.&quot;0000&quot;.&quot;0000&quot;.&quot;0000"/>
      <alignment horizontal="right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5" formatCode="000&quot;.&quot;000&quot;.&quot;000&quot;-&quot;0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i val="0"/>
        <strike val="0"/>
        <u val="none"/>
        <sz val="12"/>
        <color theme="4"/>
        <name val="Arial"/>
        <scheme val="none"/>
      </font>
      <numFmt numFmtId="168" formatCode="0000"/>
      <border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19" formatCode="dd/mm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4"/>
        <name val="Arial"/>
        <charset val="134"/>
        <scheme val="none"/>
      </font>
      <numFmt numFmtId="168" formatCode="00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left style="thin">
          <color rgb="FF9BC2E6"/>
        </left>
      </border>
    </dxf>
    <dxf>
      <font>
        <b val="0"/>
        <i val="0"/>
        <strike val="0"/>
        <u val="none"/>
        <sz val="12"/>
        <color rgb="FF000000"/>
        <name val="Arial"/>
        <scheme val="none"/>
      </font>
      <numFmt numFmtId="0" formatCode="General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2"/>
        <color rgb="FF000000"/>
        <name val="Arial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7" formatCode="&quot;(&quot;00&quot;)&quot;0&quot; &quot;0000&quot;-&quot;000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7" formatCode="&quot;(&quot;00&quot;)&quot;0&quot; &quot;0000&quot;-&quot;000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4" formatCode="000&quot;.&quot;0000&quot;.&quot;0000&quot;.&quot;0000"/>
      <alignment horizontal="right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5" formatCode="000&quot;.&quot;000&quot;.&quot;000&quot;-&quot;0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i val="0"/>
        <strike val="0"/>
        <u val="none"/>
        <sz val="12"/>
        <color theme="4"/>
        <name val="Arial"/>
        <scheme val="none"/>
      </font>
      <numFmt numFmtId="168" formatCode="0000"/>
      <border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19" formatCode="dd/mm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4"/>
        <name val="Arial"/>
        <charset val="134"/>
        <scheme val="none"/>
      </font>
      <numFmt numFmtId="168" formatCode="00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left style="thin">
          <color rgb="FF9BC2E6"/>
        </left>
      </border>
    </dxf>
    <dxf>
      <font>
        <b val="0"/>
        <i val="0"/>
        <strike val="0"/>
        <u val="none"/>
        <sz val="12"/>
        <color rgb="FF000000"/>
        <name val="Arial"/>
        <scheme val="none"/>
      </font>
      <numFmt numFmtId="0" formatCode="General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2"/>
        <color rgb="FF000000"/>
        <name val="Arial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7" formatCode="&quot;(&quot;00&quot;)&quot;0&quot; &quot;0000&quot;-&quot;000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7" formatCode="&quot;(&quot;00&quot;)&quot;0&quot; &quot;0000&quot;-&quot;000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4" formatCode="000&quot;.&quot;0000&quot;.&quot;0000&quot;.&quot;0000"/>
      <alignment horizontal="right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5" formatCode="000&quot;.&quot;000&quot;.&quot;000&quot;-&quot;0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i val="0"/>
        <strike val="0"/>
        <u val="none"/>
        <sz val="12"/>
        <color theme="4"/>
        <name val="Arial"/>
        <scheme val="none"/>
      </font>
      <numFmt numFmtId="168" formatCode="0000"/>
      <border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19" formatCode="dd/mm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4"/>
        <name val="Arial"/>
        <charset val="134"/>
        <scheme val="none"/>
      </font>
      <numFmt numFmtId="168" formatCode="00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left style="thin">
          <color rgb="FF9BC2E6"/>
        </left>
      </border>
    </dxf>
    <dxf>
      <font>
        <b val="0"/>
        <i val="0"/>
        <strike val="0"/>
        <u val="none"/>
        <sz val="12"/>
        <color rgb="FF000000"/>
        <name val="Arial"/>
        <scheme val="none"/>
      </font>
      <numFmt numFmtId="0" formatCode="General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2"/>
        <color rgb="FF000000"/>
        <name val="Arial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7" formatCode="&quot;(&quot;00&quot;)&quot;0&quot; &quot;0000&quot;-&quot;000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7" formatCode="&quot;(&quot;00&quot;)&quot;0&quot; &quot;0000&quot;-&quot;000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4" formatCode="000&quot;.&quot;0000&quot;.&quot;0000&quot;.&quot;0000"/>
      <alignment horizontal="right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5" formatCode="000&quot;.&quot;000&quot;.&quot;000&quot;-&quot;0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i val="0"/>
        <strike val="0"/>
        <u val="none"/>
        <sz val="12"/>
        <color theme="4"/>
        <name val="Arial"/>
        <scheme val="none"/>
      </font>
      <numFmt numFmtId="168" formatCode="0000"/>
      <border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19" formatCode="dd/mm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4"/>
        <name val="Arial"/>
        <charset val="134"/>
        <scheme val="none"/>
      </font>
      <numFmt numFmtId="168" formatCode="00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left style="thin">
          <color theme="4" tint="0.39997558519241921"/>
        </left>
      </border>
    </dxf>
    <dxf>
      <font>
        <b val="0"/>
        <i val="0"/>
        <strike val="0"/>
        <u val="none"/>
        <sz val="12"/>
        <color rgb="FF000000"/>
        <name val="Arial"/>
        <scheme val="none"/>
      </font>
      <numFmt numFmtId="0" formatCode="General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2"/>
        <color rgb="FF000000"/>
        <name val="Arial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7" formatCode="&quot;(&quot;00&quot;)&quot;0&quot; &quot;0000&quot;-&quot;000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7" formatCode="&quot;(&quot;00&quot;)&quot;0&quot; &quot;0000&quot;-&quot;000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4" formatCode="000&quot;.&quot;0000&quot;.&quot;0000&quot;.&quot;0000"/>
      <alignment horizontal="right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5" formatCode="000&quot;.&quot;000&quot;.&quot;000&quot;-&quot;0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i val="0"/>
        <strike val="0"/>
        <u val="none"/>
        <sz val="12"/>
        <color theme="4"/>
        <name val="Arial"/>
        <scheme val="none"/>
      </font>
      <numFmt numFmtId="168" formatCode="0000"/>
      <border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tyles" Target="style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https://github.com/manoelluiz007/EducacaoBasicaExcel" TargetMode="Externa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hyperlink" Target="https://github.com/manoelluiz007/EducacaoBasicaExcel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49</xdr:row>
      <xdr:rowOff>86591</xdr:rowOff>
    </xdr:from>
    <xdr:to>
      <xdr:col>11</xdr:col>
      <xdr:colOff>8659</xdr:colOff>
      <xdr:row>50</xdr:row>
      <xdr:rowOff>162494</xdr:rowOff>
    </xdr:to>
    <xdr:sp macro="" textlink="">
      <xdr:nvSpPr>
        <xdr:cNvPr id="20" name="Retângulo 1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F2A5604-D610-4B98-B583-C20B4A2B3246}"/>
            </a:ext>
          </a:extLst>
        </xdr:cNvPr>
        <xdr:cNvSpPr/>
      </xdr:nvSpPr>
      <xdr:spPr>
        <a:xfrm>
          <a:off x="0" y="8754341"/>
          <a:ext cx="6676159" cy="240426"/>
        </a:xfrm>
        <a:prstGeom prst="rect">
          <a:avLst/>
        </a:prstGeom>
        <a:solidFill>
          <a:schemeClr val="tx2">
            <a:lumMod val="75000"/>
          </a:schemeClr>
        </a:solidFill>
      </xdr:spPr>
      <xdr:txBody>
        <a:bodyPr vert="horz" wrap="square" lIns="91440" tIns="45720" rIns="91440" bIns="45720" anchor="ctr">
          <a:noAutofit/>
        </a:bodyPr>
        <a:lstStyle/>
        <a:p>
          <a:pPr algn="ctr"/>
          <a:r>
            <a:rPr lang="pt-BR" sz="8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imes New Roman" panose="02020603050405020304" pitchFamily="18" charset="0"/>
              <a:cs typeface="Times New Roman" panose="02020603050405020304" pitchFamily="18" charset="0"/>
            </a:rPr>
            <a:t>https://github.com/manoelluiz007/EducacaoBasicaExcel</a:t>
          </a:r>
        </a:p>
      </xdr:txBody>
    </xdr:sp>
    <xdr:clientData fPrintsWithSheet="0"/>
  </xdr:twoCellAnchor>
  <xdr:twoCellAnchor editAs="absolute">
    <xdr:from>
      <xdr:col>0</xdr:col>
      <xdr:colOff>18184</xdr:colOff>
      <xdr:row>0</xdr:row>
      <xdr:rowOff>8080</xdr:rowOff>
    </xdr:from>
    <xdr:to>
      <xdr:col>0</xdr:col>
      <xdr:colOff>476250</xdr:colOff>
      <xdr:row>50</xdr:row>
      <xdr:rowOff>155862</xdr:rowOff>
    </xdr:to>
    <xdr:sp macro="" textlink="">
      <xdr:nvSpPr>
        <xdr:cNvPr id="19" name="Retângulo 18">
          <a:extLst>
            <a:ext uri="{FF2B5EF4-FFF2-40B4-BE49-F238E27FC236}">
              <a16:creationId xmlns:a16="http://schemas.microsoft.com/office/drawing/2014/main" id="{4A12B68B-66CC-4F36-836A-8F09410BD518}"/>
            </a:ext>
          </a:extLst>
        </xdr:cNvPr>
        <xdr:cNvSpPr/>
      </xdr:nvSpPr>
      <xdr:spPr>
        <a:xfrm>
          <a:off x="18184" y="8080"/>
          <a:ext cx="458066" cy="8980055"/>
        </a:xfrm>
        <a:prstGeom prst="rect">
          <a:avLst/>
        </a:prstGeom>
        <a:solidFill>
          <a:schemeClr val="accent2"/>
        </a:solidFill>
      </xdr:spPr>
      <xdr:txBody>
        <a:bodyPr vert="wordArtVert" wrap="square" lIns="91440" tIns="45720" rIns="91440" bIns="45720" anchor="ctr">
          <a:noAutofit/>
        </a:bodyPr>
        <a:lstStyle/>
        <a:p>
          <a:pPr algn="ctr"/>
          <a:r>
            <a:rPr lang="pt-BR" sz="8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imes New Roman" panose="02020603050405020304" pitchFamily="18" charset="0"/>
              <a:cs typeface="Times New Roman" panose="02020603050405020304" pitchFamily="18" charset="0"/>
            </a:rPr>
            <a:t>Desenvolvido por: Mael</a:t>
          </a:r>
          <a:r>
            <a:rPr lang="pt-BR" sz="8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imes New Roman" panose="02020603050405020304" pitchFamily="18" charset="0"/>
              <a:cs typeface="Times New Roman" panose="02020603050405020304" pitchFamily="18" charset="0"/>
            </a:rPr>
            <a:t> L.C. Melo</a:t>
          </a:r>
          <a:endParaRPr lang="pt-BR" sz="8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 fPrintsWithSheet="0"/>
  </xdr:twoCellAnchor>
  <xdr:twoCellAnchor editAs="absolute">
    <xdr:from>
      <xdr:col>1</xdr:col>
      <xdr:colOff>47625</xdr:colOff>
      <xdr:row>14</xdr:row>
      <xdr:rowOff>31750</xdr:rowOff>
    </xdr:from>
    <xdr:to>
      <xdr:col>3</xdr:col>
      <xdr:colOff>571500</xdr:colOff>
      <xdr:row>16</xdr:row>
      <xdr:rowOff>31750</xdr:rowOff>
    </xdr:to>
    <xdr:sp macro="[0]!Caderneta1PA" textlink="'1P-A-Turma'!B2:K2">
      <xdr:nvSpPr>
        <xdr:cNvPr id="2" name="Retângulo: Cantos Arredondados 1">
          <a:extLst>
            <a:ext uri="{FF2B5EF4-FFF2-40B4-BE49-F238E27FC236}">
              <a16:creationId xmlns:a16="http://schemas.microsoft.com/office/drawing/2014/main" id="{4556E5AB-CDDF-49FB-9782-5B25E7EE92A3}"/>
            </a:ext>
          </a:extLst>
        </xdr:cNvPr>
        <xdr:cNvSpPr/>
      </xdr:nvSpPr>
      <xdr:spPr>
        <a:xfrm>
          <a:off x="635000" y="2889250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8AF1A678-A668-4185-976C-AB1CAF6F652C}" type="TxLink">
            <a:rPr lang="en-US" sz="1200" b="1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1º Período - Único</a:t>
          </a:fld>
          <a:endParaRPr lang="pt-BR" sz="1050" b="1">
            <a:solidFill>
              <a:schemeClr val="bg1"/>
            </a:solidFill>
          </a:endParaRPr>
        </a:p>
      </xdr:txBody>
    </xdr:sp>
    <xdr:clientData fPrintsWithSheet="0"/>
  </xdr:twoCellAnchor>
  <xdr:twoCellAnchor editAs="absolute">
    <xdr:from>
      <xdr:col>1</xdr:col>
      <xdr:colOff>41275</xdr:colOff>
      <xdr:row>16</xdr:row>
      <xdr:rowOff>73025</xdr:rowOff>
    </xdr:from>
    <xdr:to>
      <xdr:col>3</xdr:col>
      <xdr:colOff>565150</xdr:colOff>
      <xdr:row>18</xdr:row>
      <xdr:rowOff>73025</xdr:rowOff>
    </xdr:to>
    <xdr:sp macro="[0]!Caderneta1PB" textlink="'1P-B-Turma'!B2:K2">
      <xdr:nvSpPr>
        <xdr:cNvPr id="3" name="Retângulo: Cantos Arredondados 2">
          <a:extLst>
            <a:ext uri="{FF2B5EF4-FFF2-40B4-BE49-F238E27FC236}">
              <a16:creationId xmlns:a16="http://schemas.microsoft.com/office/drawing/2014/main" id="{AE47456B-E75B-46E8-A655-A9DABFC23776}"/>
            </a:ext>
          </a:extLst>
        </xdr:cNvPr>
        <xdr:cNvSpPr/>
      </xdr:nvSpPr>
      <xdr:spPr>
        <a:xfrm>
          <a:off x="628650" y="3248025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F46FDE4C-414B-4D75-B9C0-06DF7F38F813}" type="TxLink">
            <a:rPr lang="en-US" sz="1200" b="1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1º Periodo - B</a:t>
          </a:fld>
          <a:endParaRPr lang="pt-BR" sz="1100" b="1">
            <a:solidFill>
              <a:schemeClr val="bg1"/>
            </a:solidFill>
          </a:endParaRPr>
        </a:p>
      </xdr:txBody>
    </xdr:sp>
    <xdr:clientData fPrintsWithSheet="0"/>
  </xdr:twoCellAnchor>
  <xdr:twoCellAnchor editAs="absolute">
    <xdr:from>
      <xdr:col>1</xdr:col>
      <xdr:colOff>41275</xdr:colOff>
      <xdr:row>18</xdr:row>
      <xdr:rowOff>120650</xdr:rowOff>
    </xdr:from>
    <xdr:to>
      <xdr:col>3</xdr:col>
      <xdr:colOff>565150</xdr:colOff>
      <xdr:row>20</xdr:row>
      <xdr:rowOff>120650</xdr:rowOff>
    </xdr:to>
    <xdr:sp macro="[0]!Caderneta2PA" textlink="'2P-A-Turma'!B2:K2">
      <xdr:nvSpPr>
        <xdr:cNvPr id="5" name="Retângulo: Cantos Arredondados 4">
          <a:extLst>
            <a:ext uri="{FF2B5EF4-FFF2-40B4-BE49-F238E27FC236}">
              <a16:creationId xmlns:a16="http://schemas.microsoft.com/office/drawing/2014/main" id="{0EE142CA-AEAA-4FBA-A758-FEB17403DCE9}"/>
            </a:ext>
          </a:extLst>
        </xdr:cNvPr>
        <xdr:cNvSpPr/>
      </xdr:nvSpPr>
      <xdr:spPr>
        <a:xfrm>
          <a:off x="628650" y="3613150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2D01636-AD9F-4E47-8087-720E4D494216}" type="TxLink">
            <a:rPr lang="en-US" sz="1200" b="1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2º Periodo - A</a:t>
          </a:fld>
          <a:endParaRPr lang="pt-BR" sz="1100" b="1">
            <a:solidFill>
              <a:schemeClr val="bg1"/>
            </a:solidFill>
          </a:endParaRPr>
        </a:p>
      </xdr:txBody>
    </xdr:sp>
    <xdr:clientData fPrintsWithSheet="0"/>
  </xdr:twoCellAnchor>
  <xdr:twoCellAnchor editAs="absolute">
    <xdr:from>
      <xdr:col>1</xdr:col>
      <xdr:colOff>34925</xdr:colOff>
      <xdr:row>21</xdr:row>
      <xdr:rowOff>19050</xdr:rowOff>
    </xdr:from>
    <xdr:to>
      <xdr:col>3</xdr:col>
      <xdr:colOff>558800</xdr:colOff>
      <xdr:row>23</xdr:row>
      <xdr:rowOff>19050</xdr:rowOff>
    </xdr:to>
    <xdr:sp macro="[0]!Caderneta2PB" textlink="'2P-B-Turma'!B2:K2">
      <xdr:nvSpPr>
        <xdr:cNvPr id="6" name="Retângulo: Cantos Arredondados 5">
          <a:extLst>
            <a:ext uri="{FF2B5EF4-FFF2-40B4-BE49-F238E27FC236}">
              <a16:creationId xmlns:a16="http://schemas.microsoft.com/office/drawing/2014/main" id="{AF9A40F3-D5A0-4372-86FB-C95A401B22EC}"/>
            </a:ext>
          </a:extLst>
        </xdr:cNvPr>
        <xdr:cNvSpPr/>
      </xdr:nvSpPr>
      <xdr:spPr>
        <a:xfrm>
          <a:off x="622300" y="3987800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F1569AD-53B5-4A7F-B35B-7EF55E4423E4}" type="TxLink">
            <a:rPr lang="en-US" sz="1200" b="1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2º Periodo - B</a:t>
          </a:fld>
          <a:endParaRPr lang="pt-BR" sz="1100" b="1">
            <a:solidFill>
              <a:schemeClr val="bg1"/>
            </a:solidFill>
          </a:endParaRPr>
        </a:p>
      </xdr:txBody>
    </xdr:sp>
    <xdr:clientData fPrintsWithSheet="0"/>
  </xdr:twoCellAnchor>
  <xdr:twoCellAnchor editAs="absolute">
    <xdr:from>
      <xdr:col>4</xdr:col>
      <xdr:colOff>41275</xdr:colOff>
      <xdr:row>14</xdr:row>
      <xdr:rowOff>25400</xdr:rowOff>
    </xdr:from>
    <xdr:to>
      <xdr:col>6</xdr:col>
      <xdr:colOff>565150</xdr:colOff>
      <xdr:row>16</xdr:row>
      <xdr:rowOff>25400</xdr:rowOff>
    </xdr:to>
    <xdr:sp macro="[0]!Caderneta1AA" textlink="'1A-A-Turma'!B2:K2">
      <xdr:nvSpPr>
        <xdr:cNvPr id="7" name="Retângulo: Cantos Arredondados 6">
          <a:extLst>
            <a:ext uri="{FF2B5EF4-FFF2-40B4-BE49-F238E27FC236}">
              <a16:creationId xmlns:a16="http://schemas.microsoft.com/office/drawing/2014/main" id="{0899A445-9D1C-4576-8533-C0DFE8492132}"/>
            </a:ext>
          </a:extLst>
        </xdr:cNvPr>
        <xdr:cNvSpPr/>
      </xdr:nvSpPr>
      <xdr:spPr>
        <a:xfrm>
          <a:off x="2390775" y="2882900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48574A2-FF77-4896-BE59-FA4014FCFDAE}" type="TxLink">
            <a:rPr lang="en-US" sz="1200" b="1" i="0" u="none" strike="noStrike">
              <a:solidFill>
                <a:schemeClr val="bg1"/>
              </a:solidFill>
              <a:latin typeface="Arial"/>
              <a:cs typeface="Arial"/>
            </a:rPr>
            <a:t>1º Ano - A</a:t>
          </a:fld>
          <a:endParaRPr lang="pt-BR" sz="1100" b="1">
            <a:solidFill>
              <a:schemeClr val="bg1"/>
            </a:solidFill>
          </a:endParaRPr>
        </a:p>
      </xdr:txBody>
    </xdr:sp>
    <xdr:clientData fPrintsWithSheet="0"/>
  </xdr:twoCellAnchor>
  <xdr:twoCellAnchor editAs="absolute">
    <xdr:from>
      <xdr:col>4</xdr:col>
      <xdr:colOff>50800</xdr:colOff>
      <xdr:row>16</xdr:row>
      <xdr:rowOff>82550</xdr:rowOff>
    </xdr:from>
    <xdr:to>
      <xdr:col>6</xdr:col>
      <xdr:colOff>574675</xdr:colOff>
      <xdr:row>18</xdr:row>
      <xdr:rowOff>82550</xdr:rowOff>
    </xdr:to>
    <xdr:sp macro="[0]!Caderneta1AB" textlink="'1A-B-Turma'!B2:K2">
      <xdr:nvSpPr>
        <xdr:cNvPr id="8" name="Retângulo: Cantos Arredondados 7">
          <a:extLst>
            <a:ext uri="{FF2B5EF4-FFF2-40B4-BE49-F238E27FC236}">
              <a16:creationId xmlns:a16="http://schemas.microsoft.com/office/drawing/2014/main" id="{BBC74379-304E-4723-887C-F50F735142BF}"/>
            </a:ext>
          </a:extLst>
        </xdr:cNvPr>
        <xdr:cNvSpPr/>
      </xdr:nvSpPr>
      <xdr:spPr>
        <a:xfrm>
          <a:off x="2400300" y="3257550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C9F1BAAE-4DBA-48CE-B823-25637FB752F3}" type="TxLink">
            <a:rPr lang="en-US" sz="1200" b="1" i="0" u="none" strike="noStrike">
              <a:solidFill>
                <a:schemeClr val="bg1"/>
              </a:solidFill>
              <a:latin typeface="Arial"/>
              <a:cs typeface="Arial"/>
            </a:rPr>
            <a:t>1º Ano - B</a:t>
          </a:fld>
          <a:endParaRPr lang="pt-BR" sz="1100" b="1">
            <a:solidFill>
              <a:schemeClr val="bg1"/>
            </a:solidFill>
          </a:endParaRPr>
        </a:p>
      </xdr:txBody>
    </xdr:sp>
    <xdr:clientData fPrintsWithSheet="0"/>
  </xdr:twoCellAnchor>
  <xdr:twoCellAnchor editAs="absolute">
    <xdr:from>
      <xdr:col>4</xdr:col>
      <xdr:colOff>50800</xdr:colOff>
      <xdr:row>18</xdr:row>
      <xdr:rowOff>130175</xdr:rowOff>
    </xdr:from>
    <xdr:to>
      <xdr:col>6</xdr:col>
      <xdr:colOff>574675</xdr:colOff>
      <xdr:row>20</xdr:row>
      <xdr:rowOff>130175</xdr:rowOff>
    </xdr:to>
    <xdr:sp macro="[0]!Caderneta2AA" textlink="'2A-A-Turma'!B2:K2">
      <xdr:nvSpPr>
        <xdr:cNvPr id="9" name="Retângulo: Cantos Arredondados 8">
          <a:extLst>
            <a:ext uri="{FF2B5EF4-FFF2-40B4-BE49-F238E27FC236}">
              <a16:creationId xmlns:a16="http://schemas.microsoft.com/office/drawing/2014/main" id="{71314BBA-8AFE-41B4-ACAC-CEA9C1311704}"/>
            </a:ext>
          </a:extLst>
        </xdr:cNvPr>
        <xdr:cNvSpPr/>
      </xdr:nvSpPr>
      <xdr:spPr>
        <a:xfrm>
          <a:off x="2400300" y="3622675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A5E3CD7-BC6A-4EB7-8830-B45B1FB47903}" type="TxLink">
            <a:rPr lang="en-US" sz="1200" b="1" i="0" u="none" strike="noStrike">
              <a:solidFill>
                <a:schemeClr val="bg1"/>
              </a:solidFill>
              <a:latin typeface="Arial"/>
              <a:cs typeface="Arial"/>
            </a:rPr>
            <a:t>2º Ano - A</a:t>
          </a:fld>
          <a:endParaRPr lang="pt-BR" sz="1100" b="1">
            <a:solidFill>
              <a:schemeClr val="bg1"/>
            </a:solidFill>
          </a:endParaRPr>
        </a:p>
      </xdr:txBody>
    </xdr:sp>
    <xdr:clientData fPrintsWithSheet="0"/>
  </xdr:twoCellAnchor>
  <xdr:twoCellAnchor editAs="absolute">
    <xdr:from>
      <xdr:col>4</xdr:col>
      <xdr:colOff>44450</xdr:colOff>
      <xdr:row>21</xdr:row>
      <xdr:rowOff>12700</xdr:rowOff>
    </xdr:from>
    <xdr:to>
      <xdr:col>6</xdr:col>
      <xdr:colOff>568325</xdr:colOff>
      <xdr:row>23</xdr:row>
      <xdr:rowOff>12700</xdr:rowOff>
    </xdr:to>
    <xdr:sp macro="[0]!Caderneta2AB" textlink="'2A-B-Turma'!B2:K2">
      <xdr:nvSpPr>
        <xdr:cNvPr id="10" name="Retângulo: Cantos Arredondados 9">
          <a:extLst>
            <a:ext uri="{FF2B5EF4-FFF2-40B4-BE49-F238E27FC236}">
              <a16:creationId xmlns:a16="http://schemas.microsoft.com/office/drawing/2014/main" id="{E41A6794-93F5-448D-A54E-823326DDEB94}"/>
            </a:ext>
          </a:extLst>
        </xdr:cNvPr>
        <xdr:cNvSpPr/>
      </xdr:nvSpPr>
      <xdr:spPr>
        <a:xfrm>
          <a:off x="2393950" y="3981450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4E43C8F-5B4E-4217-AE4B-4D0C1976D12B}" type="TxLink">
            <a:rPr lang="en-US" sz="1200" b="1" i="0" u="none" strike="noStrike">
              <a:solidFill>
                <a:schemeClr val="bg1"/>
              </a:solidFill>
              <a:latin typeface="Arial"/>
              <a:cs typeface="Arial"/>
            </a:rPr>
            <a:t>2º Ano - B</a:t>
          </a:fld>
          <a:endParaRPr lang="pt-BR" sz="1100" b="1">
            <a:solidFill>
              <a:schemeClr val="bg1"/>
            </a:solidFill>
          </a:endParaRPr>
        </a:p>
      </xdr:txBody>
    </xdr:sp>
    <xdr:clientData fPrintsWithSheet="0"/>
  </xdr:twoCellAnchor>
  <xdr:twoCellAnchor editAs="absolute">
    <xdr:from>
      <xdr:col>4</xdr:col>
      <xdr:colOff>50800</xdr:colOff>
      <xdr:row>23</xdr:row>
      <xdr:rowOff>66675</xdr:rowOff>
    </xdr:from>
    <xdr:to>
      <xdr:col>6</xdr:col>
      <xdr:colOff>574675</xdr:colOff>
      <xdr:row>25</xdr:row>
      <xdr:rowOff>66675</xdr:rowOff>
    </xdr:to>
    <xdr:sp macro="[0]!Caderneta3AA" textlink="'3A-A-Turma'!B2:K2">
      <xdr:nvSpPr>
        <xdr:cNvPr id="11" name="Retângulo: Cantos Arredondados 10">
          <a:extLst>
            <a:ext uri="{FF2B5EF4-FFF2-40B4-BE49-F238E27FC236}">
              <a16:creationId xmlns:a16="http://schemas.microsoft.com/office/drawing/2014/main" id="{0DE50DDA-9133-45A9-9666-BE054B529886}"/>
            </a:ext>
          </a:extLst>
        </xdr:cNvPr>
        <xdr:cNvSpPr/>
      </xdr:nvSpPr>
      <xdr:spPr>
        <a:xfrm>
          <a:off x="2400300" y="4352925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A6FE47AB-CF17-47BB-BE35-1214969D57E8}" type="TxLink">
            <a:rPr lang="en-US" sz="1200" b="1" i="0" u="none" strike="noStrike">
              <a:solidFill>
                <a:schemeClr val="bg1"/>
              </a:solidFill>
              <a:latin typeface="Arial"/>
              <a:cs typeface="Arial"/>
            </a:rPr>
            <a:t>3º Ano - A</a:t>
          </a:fld>
          <a:endParaRPr lang="pt-BR" sz="1100" b="1">
            <a:solidFill>
              <a:schemeClr val="bg1"/>
            </a:solidFill>
          </a:endParaRPr>
        </a:p>
      </xdr:txBody>
    </xdr:sp>
    <xdr:clientData fPrintsWithSheet="0"/>
  </xdr:twoCellAnchor>
  <xdr:twoCellAnchor editAs="absolute">
    <xdr:from>
      <xdr:col>4</xdr:col>
      <xdr:colOff>60325</xdr:colOff>
      <xdr:row>25</xdr:row>
      <xdr:rowOff>123825</xdr:rowOff>
    </xdr:from>
    <xdr:to>
      <xdr:col>6</xdr:col>
      <xdr:colOff>584200</xdr:colOff>
      <xdr:row>27</xdr:row>
      <xdr:rowOff>123825</xdr:rowOff>
    </xdr:to>
    <xdr:sp macro="[0]!Caderneta3AB" textlink="'3A-B-Turma'!B2:K2">
      <xdr:nvSpPr>
        <xdr:cNvPr id="12" name="Retângulo: Cantos Arredondados 11">
          <a:extLst>
            <a:ext uri="{FF2B5EF4-FFF2-40B4-BE49-F238E27FC236}">
              <a16:creationId xmlns:a16="http://schemas.microsoft.com/office/drawing/2014/main" id="{16242F76-E8B5-4ECA-BDD2-25CDB82198DC}"/>
            </a:ext>
          </a:extLst>
        </xdr:cNvPr>
        <xdr:cNvSpPr/>
      </xdr:nvSpPr>
      <xdr:spPr>
        <a:xfrm>
          <a:off x="2409825" y="4727575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3F8D6D23-737A-47A5-AF17-5060E0B02283}" type="TxLink">
            <a:rPr lang="en-US" sz="1200" b="1" i="0" u="none" strike="noStrike">
              <a:solidFill>
                <a:schemeClr val="bg1"/>
              </a:solidFill>
              <a:latin typeface="Arial"/>
              <a:cs typeface="Arial"/>
            </a:rPr>
            <a:t>3º Ano - B</a:t>
          </a:fld>
          <a:endParaRPr lang="pt-BR" sz="1100" b="1">
            <a:solidFill>
              <a:schemeClr val="bg1"/>
            </a:solidFill>
          </a:endParaRPr>
        </a:p>
      </xdr:txBody>
    </xdr:sp>
    <xdr:clientData fPrintsWithSheet="0"/>
  </xdr:twoCellAnchor>
  <xdr:twoCellAnchor editAs="absolute">
    <xdr:from>
      <xdr:col>7</xdr:col>
      <xdr:colOff>35791</xdr:colOff>
      <xdr:row>14</xdr:row>
      <xdr:rowOff>28575</xdr:rowOff>
    </xdr:from>
    <xdr:to>
      <xdr:col>9</xdr:col>
      <xdr:colOff>559666</xdr:colOff>
      <xdr:row>16</xdr:row>
      <xdr:rowOff>28575</xdr:rowOff>
    </xdr:to>
    <xdr:sp macro="[0]!Caderneta4AA" textlink="'4A-A-Turma'!B2:K2">
      <xdr:nvSpPr>
        <xdr:cNvPr id="13" name="Retângulo: Cantos Arredondados 12">
          <a:extLst>
            <a:ext uri="{FF2B5EF4-FFF2-40B4-BE49-F238E27FC236}">
              <a16:creationId xmlns:a16="http://schemas.microsoft.com/office/drawing/2014/main" id="{7945F039-33C8-4819-81C3-BE0A6DF46C78}"/>
            </a:ext>
          </a:extLst>
        </xdr:cNvPr>
        <xdr:cNvSpPr/>
      </xdr:nvSpPr>
      <xdr:spPr>
        <a:xfrm>
          <a:off x="4278746" y="2938030"/>
          <a:ext cx="1736147" cy="32904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F4A3CF5B-ABA8-4CA2-8FE6-E6671413CB11}" type="TxLink">
            <a:rPr lang="en-US" sz="1200" b="1" i="0" u="none" strike="noStrike">
              <a:solidFill>
                <a:schemeClr val="bg1"/>
              </a:solidFill>
              <a:latin typeface="Arial"/>
              <a:cs typeface="Arial"/>
            </a:rPr>
            <a:t>4º Ano - A</a:t>
          </a:fld>
          <a:endParaRPr lang="pt-BR" sz="1100" b="1">
            <a:solidFill>
              <a:schemeClr val="bg1"/>
            </a:solidFill>
          </a:endParaRPr>
        </a:p>
      </xdr:txBody>
    </xdr:sp>
    <xdr:clientData fPrintsWithSheet="0"/>
  </xdr:twoCellAnchor>
  <xdr:twoCellAnchor editAs="absolute">
    <xdr:from>
      <xdr:col>7</xdr:col>
      <xdr:colOff>45316</xdr:colOff>
      <xdr:row>16</xdr:row>
      <xdr:rowOff>77066</xdr:rowOff>
    </xdr:from>
    <xdr:to>
      <xdr:col>9</xdr:col>
      <xdr:colOff>569191</xdr:colOff>
      <xdr:row>18</xdr:row>
      <xdr:rowOff>77066</xdr:rowOff>
    </xdr:to>
    <xdr:sp macro="[0]!Caderneta4AB" textlink="'4A-B-Turma'!B2:K2">
      <xdr:nvSpPr>
        <xdr:cNvPr id="14" name="Retângulo: Cantos Arredondados 13">
          <a:extLst>
            <a:ext uri="{FF2B5EF4-FFF2-40B4-BE49-F238E27FC236}">
              <a16:creationId xmlns:a16="http://schemas.microsoft.com/office/drawing/2014/main" id="{4704A749-3256-48E6-8C51-07035B956FF0}"/>
            </a:ext>
          </a:extLst>
        </xdr:cNvPr>
        <xdr:cNvSpPr/>
      </xdr:nvSpPr>
      <xdr:spPr>
        <a:xfrm>
          <a:off x="4288271" y="3315566"/>
          <a:ext cx="1736147" cy="32904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BE8E687C-DF11-4D18-BD1C-60D86768B51F}" type="TxLink">
            <a:rPr lang="en-US" sz="1200" b="1" i="0" u="none" strike="noStrike">
              <a:solidFill>
                <a:schemeClr val="bg1"/>
              </a:solidFill>
              <a:latin typeface="Arial"/>
              <a:cs typeface="Arial"/>
            </a:rPr>
            <a:t>4º Ano - B</a:t>
          </a:fld>
          <a:endParaRPr lang="pt-BR" sz="1100" b="1">
            <a:solidFill>
              <a:schemeClr val="bg1"/>
            </a:solidFill>
          </a:endParaRPr>
        </a:p>
      </xdr:txBody>
    </xdr:sp>
    <xdr:clientData fPrintsWithSheet="0"/>
  </xdr:twoCellAnchor>
  <xdr:twoCellAnchor editAs="absolute">
    <xdr:from>
      <xdr:col>7</xdr:col>
      <xdr:colOff>38100</xdr:colOff>
      <xdr:row>18</xdr:row>
      <xdr:rowOff>124691</xdr:rowOff>
    </xdr:from>
    <xdr:to>
      <xdr:col>9</xdr:col>
      <xdr:colOff>561975</xdr:colOff>
      <xdr:row>20</xdr:row>
      <xdr:rowOff>124691</xdr:rowOff>
    </xdr:to>
    <xdr:sp macro="[0]!Caderneta5AA" textlink="'5A-A-Turma'!B2:K2">
      <xdr:nvSpPr>
        <xdr:cNvPr id="15" name="Retângulo: Cantos Arredondados 14">
          <a:extLst>
            <a:ext uri="{FF2B5EF4-FFF2-40B4-BE49-F238E27FC236}">
              <a16:creationId xmlns:a16="http://schemas.microsoft.com/office/drawing/2014/main" id="{F8636580-DA44-4CCF-B59E-255DAB7862BD}"/>
            </a:ext>
          </a:extLst>
        </xdr:cNvPr>
        <xdr:cNvSpPr/>
      </xdr:nvSpPr>
      <xdr:spPr>
        <a:xfrm>
          <a:off x="4281055" y="3692236"/>
          <a:ext cx="1736147" cy="329046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70E730F-8B61-434C-9456-CE41BF951FF1}" type="TxLink">
            <a:rPr lang="en-US" sz="1200" b="1" i="0" u="none" strike="noStrike">
              <a:solidFill>
                <a:schemeClr val="bg1"/>
              </a:solidFill>
              <a:latin typeface="Arial"/>
              <a:cs typeface="Arial"/>
            </a:rPr>
            <a:t>5º Ano - A</a:t>
          </a:fld>
          <a:endParaRPr lang="pt-BR" sz="1100" b="1">
            <a:solidFill>
              <a:schemeClr val="bg1"/>
            </a:solidFill>
          </a:endParaRPr>
        </a:p>
      </xdr:txBody>
    </xdr:sp>
    <xdr:clientData fPrintsWithSheet="0"/>
  </xdr:twoCellAnchor>
  <xdr:twoCellAnchor editAs="absolute">
    <xdr:from>
      <xdr:col>7</xdr:col>
      <xdr:colOff>38966</xdr:colOff>
      <xdr:row>21</xdr:row>
      <xdr:rowOff>14432</xdr:rowOff>
    </xdr:from>
    <xdr:to>
      <xdr:col>9</xdr:col>
      <xdr:colOff>562841</xdr:colOff>
      <xdr:row>23</xdr:row>
      <xdr:rowOff>14432</xdr:rowOff>
    </xdr:to>
    <xdr:sp macro="[0]!Caderneta5AB" textlink="'5A-B-Turma'!B2:K2">
      <xdr:nvSpPr>
        <xdr:cNvPr id="16" name="Retângulo: Cantos Arredondados 15">
          <a:extLst>
            <a:ext uri="{FF2B5EF4-FFF2-40B4-BE49-F238E27FC236}">
              <a16:creationId xmlns:a16="http://schemas.microsoft.com/office/drawing/2014/main" id="{082F1A9D-F0A8-4EF0-944C-C290FB59E890}"/>
            </a:ext>
          </a:extLst>
        </xdr:cNvPr>
        <xdr:cNvSpPr/>
      </xdr:nvSpPr>
      <xdr:spPr>
        <a:xfrm>
          <a:off x="4281921" y="4075546"/>
          <a:ext cx="1736147" cy="32904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BE18EB16-017B-4330-BC2D-9FAE61E4DC6E}" type="TxLink">
            <a:rPr lang="en-US" sz="1200" b="1" i="0" u="none" strike="noStrike">
              <a:solidFill>
                <a:schemeClr val="bg1"/>
              </a:solidFill>
              <a:latin typeface="Arial"/>
              <a:cs typeface="Arial"/>
            </a:rPr>
            <a:t>5º Ano - B</a:t>
          </a:fld>
          <a:endParaRPr lang="pt-BR" sz="1100" b="1">
            <a:solidFill>
              <a:schemeClr val="bg1"/>
            </a:solidFill>
          </a:endParaRPr>
        </a:p>
      </xdr:txBody>
    </xdr:sp>
    <xdr:clientData fPrintsWithSheet="0"/>
  </xdr:twoCellAnchor>
  <xdr:twoCellAnchor editAs="absolute">
    <xdr:from>
      <xdr:col>0</xdr:col>
      <xdr:colOff>555624</xdr:colOff>
      <xdr:row>11</xdr:row>
      <xdr:rowOff>63500</xdr:rowOff>
    </xdr:from>
    <xdr:to>
      <xdr:col>10</xdr:col>
      <xdr:colOff>63499</xdr:colOff>
      <xdr:row>14</xdr:row>
      <xdr:rowOff>10559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C288F89A-084E-4C9D-9EFE-10338BA756E0}"/>
            </a:ext>
          </a:extLst>
        </xdr:cNvPr>
        <xdr:cNvSpPr txBox="1"/>
      </xdr:nvSpPr>
      <xdr:spPr>
        <a:xfrm>
          <a:off x="555624" y="2444750"/>
          <a:ext cx="5381625" cy="42330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CADERNETAS</a:t>
          </a:r>
        </a:p>
      </xdr:txBody>
    </xdr:sp>
    <xdr:clientData fPrintsWithSheet="0"/>
  </xdr:twoCellAnchor>
  <xdr:twoCellAnchor editAs="absolute">
    <xdr:from>
      <xdr:col>0</xdr:col>
      <xdr:colOff>207818</xdr:colOff>
      <xdr:row>0</xdr:row>
      <xdr:rowOff>25977</xdr:rowOff>
    </xdr:from>
    <xdr:to>
      <xdr:col>0</xdr:col>
      <xdr:colOff>450273</xdr:colOff>
      <xdr:row>1</xdr:row>
      <xdr:rowOff>0</xdr:rowOff>
    </xdr:to>
    <xdr:pic>
      <xdr:nvPicPr>
        <xdr:cNvPr id="18" name="Gráfico 17" descr="Inseto com preenchimento sólido">
          <a:extLst>
            <a:ext uri="{FF2B5EF4-FFF2-40B4-BE49-F238E27FC236}">
              <a16:creationId xmlns:a16="http://schemas.microsoft.com/office/drawing/2014/main" id="{954C8956-90D3-45F5-8E47-3B241E0CF6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07818" y="25977"/>
          <a:ext cx="242455" cy="242455"/>
        </a:xfrm>
        <a:prstGeom prst="rect">
          <a:avLst/>
        </a:prstGeom>
      </xdr:spPr>
    </xdr:pic>
    <xdr:clientData fPrintsWithSheet="0"/>
  </xdr:twoCellAnchor>
  <xdr:twoCellAnchor editAs="absolute">
    <xdr:from>
      <xdr:col>1</xdr:col>
      <xdr:colOff>24822</xdr:colOff>
      <xdr:row>23</xdr:row>
      <xdr:rowOff>73891</xdr:rowOff>
    </xdr:from>
    <xdr:to>
      <xdr:col>3</xdr:col>
      <xdr:colOff>548697</xdr:colOff>
      <xdr:row>27</xdr:row>
      <xdr:rowOff>121227</xdr:rowOff>
    </xdr:to>
    <xdr:sp macro="[0]!RelatorioQDAluno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D43886D4-1AC0-4A10-BFC7-998FB3C61334}"/>
            </a:ext>
          </a:extLst>
        </xdr:cNvPr>
        <xdr:cNvSpPr/>
      </xdr:nvSpPr>
      <xdr:spPr>
        <a:xfrm>
          <a:off x="630958" y="4464050"/>
          <a:ext cx="1736148" cy="705427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0" u="none" strike="noStrike">
              <a:solidFill>
                <a:sysClr val="windowText" lastClr="000000"/>
              </a:solidFill>
              <a:latin typeface="Arial"/>
              <a:cs typeface="Arial"/>
            </a:rPr>
            <a:t>Relatorio</a:t>
          </a:r>
          <a:r>
            <a:rPr lang="en-US" sz="1200" b="1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 Quantitativo de Alunos</a:t>
          </a:r>
          <a:endParaRPr lang="en-US" sz="1200" b="1" i="0" u="none" strike="noStrike">
            <a:solidFill>
              <a:sysClr val="windowText" lastClr="000000"/>
            </a:solidFill>
            <a:latin typeface="Arial"/>
            <a:cs typeface="Arial"/>
          </a:endParaRPr>
        </a:p>
      </xdr:txBody>
    </xdr:sp>
    <xdr:clientData fPrintsWithSheet="0"/>
  </xdr:twoCellAnchor>
  <xdr:twoCellAnchor editAs="absolute">
    <xdr:from>
      <xdr:col>7</xdr:col>
      <xdr:colOff>38676</xdr:colOff>
      <xdr:row>23</xdr:row>
      <xdr:rowOff>70427</xdr:rowOff>
    </xdr:from>
    <xdr:to>
      <xdr:col>9</xdr:col>
      <xdr:colOff>562552</xdr:colOff>
      <xdr:row>27</xdr:row>
      <xdr:rowOff>117763</xdr:rowOff>
    </xdr:to>
    <xdr:sp macro="[0]!CalculadorPercentagemPres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FA91B57F-BC15-4AC5-9E7D-9C1A58166948}"/>
            </a:ext>
          </a:extLst>
        </xdr:cNvPr>
        <xdr:cNvSpPr/>
      </xdr:nvSpPr>
      <xdr:spPr>
        <a:xfrm>
          <a:off x="4281631" y="4460586"/>
          <a:ext cx="1736148" cy="705427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0" u="none" strike="noStrike">
              <a:solidFill>
                <a:sysClr val="windowText" lastClr="000000"/>
              </a:solidFill>
              <a:latin typeface="Arial"/>
              <a:cs typeface="Arial"/>
            </a:rPr>
            <a:t>Calculadora</a:t>
          </a:r>
          <a:r>
            <a:rPr lang="en-US" sz="1200" b="1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 de Percentagem de Presença</a:t>
          </a:r>
          <a:endParaRPr lang="en-US" sz="1200" b="1" i="0" u="none" strike="noStrike">
            <a:solidFill>
              <a:sysClr val="windowText" lastClr="000000"/>
            </a:solidFill>
            <a:latin typeface="Arial"/>
            <a:cs typeface="Arial"/>
          </a:endParaRP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491950</xdr:colOff>
      <xdr:row>0</xdr:row>
      <xdr:rowOff>20935</xdr:rowOff>
    </xdr:from>
    <xdr:to>
      <xdr:col>10</xdr:col>
      <xdr:colOff>432113</xdr:colOff>
      <xdr:row>1</xdr:row>
      <xdr:rowOff>139561</xdr:rowOff>
    </xdr:to>
    <xdr:sp macro="[0]!MacroMenu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1858AB6-F963-4179-AD21-D3E6399BB504}"/>
            </a:ext>
          </a:extLst>
        </xdr:cNvPr>
        <xdr:cNvSpPr/>
      </xdr:nvSpPr>
      <xdr:spPr>
        <a:xfrm>
          <a:off x="5275384" y="20935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7</xdr:col>
      <xdr:colOff>497812</xdr:colOff>
      <xdr:row>2</xdr:row>
      <xdr:rowOff>5863</xdr:rowOff>
    </xdr:from>
    <xdr:to>
      <xdr:col>10</xdr:col>
      <xdr:colOff>437975</xdr:colOff>
      <xdr:row>3</xdr:row>
      <xdr:rowOff>124489</xdr:rowOff>
    </xdr:to>
    <xdr:sp macro="[0]!Planilha1.imprimir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1C72E462-BD53-46F3-BE3F-ECB41C38196E}"/>
            </a:ext>
          </a:extLst>
        </xdr:cNvPr>
        <xdr:cNvSpPr/>
      </xdr:nvSpPr>
      <xdr:spPr>
        <a:xfrm>
          <a:off x="5281246" y="403610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111125</xdr:colOff>
      <xdr:row>0</xdr:row>
      <xdr:rowOff>127000</xdr:rowOff>
    </xdr:from>
    <xdr:to>
      <xdr:col>1</xdr:col>
      <xdr:colOff>1238250</xdr:colOff>
      <xdr:row>0</xdr:row>
      <xdr:rowOff>444500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1E2D609-3820-4402-80BA-36C543DA4699}"/>
            </a:ext>
          </a:extLst>
        </xdr:cNvPr>
        <xdr:cNvSpPr/>
      </xdr:nvSpPr>
      <xdr:spPr>
        <a:xfrm>
          <a:off x="111125" y="127000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0</xdr:col>
      <xdr:colOff>116987</xdr:colOff>
      <xdr:row>0</xdr:row>
      <xdr:rowOff>509675</xdr:rowOff>
    </xdr:from>
    <xdr:to>
      <xdr:col>1</xdr:col>
      <xdr:colOff>1244112</xdr:colOff>
      <xdr:row>0</xdr:row>
      <xdr:rowOff>827175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FC1E928-F26F-46CD-9284-4076E0DFCE93}"/>
            </a:ext>
          </a:extLst>
        </xdr:cNvPr>
        <xdr:cNvSpPr/>
      </xdr:nvSpPr>
      <xdr:spPr>
        <a:xfrm>
          <a:off x="116987" y="509675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  <xdr:twoCellAnchor editAs="absolute">
    <xdr:from>
      <xdr:col>1</xdr:col>
      <xdr:colOff>1295400</xdr:colOff>
      <xdr:row>0</xdr:row>
      <xdr:rowOff>120650</xdr:rowOff>
    </xdr:from>
    <xdr:to>
      <xdr:col>2</xdr:col>
      <xdr:colOff>200025</xdr:colOff>
      <xdr:row>0</xdr:row>
      <xdr:rowOff>438150</xdr:rowOff>
    </xdr:to>
    <xdr:sp macro="[0]!PrimeiroPAT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A848CA1D-4C43-4F15-9B2B-4D875758E417}"/>
            </a:ext>
          </a:extLst>
        </xdr:cNvPr>
        <xdr:cNvSpPr/>
      </xdr:nvSpPr>
      <xdr:spPr>
        <a:xfrm>
          <a:off x="1866900" y="120650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Lista</a:t>
          </a:r>
          <a:r>
            <a:rPr lang="pt-BR" sz="1600" b="1" baseline="0"/>
            <a:t> de alunos</a:t>
          </a:r>
          <a:endParaRPr lang="pt-BR" sz="1600" b="1"/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1086304</xdr:colOff>
      <xdr:row>0</xdr:row>
      <xdr:rowOff>317500</xdr:rowOff>
    </xdr:to>
    <xdr:sp macro="[0]!MacroMenu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18CD4147-7986-4736-B0BE-570A5FA1F642}"/>
            </a:ext>
          </a:extLst>
        </xdr:cNvPr>
        <xdr:cNvSpPr/>
      </xdr:nvSpPr>
      <xdr:spPr>
        <a:xfrm>
          <a:off x="0" y="0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0</xdr:col>
      <xdr:colOff>5862</xdr:colOff>
      <xdr:row>1</xdr:row>
      <xdr:rowOff>1675</xdr:rowOff>
    </xdr:from>
    <xdr:to>
      <xdr:col>1</xdr:col>
      <xdr:colOff>1092166</xdr:colOff>
      <xdr:row>2</xdr:row>
      <xdr:rowOff>115068</xdr:rowOff>
    </xdr:to>
    <xdr:sp macro="[0]!Planilha1.imprimir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57E6BA6C-9463-4DF6-A91A-57F09305102C}"/>
            </a:ext>
          </a:extLst>
        </xdr:cNvPr>
        <xdr:cNvSpPr/>
      </xdr:nvSpPr>
      <xdr:spPr>
        <a:xfrm>
          <a:off x="5862" y="382675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429148</xdr:colOff>
      <xdr:row>0</xdr:row>
      <xdr:rowOff>31401</xdr:rowOff>
    </xdr:from>
    <xdr:to>
      <xdr:col>10</xdr:col>
      <xdr:colOff>369311</xdr:colOff>
      <xdr:row>1</xdr:row>
      <xdr:rowOff>150027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9FBB9802-4B3E-4CAA-A8E0-3C0DFAE13755}"/>
            </a:ext>
          </a:extLst>
        </xdr:cNvPr>
        <xdr:cNvSpPr/>
      </xdr:nvSpPr>
      <xdr:spPr>
        <a:xfrm>
          <a:off x="5212582" y="31401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7</xdr:col>
      <xdr:colOff>435010</xdr:colOff>
      <xdr:row>2</xdr:row>
      <xdr:rowOff>16329</xdr:rowOff>
    </xdr:from>
    <xdr:to>
      <xdr:col>10</xdr:col>
      <xdr:colOff>375173</xdr:colOff>
      <xdr:row>3</xdr:row>
      <xdr:rowOff>134955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2DF2576-D221-4188-BCDC-DA92E98791CF}"/>
            </a:ext>
          </a:extLst>
        </xdr:cNvPr>
        <xdr:cNvSpPr/>
      </xdr:nvSpPr>
      <xdr:spPr>
        <a:xfrm>
          <a:off x="5218444" y="414076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158750</xdr:colOff>
      <xdr:row>0</xdr:row>
      <xdr:rowOff>111125</xdr:rowOff>
    </xdr:from>
    <xdr:to>
      <xdr:col>1</xdr:col>
      <xdr:colOff>1285875</xdr:colOff>
      <xdr:row>0</xdr:row>
      <xdr:rowOff>428625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FC432AC-7E1C-4B89-8A48-6A8B779E99EE}"/>
            </a:ext>
          </a:extLst>
        </xdr:cNvPr>
        <xdr:cNvSpPr/>
      </xdr:nvSpPr>
      <xdr:spPr>
        <a:xfrm>
          <a:off x="158750" y="111125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0</xdr:col>
      <xdr:colOff>164612</xdr:colOff>
      <xdr:row>0</xdr:row>
      <xdr:rowOff>493800</xdr:rowOff>
    </xdr:from>
    <xdr:to>
      <xdr:col>1</xdr:col>
      <xdr:colOff>1291737</xdr:colOff>
      <xdr:row>0</xdr:row>
      <xdr:rowOff>811300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8DC70CA-ACDA-40FF-86D1-22707F5C21CF}"/>
            </a:ext>
          </a:extLst>
        </xdr:cNvPr>
        <xdr:cNvSpPr/>
      </xdr:nvSpPr>
      <xdr:spPr>
        <a:xfrm>
          <a:off x="164612" y="493800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  <xdr:twoCellAnchor editAs="absolute">
    <xdr:from>
      <xdr:col>1</xdr:col>
      <xdr:colOff>1349375</xdr:colOff>
      <xdr:row>0</xdr:row>
      <xdr:rowOff>111125</xdr:rowOff>
    </xdr:from>
    <xdr:to>
      <xdr:col>2</xdr:col>
      <xdr:colOff>254000</xdr:colOff>
      <xdr:row>0</xdr:row>
      <xdr:rowOff>428625</xdr:rowOff>
    </xdr:to>
    <xdr:sp macro="[0]!PrimeiroPBT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D03CFBDE-5E79-41A3-9929-FD5A361D7755}"/>
            </a:ext>
          </a:extLst>
        </xdr:cNvPr>
        <xdr:cNvSpPr/>
      </xdr:nvSpPr>
      <xdr:spPr>
        <a:xfrm>
          <a:off x="1920875" y="111125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Lista</a:t>
          </a:r>
          <a:r>
            <a:rPr lang="pt-BR" sz="1600" b="1" baseline="0"/>
            <a:t> de alunos</a:t>
          </a:r>
          <a:endParaRPr lang="pt-BR" sz="1600" b="1"/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13607</xdr:colOff>
      <xdr:row>0</xdr:row>
      <xdr:rowOff>13607</xdr:rowOff>
    </xdr:from>
    <xdr:to>
      <xdr:col>1</xdr:col>
      <xdr:colOff>1099911</xdr:colOff>
      <xdr:row>0</xdr:row>
      <xdr:rowOff>331107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904698B-716C-4534-8D46-B1CF19C9826E}"/>
            </a:ext>
          </a:extLst>
        </xdr:cNvPr>
        <xdr:cNvSpPr/>
      </xdr:nvSpPr>
      <xdr:spPr>
        <a:xfrm>
          <a:off x="13607" y="13607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0</xdr:col>
      <xdr:colOff>19469</xdr:colOff>
      <xdr:row>1</xdr:row>
      <xdr:rowOff>15282</xdr:rowOff>
    </xdr:from>
    <xdr:to>
      <xdr:col>1</xdr:col>
      <xdr:colOff>1105773</xdr:colOff>
      <xdr:row>2</xdr:row>
      <xdr:rowOff>128675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3EEA1B7-D13D-400B-9D43-55B6A8672F5E}"/>
            </a:ext>
          </a:extLst>
        </xdr:cNvPr>
        <xdr:cNvSpPr/>
      </xdr:nvSpPr>
      <xdr:spPr>
        <a:xfrm>
          <a:off x="19469" y="396282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429148</xdr:colOff>
      <xdr:row>0</xdr:row>
      <xdr:rowOff>31401</xdr:rowOff>
    </xdr:from>
    <xdr:to>
      <xdr:col>10</xdr:col>
      <xdr:colOff>369311</xdr:colOff>
      <xdr:row>1</xdr:row>
      <xdr:rowOff>150027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E8F9146-6AB0-4E7D-99D3-B17A02A8BF2F}"/>
            </a:ext>
          </a:extLst>
        </xdr:cNvPr>
        <xdr:cNvSpPr/>
      </xdr:nvSpPr>
      <xdr:spPr>
        <a:xfrm>
          <a:off x="5182123" y="31401"/>
          <a:ext cx="1683238" cy="318651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7</xdr:col>
      <xdr:colOff>435010</xdr:colOff>
      <xdr:row>2</xdr:row>
      <xdr:rowOff>16329</xdr:rowOff>
    </xdr:from>
    <xdr:to>
      <xdr:col>10</xdr:col>
      <xdr:colOff>375173</xdr:colOff>
      <xdr:row>3</xdr:row>
      <xdr:rowOff>134955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3279147-1094-4CCD-8DC4-1CD8E8E9A0FA}"/>
            </a:ext>
          </a:extLst>
        </xdr:cNvPr>
        <xdr:cNvSpPr/>
      </xdr:nvSpPr>
      <xdr:spPr>
        <a:xfrm>
          <a:off x="5187985" y="416379"/>
          <a:ext cx="1683238" cy="318651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158750</xdr:colOff>
      <xdr:row>0</xdr:row>
      <xdr:rowOff>111125</xdr:rowOff>
    </xdr:from>
    <xdr:to>
      <xdr:col>1</xdr:col>
      <xdr:colOff>1285875</xdr:colOff>
      <xdr:row>0</xdr:row>
      <xdr:rowOff>428625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5ADB05CF-0ADD-40D4-A263-AB8A8FC6198D}"/>
            </a:ext>
          </a:extLst>
        </xdr:cNvPr>
        <xdr:cNvSpPr/>
      </xdr:nvSpPr>
      <xdr:spPr>
        <a:xfrm>
          <a:off x="158750" y="111125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0</xdr:col>
      <xdr:colOff>164612</xdr:colOff>
      <xdr:row>0</xdr:row>
      <xdr:rowOff>493800</xdr:rowOff>
    </xdr:from>
    <xdr:to>
      <xdr:col>1</xdr:col>
      <xdr:colOff>1291737</xdr:colOff>
      <xdr:row>0</xdr:row>
      <xdr:rowOff>811300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CE4D257-07D6-4AF9-B19C-7D8651B1779C}"/>
            </a:ext>
          </a:extLst>
        </xdr:cNvPr>
        <xdr:cNvSpPr/>
      </xdr:nvSpPr>
      <xdr:spPr>
        <a:xfrm>
          <a:off x="164612" y="493800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  <xdr:twoCellAnchor editAs="absolute">
    <xdr:from>
      <xdr:col>1</xdr:col>
      <xdr:colOff>1349375</xdr:colOff>
      <xdr:row>0</xdr:row>
      <xdr:rowOff>111125</xdr:rowOff>
    </xdr:from>
    <xdr:to>
      <xdr:col>2</xdr:col>
      <xdr:colOff>254000</xdr:colOff>
      <xdr:row>0</xdr:row>
      <xdr:rowOff>428625</xdr:rowOff>
    </xdr:to>
    <xdr:sp macro="[0]!SegundoPAT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6F1AFFB9-997A-4750-9F74-8F0460D1FD3F}"/>
            </a:ext>
          </a:extLst>
        </xdr:cNvPr>
        <xdr:cNvSpPr/>
      </xdr:nvSpPr>
      <xdr:spPr>
        <a:xfrm>
          <a:off x="1920875" y="111125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Lista</a:t>
          </a:r>
          <a:r>
            <a:rPr lang="pt-BR" sz="1600" b="1" baseline="0"/>
            <a:t> de alunos</a:t>
          </a:r>
          <a:endParaRPr lang="pt-BR" sz="1600" b="1"/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13607</xdr:colOff>
      <xdr:row>0</xdr:row>
      <xdr:rowOff>13607</xdr:rowOff>
    </xdr:from>
    <xdr:to>
      <xdr:col>1</xdr:col>
      <xdr:colOff>1099911</xdr:colOff>
      <xdr:row>0</xdr:row>
      <xdr:rowOff>331107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B0A6C10-A93F-49BB-B628-54D108E319BA}"/>
            </a:ext>
          </a:extLst>
        </xdr:cNvPr>
        <xdr:cNvSpPr/>
      </xdr:nvSpPr>
      <xdr:spPr>
        <a:xfrm>
          <a:off x="13607" y="13607"/>
          <a:ext cx="1695904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0</xdr:col>
      <xdr:colOff>19469</xdr:colOff>
      <xdr:row>1</xdr:row>
      <xdr:rowOff>15282</xdr:rowOff>
    </xdr:from>
    <xdr:to>
      <xdr:col>1</xdr:col>
      <xdr:colOff>1105773</xdr:colOff>
      <xdr:row>2</xdr:row>
      <xdr:rowOff>128675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26A4383-D508-4D4A-A740-FDB8386385B1}"/>
            </a:ext>
          </a:extLst>
        </xdr:cNvPr>
        <xdr:cNvSpPr/>
      </xdr:nvSpPr>
      <xdr:spPr>
        <a:xfrm>
          <a:off x="19469" y="396282"/>
          <a:ext cx="1695904" cy="322943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429148</xdr:colOff>
      <xdr:row>0</xdr:row>
      <xdr:rowOff>31401</xdr:rowOff>
    </xdr:from>
    <xdr:to>
      <xdr:col>10</xdr:col>
      <xdr:colOff>369311</xdr:colOff>
      <xdr:row>1</xdr:row>
      <xdr:rowOff>150027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2EB0CFC-34A0-48A8-9CE6-CC624028A64E}"/>
            </a:ext>
          </a:extLst>
        </xdr:cNvPr>
        <xdr:cNvSpPr/>
      </xdr:nvSpPr>
      <xdr:spPr>
        <a:xfrm>
          <a:off x="5182123" y="31401"/>
          <a:ext cx="1683238" cy="318651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7</xdr:col>
      <xdr:colOff>435010</xdr:colOff>
      <xdr:row>2</xdr:row>
      <xdr:rowOff>16329</xdr:rowOff>
    </xdr:from>
    <xdr:to>
      <xdr:col>10</xdr:col>
      <xdr:colOff>375173</xdr:colOff>
      <xdr:row>3</xdr:row>
      <xdr:rowOff>134955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6F1555C3-72AF-4AB8-BB34-D333E6707A55}"/>
            </a:ext>
          </a:extLst>
        </xdr:cNvPr>
        <xdr:cNvSpPr/>
      </xdr:nvSpPr>
      <xdr:spPr>
        <a:xfrm>
          <a:off x="5187985" y="416379"/>
          <a:ext cx="1683238" cy="318651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158750</xdr:colOff>
      <xdr:row>0</xdr:row>
      <xdr:rowOff>111125</xdr:rowOff>
    </xdr:from>
    <xdr:to>
      <xdr:col>1</xdr:col>
      <xdr:colOff>1285875</xdr:colOff>
      <xdr:row>0</xdr:row>
      <xdr:rowOff>428625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50965F8-8990-4502-B1AB-713882B5EC89}"/>
            </a:ext>
          </a:extLst>
        </xdr:cNvPr>
        <xdr:cNvSpPr/>
      </xdr:nvSpPr>
      <xdr:spPr>
        <a:xfrm>
          <a:off x="158750" y="111125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0</xdr:col>
      <xdr:colOff>164612</xdr:colOff>
      <xdr:row>0</xdr:row>
      <xdr:rowOff>493800</xdr:rowOff>
    </xdr:from>
    <xdr:to>
      <xdr:col>1</xdr:col>
      <xdr:colOff>1291737</xdr:colOff>
      <xdr:row>0</xdr:row>
      <xdr:rowOff>811300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51016DD-A02F-4B58-BA2F-B88F9EF1B939}"/>
            </a:ext>
          </a:extLst>
        </xdr:cNvPr>
        <xdr:cNvSpPr/>
      </xdr:nvSpPr>
      <xdr:spPr>
        <a:xfrm>
          <a:off x="164612" y="493800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  <xdr:twoCellAnchor editAs="absolute">
    <xdr:from>
      <xdr:col>1</xdr:col>
      <xdr:colOff>1349375</xdr:colOff>
      <xdr:row>0</xdr:row>
      <xdr:rowOff>111125</xdr:rowOff>
    </xdr:from>
    <xdr:to>
      <xdr:col>2</xdr:col>
      <xdr:colOff>254000</xdr:colOff>
      <xdr:row>0</xdr:row>
      <xdr:rowOff>428625</xdr:rowOff>
    </xdr:to>
    <xdr:sp macro="[0]!SegundoPBT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EA0AB30-EE55-4B78-8DF5-CACF127E3842}"/>
            </a:ext>
          </a:extLst>
        </xdr:cNvPr>
        <xdr:cNvSpPr/>
      </xdr:nvSpPr>
      <xdr:spPr>
        <a:xfrm>
          <a:off x="1920875" y="111125"/>
          <a:ext cx="170497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Lista</a:t>
          </a:r>
          <a:r>
            <a:rPr lang="pt-BR" sz="1600" b="1" baseline="0"/>
            <a:t> de alunos</a:t>
          </a:r>
          <a:endParaRPr lang="pt-BR" sz="1600" b="1"/>
        </a:p>
      </xdr:txBody>
    </xdr:sp>
    <xdr:clientData fPrint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13607</xdr:colOff>
      <xdr:row>0</xdr:row>
      <xdr:rowOff>13607</xdr:rowOff>
    </xdr:from>
    <xdr:to>
      <xdr:col>1</xdr:col>
      <xdr:colOff>1099911</xdr:colOff>
      <xdr:row>0</xdr:row>
      <xdr:rowOff>331107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9158C886-F19A-4B20-8275-F1D094906A5F}"/>
            </a:ext>
          </a:extLst>
        </xdr:cNvPr>
        <xdr:cNvSpPr/>
      </xdr:nvSpPr>
      <xdr:spPr>
        <a:xfrm>
          <a:off x="13607" y="13607"/>
          <a:ext cx="1695904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0</xdr:col>
      <xdr:colOff>19469</xdr:colOff>
      <xdr:row>1</xdr:row>
      <xdr:rowOff>15282</xdr:rowOff>
    </xdr:from>
    <xdr:to>
      <xdr:col>1</xdr:col>
      <xdr:colOff>1105773</xdr:colOff>
      <xdr:row>2</xdr:row>
      <xdr:rowOff>128675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C51326A-F9C0-458C-BE95-27CE1C8066E2}"/>
            </a:ext>
          </a:extLst>
        </xdr:cNvPr>
        <xdr:cNvSpPr/>
      </xdr:nvSpPr>
      <xdr:spPr>
        <a:xfrm>
          <a:off x="19469" y="396282"/>
          <a:ext cx="1695904" cy="322943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429148</xdr:colOff>
      <xdr:row>0</xdr:row>
      <xdr:rowOff>31401</xdr:rowOff>
    </xdr:from>
    <xdr:to>
      <xdr:col>10</xdr:col>
      <xdr:colOff>369311</xdr:colOff>
      <xdr:row>1</xdr:row>
      <xdr:rowOff>150027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F439DAC-639F-4413-ABB3-3084927ED0C1}"/>
            </a:ext>
          </a:extLst>
        </xdr:cNvPr>
        <xdr:cNvSpPr/>
      </xdr:nvSpPr>
      <xdr:spPr>
        <a:xfrm>
          <a:off x="5182123" y="31401"/>
          <a:ext cx="1683238" cy="318651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7</xdr:col>
      <xdr:colOff>435010</xdr:colOff>
      <xdr:row>2</xdr:row>
      <xdr:rowOff>16329</xdr:rowOff>
    </xdr:from>
    <xdr:to>
      <xdr:col>10</xdr:col>
      <xdr:colOff>375173</xdr:colOff>
      <xdr:row>3</xdr:row>
      <xdr:rowOff>134955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64FCC1AB-2975-49FD-ABD3-D0F3F78D1DEF}"/>
            </a:ext>
          </a:extLst>
        </xdr:cNvPr>
        <xdr:cNvSpPr/>
      </xdr:nvSpPr>
      <xdr:spPr>
        <a:xfrm>
          <a:off x="5187985" y="416379"/>
          <a:ext cx="1683238" cy="318651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158750</xdr:colOff>
      <xdr:row>0</xdr:row>
      <xdr:rowOff>111125</xdr:rowOff>
    </xdr:from>
    <xdr:to>
      <xdr:col>1</xdr:col>
      <xdr:colOff>1285875</xdr:colOff>
      <xdr:row>0</xdr:row>
      <xdr:rowOff>428625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681361D-28D1-4FC3-8A17-D9085BE6FDC9}"/>
            </a:ext>
          </a:extLst>
        </xdr:cNvPr>
        <xdr:cNvSpPr/>
      </xdr:nvSpPr>
      <xdr:spPr>
        <a:xfrm>
          <a:off x="158750" y="111125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0</xdr:col>
      <xdr:colOff>164612</xdr:colOff>
      <xdr:row>0</xdr:row>
      <xdr:rowOff>493800</xdr:rowOff>
    </xdr:from>
    <xdr:to>
      <xdr:col>1</xdr:col>
      <xdr:colOff>1291737</xdr:colOff>
      <xdr:row>0</xdr:row>
      <xdr:rowOff>811300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8674E236-EADB-45DF-9A34-318DFFB26472}"/>
            </a:ext>
          </a:extLst>
        </xdr:cNvPr>
        <xdr:cNvSpPr/>
      </xdr:nvSpPr>
      <xdr:spPr>
        <a:xfrm>
          <a:off x="164612" y="493800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  <xdr:twoCellAnchor editAs="absolute">
    <xdr:from>
      <xdr:col>1</xdr:col>
      <xdr:colOff>1349375</xdr:colOff>
      <xdr:row>0</xdr:row>
      <xdr:rowOff>111125</xdr:rowOff>
    </xdr:from>
    <xdr:to>
      <xdr:col>2</xdr:col>
      <xdr:colOff>254000</xdr:colOff>
      <xdr:row>0</xdr:row>
      <xdr:rowOff>428625</xdr:rowOff>
    </xdr:to>
    <xdr:sp macro="[0]!PrimeiroAnoA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A50E33C1-A406-4F6F-81AD-93C971B5AF88}"/>
            </a:ext>
          </a:extLst>
        </xdr:cNvPr>
        <xdr:cNvSpPr/>
      </xdr:nvSpPr>
      <xdr:spPr>
        <a:xfrm>
          <a:off x="1920875" y="111125"/>
          <a:ext cx="170497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Lista</a:t>
          </a:r>
          <a:r>
            <a:rPr lang="pt-BR" sz="1600" b="1" baseline="0"/>
            <a:t> de alunos</a:t>
          </a:r>
          <a:endParaRPr lang="pt-BR" sz="1600" b="1"/>
        </a:p>
      </xdr:txBody>
    </xdr:sp>
    <xdr:clientData fPrintsWithSheet="0"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13607</xdr:colOff>
      <xdr:row>0</xdr:row>
      <xdr:rowOff>13607</xdr:rowOff>
    </xdr:from>
    <xdr:to>
      <xdr:col>1</xdr:col>
      <xdr:colOff>1099911</xdr:colOff>
      <xdr:row>0</xdr:row>
      <xdr:rowOff>331107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311A01E-3A89-4EC5-B29F-8D9C0E413F11}"/>
            </a:ext>
          </a:extLst>
        </xdr:cNvPr>
        <xdr:cNvSpPr/>
      </xdr:nvSpPr>
      <xdr:spPr>
        <a:xfrm>
          <a:off x="13607" y="13607"/>
          <a:ext cx="1695904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0</xdr:col>
      <xdr:colOff>19469</xdr:colOff>
      <xdr:row>1</xdr:row>
      <xdr:rowOff>15282</xdr:rowOff>
    </xdr:from>
    <xdr:to>
      <xdr:col>1</xdr:col>
      <xdr:colOff>1105773</xdr:colOff>
      <xdr:row>2</xdr:row>
      <xdr:rowOff>128675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D79353-1EBD-4F6E-9288-0E63B496E958}"/>
            </a:ext>
          </a:extLst>
        </xdr:cNvPr>
        <xdr:cNvSpPr/>
      </xdr:nvSpPr>
      <xdr:spPr>
        <a:xfrm>
          <a:off x="19469" y="396282"/>
          <a:ext cx="1695904" cy="322943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429148</xdr:colOff>
      <xdr:row>0</xdr:row>
      <xdr:rowOff>31401</xdr:rowOff>
    </xdr:from>
    <xdr:to>
      <xdr:col>10</xdr:col>
      <xdr:colOff>369311</xdr:colOff>
      <xdr:row>1</xdr:row>
      <xdr:rowOff>150027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C31FE0D-18B3-492A-B104-CEC838734DD5}"/>
            </a:ext>
          </a:extLst>
        </xdr:cNvPr>
        <xdr:cNvSpPr/>
      </xdr:nvSpPr>
      <xdr:spPr>
        <a:xfrm>
          <a:off x="5410723" y="31401"/>
          <a:ext cx="1768963" cy="318651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7</xdr:col>
      <xdr:colOff>435010</xdr:colOff>
      <xdr:row>2</xdr:row>
      <xdr:rowOff>16329</xdr:rowOff>
    </xdr:from>
    <xdr:to>
      <xdr:col>10</xdr:col>
      <xdr:colOff>375173</xdr:colOff>
      <xdr:row>3</xdr:row>
      <xdr:rowOff>134955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D96A831-27BF-45FE-BC26-89E755EAFAD6}"/>
            </a:ext>
          </a:extLst>
        </xdr:cNvPr>
        <xdr:cNvSpPr/>
      </xdr:nvSpPr>
      <xdr:spPr>
        <a:xfrm>
          <a:off x="5416585" y="416379"/>
          <a:ext cx="1768963" cy="318651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158750</xdr:colOff>
      <xdr:row>0</xdr:row>
      <xdr:rowOff>111125</xdr:rowOff>
    </xdr:from>
    <xdr:to>
      <xdr:col>1</xdr:col>
      <xdr:colOff>1285875</xdr:colOff>
      <xdr:row>0</xdr:row>
      <xdr:rowOff>428625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61F2D49-5D17-4666-ADB8-7FD95E921E0F}"/>
            </a:ext>
          </a:extLst>
        </xdr:cNvPr>
        <xdr:cNvSpPr/>
      </xdr:nvSpPr>
      <xdr:spPr>
        <a:xfrm>
          <a:off x="158750" y="111125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0</xdr:col>
      <xdr:colOff>164612</xdr:colOff>
      <xdr:row>0</xdr:row>
      <xdr:rowOff>493800</xdr:rowOff>
    </xdr:from>
    <xdr:to>
      <xdr:col>1</xdr:col>
      <xdr:colOff>1291737</xdr:colOff>
      <xdr:row>0</xdr:row>
      <xdr:rowOff>811300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80CB3EF-07E3-45E8-ABC0-BCACE6BC327A}"/>
            </a:ext>
          </a:extLst>
        </xdr:cNvPr>
        <xdr:cNvSpPr/>
      </xdr:nvSpPr>
      <xdr:spPr>
        <a:xfrm>
          <a:off x="164612" y="493800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  <xdr:twoCellAnchor editAs="absolute">
    <xdr:from>
      <xdr:col>1</xdr:col>
      <xdr:colOff>1349375</xdr:colOff>
      <xdr:row>0</xdr:row>
      <xdr:rowOff>111125</xdr:rowOff>
    </xdr:from>
    <xdr:to>
      <xdr:col>2</xdr:col>
      <xdr:colOff>254000</xdr:colOff>
      <xdr:row>0</xdr:row>
      <xdr:rowOff>428625</xdr:rowOff>
    </xdr:to>
    <xdr:sp macro="[0]!PrimeiroABT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A64BD8E6-3202-48BE-87E4-AA214064FCAC}"/>
            </a:ext>
          </a:extLst>
        </xdr:cNvPr>
        <xdr:cNvSpPr/>
      </xdr:nvSpPr>
      <xdr:spPr>
        <a:xfrm>
          <a:off x="1920875" y="111125"/>
          <a:ext cx="170497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Lista</a:t>
          </a:r>
          <a:r>
            <a:rPr lang="pt-BR" sz="1600" b="1" baseline="0"/>
            <a:t> de alunos</a:t>
          </a:r>
          <a:endParaRPr lang="pt-BR" sz="1600" b="1"/>
        </a:p>
      </xdr:txBody>
    </xdr:sp>
    <xdr:clientData fPrintsWithSheet="0"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13607</xdr:colOff>
      <xdr:row>0</xdr:row>
      <xdr:rowOff>13607</xdr:rowOff>
    </xdr:from>
    <xdr:to>
      <xdr:col>1</xdr:col>
      <xdr:colOff>1099911</xdr:colOff>
      <xdr:row>0</xdr:row>
      <xdr:rowOff>331107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5AF0AC2-DAF1-46BF-817D-C9C808A105A9}"/>
            </a:ext>
          </a:extLst>
        </xdr:cNvPr>
        <xdr:cNvSpPr/>
      </xdr:nvSpPr>
      <xdr:spPr>
        <a:xfrm>
          <a:off x="13607" y="13607"/>
          <a:ext cx="1695904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0</xdr:col>
      <xdr:colOff>19469</xdr:colOff>
      <xdr:row>1</xdr:row>
      <xdr:rowOff>15282</xdr:rowOff>
    </xdr:from>
    <xdr:to>
      <xdr:col>1</xdr:col>
      <xdr:colOff>1105773</xdr:colOff>
      <xdr:row>2</xdr:row>
      <xdr:rowOff>128675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E91D2F9-F83D-4F50-B76C-357FC857713B}"/>
            </a:ext>
          </a:extLst>
        </xdr:cNvPr>
        <xdr:cNvSpPr/>
      </xdr:nvSpPr>
      <xdr:spPr>
        <a:xfrm>
          <a:off x="19469" y="396282"/>
          <a:ext cx="1695904" cy="322943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429148</xdr:colOff>
      <xdr:row>0</xdr:row>
      <xdr:rowOff>31401</xdr:rowOff>
    </xdr:from>
    <xdr:to>
      <xdr:col>10</xdr:col>
      <xdr:colOff>369311</xdr:colOff>
      <xdr:row>1</xdr:row>
      <xdr:rowOff>150027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C0B5A92-22DC-40E6-8C12-3CDC85B5A4D8}"/>
            </a:ext>
          </a:extLst>
        </xdr:cNvPr>
        <xdr:cNvSpPr/>
      </xdr:nvSpPr>
      <xdr:spPr>
        <a:xfrm>
          <a:off x="5410723" y="31401"/>
          <a:ext cx="1768963" cy="318651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7</xdr:col>
      <xdr:colOff>435010</xdr:colOff>
      <xdr:row>2</xdr:row>
      <xdr:rowOff>16329</xdr:rowOff>
    </xdr:from>
    <xdr:to>
      <xdr:col>10</xdr:col>
      <xdr:colOff>375173</xdr:colOff>
      <xdr:row>3</xdr:row>
      <xdr:rowOff>134955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3927030-B1B8-4E05-933E-E143720AFCF1}"/>
            </a:ext>
          </a:extLst>
        </xdr:cNvPr>
        <xdr:cNvSpPr/>
      </xdr:nvSpPr>
      <xdr:spPr>
        <a:xfrm>
          <a:off x="5416585" y="416379"/>
          <a:ext cx="1768963" cy="318651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158750</xdr:colOff>
      <xdr:row>0</xdr:row>
      <xdr:rowOff>111125</xdr:rowOff>
    </xdr:from>
    <xdr:to>
      <xdr:col>1</xdr:col>
      <xdr:colOff>1285875</xdr:colOff>
      <xdr:row>0</xdr:row>
      <xdr:rowOff>428625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242CAFF-BC48-41CE-B975-2B3938591254}"/>
            </a:ext>
          </a:extLst>
        </xdr:cNvPr>
        <xdr:cNvSpPr/>
      </xdr:nvSpPr>
      <xdr:spPr>
        <a:xfrm>
          <a:off x="158750" y="111125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0</xdr:col>
      <xdr:colOff>164612</xdr:colOff>
      <xdr:row>0</xdr:row>
      <xdr:rowOff>493800</xdr:rowOff>
    </xdr:from>
    <xdr:to>
      <xdr:col>1</xdr:col>
      <xdr:colOff>1291737</xdr:colOff>
      <xdr:row>0</xdr:row>
      <xdr:rowOff>811300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DDFA3E4-7726-46FE-88CF-57A4D7427881}"/>
            </a:ext>
          </a:extLst>
        </xdr:cNvPr>
        <xdr:cNvSpPr/>
      </xdr:nvSpPr>
      <xdr:spPr>
        <a:xfrm>
          <a:off x="164612" y="493800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  <xdr:twoCellAnchor editAs="absolute">
    <xdr:from>
      <xdr:col>1</xdr:col>
      <xdr:colOff>1349375</xdr:colOff>
      <xdr:row>0</xdr:row>
      <xdr:rowOff>111125</xdr:rowOff>
    </xdr:from>
    <xdr:to>
      <xdr:col>2</xdr:col>
      <xdr:colOff>254000</xdr:colOff>
      <xdr:row>0</xdr:row>
      <xdr:rowOff>428625</xdr:rowOff>
    </xdr:to>
    <xdr:sp macro="[0]!SegundoAAT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583DD47-B565-4110-8AAC-AC66FA6B53D3}"/>
            </a:ext>
          </a:extLst>
        </xdr:cNvPr>
        <xdr:cNvSpPr/>
      </xdr:nvSpPr>
      <xdr:spPr>
        <a:xfrm>
          <a:off x="1920875" y="111125"/>
          <a:ext cx="170497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Lista</a:t>
          </a:r>
          <a:r>
            <a:rPr lang="pt-BR" sz="1600" b="1" baseline="0"/>
            <a:t> de alunos</a:t>
          </a:r>
          <a:endParaRPr lang="pt-BR" sz="1600" b="1"/>
        </a:p>
      </xdr:txBody>
    </xdr:sp>
    <xdr:clientData fPrintsWithSheet="0"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13607</xdr:colOff>
      <xdr:row>0</xdr:row>
      <xdr:rowOff>13607</xdr:rowOff>
    </xdr:from>
    <xdr:to>
      <xdr:col>1</xdr:col>
      <xdr:colOff>1099911</xdr:colOff>
      <xdr:row>0</xdr:row>
      <xdr:rowOff>331107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599F9EFF-13EE-4088-B2D7-6247E7BFA545}"/>
            </a:ext>
          </a:extLst>
        </xdr:cNvPr>
        <xdr:cNvSpPr/>
      </xdr:nvSpPr>
      <xdr:spPr>
        <a:xfrm>
          <a:off x="13607" y="13607"/>
          <a:ext cx="1695904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0</xdr:col>
      <xdr:colOff>19469</xdr:colOff>
      <xdr:row>1</xdr:row>
      <xdr:rowOff>15282</xdr:rowOff>
    </xdr:from>
    <xdr:to>
      <xdr:col>1</xdr:col>
      <xdr:colOff>1105773</xdr:colOff>
      <xdr:row>2</xdr:row>
      <xdr:rowOff>128675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6A3DB480-27C0-4911-8E4D-C9428D7BA418}"/>
            </a:ext>
          </a:extLst>
        </xdr:cNvPr>
        <xdr:cNvSpPr/>
      </xdr:nvSpPr>
      <xdr:spPr>
        <a:xfrm>
          <a:off x="19469" y="396282"/>
          <a:ext cx="1695904" cy="322943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429148</xdr:colOff>
      <xdr:row>0</xdr:row>
      <xdr:rowOff>31401</xdr:rowOff>
    </xdr:from>
    <xdr:to>
      <xdr:col>10</xdr:col>
      <xdr:colOff>369311</xdr:colOff>
      <xdr:row>1</xdr:row>
      <xdr:rowOff>150027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1CDADE6-73F7-4955-877B-D187DA40D663}"/>
            </a:ext>
          </a:extLst>
        </xdr:cNvPr>
        <xdr:cNvSpPr/>
      </xdr:nvSpPr>
      <xdr:spPr>
        <a:xfrm>
          <a:off x="5410723" y="31401"/>
          <a:ext cx="1768963" cy="318651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7</xdr:col>
      <xdr:colOff>435010</xdr:colOff>
      <xdr:row>2</xdr:row>
      <xdr:rowOff>16329</xdr:rowOff>
    </xdr:from>
    <xdr:to>
      <xdr:col>10</xdr:col>
      <xdr:colOff>375173</xdr:colOff>
      <xdr:row>3</xdr:row>
      <xdr:rowOff>134955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1E1A387-E2FC-480D-9693-D28A828A6463}"/>
            </a:ext>
          </a:extLst>
        </xdr:cNvPr>
        <xdr:cNvSpPr/>
      </xdr:nvSpPr>
      <xdr:spPr>
        <a:xfrm>
          <a:off x="5416585" y="416379"/>
          <a:ext cx="1768963" cy="318651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158750</xdr:colOff>
      <xdr:row>0</xdr:row>
      <xdr:rowOff>111125</xdr:rowOff>
    </xdr:from>
    <xdr:to>
      <xdr:col>1</xdr:col>
      <xdr:colOff>1285875</xdr:colOff>
      <xdr:row>0</xdr:row>
      <xdr:rowOff>428625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7FC4DFA-DAA6-4289-A651-CBBE1F8AED99}"/>
            </a:ext>
          </a:extLst>
        </xdr:cNvPr>
        <xdr:cNvSpPr/>
      </xdr:nvSpPr>
      <xdr:spPr>
        <a:xfrm>
          <a:off x="158750" y="111125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0</xdr:col>
      <xdr:colOff>164612</xdr:colOff>
      <xdr:row>0</xdr:row>
      <xdr:rowOff>493800</xdr:rowOff>
    </xdr:from>
    <xdr:to>
      <xdr:col>1</xdr:col>
      <xdr:colOff>1291737</xdr:colOff>
      <xdr:row>0</xdr:row>
      <xdr:rowOff>811300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CAC8AB7-82A4-4748-8276-FC2A50614165}"/>
            </a:ext>
          </a:extLst>
        </xdr:cNvPr>
        <xdr:cNvSpPr/>
      </xdr:nvSpPr>
      <xdr:spPr>
        <a:xfrm>
          <a:off x="164612" y="493800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  <xdr:twoCellAnchor editAs="absolute">
    <xdr:from>
      <xdr:col>1</xdr:col>
      <xdr:colOff>1349375</xdr:colOff>
      <xdr:row>0</xdr:row>
      <xdr:rowOff>111125</xdr:rowOff>
    </xdr:from>
    <xdr:to>
      <xdr:col>2</xdr:col>
      <xdr:colOff>254000</xdr:colOff>
      <xdr:row>0</xdr:row>
      <xdr:rowOff>428625</xdr:rowOff>
    </xdr:to>
    <xdr:sp macro="[0]!SegundoABT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B37C95DE-20AD-4BBD-B65F-9FB7A015F1EC}"/>
            </a:ext>
          </a:extLst>
        </xdr:cNvPr>
        <xdr:cNvSpPr/>
      </xdr:nvSpPr>
      <xdr:spPr>
        <a:xfrm>
          <a:off x="1920875" y="111125"/>
          <a:ext cx="170497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Lista</a:t>
          </a:r>
          <a:r>
            <a:rPr lang="pt-BR" sz="1600" b="1" baseline="0"/>
            <a:t> de alunos</a:t>
          </a:r>
          <a:endParaRPr lang="pt-BR" sz="1600" b="1"/>
        </a:p>
      </xdr:txBody>
    </xdr:sp>
    <xdr:clientData fPrintsWithSheet="0"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13607</xdr:colOff>
      <xdr:row>0</xdr:row>
      <xdr:rowOff>13607</xdr:rowOff>
    </xdr:from>
    <xdr:to>
      <xdr:col>1</xdr:col>
      <xdr:colOff>1099911</xdr:colOff>
      <xdr:row>0</xdr:row>
      <xdr:rowOff>331107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982DB9BE-B82C-4E8B-89A5-983DDF359149}"/>
            </a:ext>
          </a:extLst>
        </xdr:cNvPr>
        <xdr:cNvSpPr/>
      </xdr:nvSpPr>
      <xdr:spPr>
        <a:xfrm>
          <a:off x="13607" y="13607"/>
          <a:ext cx="1695904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0</xdr:col>
      <xdr:colOff>19469</xdr:colOff>
      <xdr:row>1</xdr:row>
      <xdr:rowOff>15282</xdr:rowOff>
    </xdr:from>
    <xdr:to>
      <xdr:col>1</xdr:col>
      <xdr:colOff>1105773</xdr:colOff>
      <xdr:row>2</xdr:row>
      <xdr:rowOff>128675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FC22AAE-8B72-4DCC-96C7-69E462F14882}"/>
            </a:ext>
          </a:extLst>
        </xdr:cNvPr>
        <xdr:cNvSpPr/>
      </xdr:nvSpPr>
      <xdr:spPr>
        <a:xfrm>
          <a:off x="19469" y="396282"/>
          <a:ext cx="1695904" cy="322943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429148</xdr:colOff>
      <xdr:row>0</xdr:row>
      <xdr:rowOff>31401</xdr:rowOff>
    </xdr:from>
    <xdr:to>
      <xdr:col>10</xdr:col>
      <xdr:colOff>369311</xdr:colOff>
      <xdr:row>1</xdr:row>
      <xdr:rowOff>150027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9AAA0ED-4284-471A-9E82-4C9213F1BFA6}"/>
            </a:ext>
          </a:extLst>
        </xdr:cNvPr>
        <xdr:cNvSpPr/>
      </xdr:nvSpPr>
      <xdr:spPr>
        <a:xfrm>
          <a:off x="5410723" y="31401"/>
          <a:ext cx="1768963" cy="318651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7</xdr:col>
      <xdr:colOff>435010</xdr:colOff>
      <xdr:row>2</xdr:row>
      <xdr:rowOff>16329</xdr:rowOff>
    </xdr:from>
    <xdr:to>
      <xdr:col>10</xdr:col>
      <xdr:colOff>375173</xdr:colOff>
      <xdr:row>3</xdr:row>
      <xdr:rowOff>134955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48CCBB6-8BD6-47D1-A565-3182CBD9D5C6}"/>
            </a:ext>
          </a:extLst>
        </xdr:cNvPr>
        <xdr:cNvSpPr/>
      </xdr:nvSpPr>
      <xdr:spPr>
        <a:xfrm>
          <a:off x="5416585" y="416379"/>
          <a:ext cx="1768963" cy="318651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158750</xdr:colOff>
      <xdr:row>0</xdr:row>
      <xdr:rowOff>111125</xdr:rowOff>
    </xdr:from>
    <xdr:to>
      <xdr:col>1</xdr:col>
      <xdr:colOff>1285875</xdr:colOff>
      <xdr:row>0</xdr:row>
      <xdr:rowOff>428625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CD82A3C-CAF8-4C1D-8C84-89933D617568}"/>
            </a:ext>
          </a:extLst>
        </xdr:cNvPr>
        <xdr:cNvSpPr/>
      </xdr:nvSpPr>
      <xdr:spPr>
        <a:xfrm>
          <a:off x="158750" y="111125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0</xdr:col>
      <xdr:colOff>164612</xdr:colOff>
      <xdr:row>0</xdr:row>
      <xdr:rowOff>493800</xdr:rowOff>
    </xdr:from>
    <xdr:to>
      <xdr:col>1</xdr:col>
      <xdr:colOff>1291737</xdr:colOff>
      <xdr:row>0</xdr:row>
      <xdr:rowOff>811300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7E64D8C8-7E9F-4B00-B38D-0C6779E9EA89}"/>
            </a:ext>
          </a:extLst>
        </xdr:cNvPr>
        <xdr:cNvSpPr/>
      </xdr:nvSpPr>
      <xdr:spPr>
        <a:xfrm>
          <a:off x="164612" y="493800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  <xdr:twoCellAnchor editAs="absolute">
    <xdr:from>
      <xdr:col>1</xdr:col>
      <xdr:colOff>1349375</xdr:colOff>
      <xdr:row>0</xdr:row>
      <xdr:rowOff>111125</xdr:rowOff>
    </xdr:from>
    <xdr:to>
      <xdr:col>2</xdr:col>
      <xdr:colOff>254000</xdr:colOff>
      <xdr:row>0</xdr:row>
      <xdr:rowOff>428625</xdr:rowOff>
    </xdr:to>
    <xdr:sp macro="[0]!TerceiroAAT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747265AB-549A-4A3A-A123-163709AA5009}"/>
            </a:ext>
          </a:extLst>
        </xdr:cNvPr>
        <xdr:cNvSpPr/>
      </xdr:nvSpPr>
      <xdr:spPr>
        <a:xfrm>
          <a:off x="1920875" y="111125"/>
          <a:ext cx="170497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Lista</a:t>
          </a:r>
          <a:r>
            <a:rPr lang="pt-BR" sz="1600" b="1" baseline="0"/>
            <a:t> de alunos</a:t>
          </a:r>
          <a:endParaRPr lang="pt-BR" sz="1600" b="1"/>
        </a:p>
      </xdr:txBody>
    </xdr:sp>
    <xdr:clientData fPrintsWithSheet="0"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13607</xdr:colOff>
      <xdr:row>0</xdr:row>
      <xdr:rowOff>13607</xdr:rowOff>
    </xdr:from>
    <xdr:to>
      <xdr:col>1</xdr:col>
      <xdr:colOff>1099911</xdr:colOff>
      <xdr:row>0</xdr:row>
      <xdr:rowOff>331107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631C35B-5159-453F-92BE-D914880FEBA7}"/>
            </a:ext>
          </a:extLst>
        </xdr:cNvPr>
        <xdr:cNvSpPr/>
      </xdr:nvSpPr>
      <xdr:spPr>
        <a:xfrm>
          <a:off x="13607" y="13607"/>
          <a:ext cx="1695904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0</xdr:col>
      <xdr:colOff>19469</xdr:colOff>
      <xdr:row>1</xdr:row>
      <xdr:rowOff>15282</xdr:rowOff>
    </xdr:from>
    <xdr:to>
      <xdr:col>1</xdr:col>
      <xdr:colOff>1105773</xdr:colOff>
      <xdr:row>2</xdr:row>
      <xdr:rowOff>128675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442D5B9-8F1D-4ABC-B87C-7A05AF807CF6}"/>
            </a:ext>
          </a:extLst>
        </xdr:cNvPr>
        <xdr:cNvSpPr/>
      </xdr:nvSpPr>
      <xdr:spPr>
        <a:xfrm>
          <a:off x="19469" y="396282"/>
          <a:ext cx="1695904" cy="322943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429148</xdr:colOff>
      <xdr:row>0</xdr:row>
      <xdr:rowOff>31401</xdr:rowOff>
    </xdr:from>
    <xdr:to>
      <xdr:col>10</xdr:col>
      <xdr:colOff>369311</xdr:colOff>
      <xdr:row>1</xdr:row>
      <xdr:rowOff>150027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932804C9-BB97-40C3-AED4-B1FDF7F04D3C}"/>
            </a:ext>
          </a:extLst>
        </xdr:cNvPr>
        <xdr:cNvSpPr/>
      </xdr:nvSpPr>
      <xdr:spPr>
        <a:xfrm>
          <a:off x="5410723" y="31401"/>
          <a:ext cx="1768963" cy="318651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7</xdr:col>
      <xdr:colOff>435010</xdr:colOff>
      <xdr:row>2</xdr:row>
      <xdr:rowOff>16329</xdr:rowOff>
    </xdr:from>
    <xdr:to>
      <xdr:col>10</xdr:col>
      <xdr:colOff>375173</xdr:colOff>
      <xdr:row>3</xdr:row>
      <xdr:rowOff>134955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737E830E-9E45-4BC9-82C8-E9C85EF17BA4}"/>
            </a:ext>
          </a:extLst>
        </xdr:cNvPr>
        <xdr:cNvSpPr/>
      </xdr:nvSpPr>
      <xdr:spPr>
        <a:xfrm>
          <a:off x="5416585" y="416379"/>
          <a:ext cx="1768963" cy="318651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158750</xdr:colOff>
      <xdr:row>0</xdr:row>
      <xdr:rowOff>111125</xdr:rowOff>
    </xdr:from>
    <xdr:to>
      <xdr:col>1</xdr:col>
      <xdr:colOff>1285875</xdr:colOff>
      <xdr:row>0</xdr:row>
      <xdr:rowOff>428625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A895C82-C61D-402D-9A3F-AE5DFBC4DD86}"/>
            </a:ext>
          </a:extLst>
        </xdr:cNvPr>
        <xdr:cNvSpPr/>
      </xdr:nvSpPr>
      <xdr:spPr>
        <a:xfrm>
          <a:off x="158750" y="111125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0</xdr:col>
      <xdr:colOff>164612</xdr:colOff>
      <xdr:row>0</xdr:row>
      <xdr:rowOff>493800</xdr:rowOff>
    </xdr:from>
    <xdr:to>
      <xdr:col>1</xdr:col>
      <xdr:colOff>1291737</xdr:colOff>
      <xdr:row>0</xdr:row>
      <xdr:rowOff>811300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5283633-39ED-4A20-85E9-9F537A284A05}"/>
            </a:ext>
          </a:extLst>
        </xdr:cNvPr>
        <xdr:cNvSpPr/>
      </xdr:nvSpPr>
      <xdr:spPr>
        <a:xfrm>
          <a:off x="164612" y="493800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  <xdr:twoCellAnchor editAs="absolute">
    <xdr:from>
      <xdr:col>1</xdr:col>
      <xdr:colOff>1349375</xdr:colOff>
      <xdr:row>0</xdr:row>
      <xdr:rowOff>111125</xdr:rowOff>
    </xdr:from>
    <xdr:to>
      <xdr:col>2</xdr:col>
      <xdr:colOff>254000</xdr:colOff>
      <xdr:row>0</xdr:row>
      <xdr:rowOff>428625</xdr:rowOff>
    </xdr:to>
    <xdr:sp macro="[0]!TerceiroABT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FB51E9E-1498-4962-AE97-68F3FEC81114}"/>
            </a:ext>
          </a:extLst>
        </xdr:cNvPr>
        <xdr:cNvSpPr/>
      </xdr:nvSpPr>
      <xdr:spPr>
        <a:xfrm>
          <a:off x="1920875" y="111125"/>
          <a:ext cx="170497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Lista</a:t>
          </a:r>
          <a:r>
            <a:rPr lang="pt-BR" sz="1600" b="1" baseline="0"/>
            <a:t> de alunos</a:t>
          </a:r>
          <a:endParaRPr lang="pt-BR" sz="1600" b="1"/>
        </a:p>
      </xdr:txBody>
    </xdr:sp>
    <xdr:clientData fPrintsWithSheet="0"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13607</xdr:colOff>
      <xdr:row>0</xdr:row>
      <xdr:rowOff>13607</xdr:rowOff>
    </xdr:from>
    <xdr:to>
      <xdr:col>1</xdr:col>
      <xdr:colOff>1099911</xdr:colOff>
      <xdr:row>0</xdr:row>
      <xdr:rowOff>331107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020B776-FD26-4AB5-BFBC-51AF992DFF7C}"/>
            </a:ext>
          </a:extLst>
        </xdr:cNvPr>
        <xdr:cNvSpPr/>
      </xdr:nvSpPr>
      <xdr:spPr>
        <a:xfrm>
          <a:off x="13607" y="13607"/>
          <a:ext cx="1695904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0</xdr:col>
      <xdr:colOff>19469</xdr:colOff>
      <xdr:row>1</xdr:row>
      <xdr:rowOff>15282</xdr:rowOff>
    </xdr:from>
    <xdr:to>
      <xdr:col>1</xdr:col>
      <xdr:colOff>1105773</xdr:colOff>
      <xdr:row>2</xdr:row>
      <xdr:rowOff>128675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AC20663-6FF9-495F-9948-BB143FBAAB15}"/>
            </a:ext>
          </a:extLst>
        </xdr:cNvPr>
        <xdr:cNvSpPr/>
      </xdr:nvSpPr>
      <xdr:spPr>
        <a:xfrm>
          <a:off x="19469" y="396282"/>
          <a:ext cx="1695904" cy="322943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429148</xdr:colOff>
      <xdr:row>0</xdr:row>
      <xdr:rowOff>31401</xdr:rowOff>
    </xdr:from>
    <xdr:to>
      <xdr:col>10</xdr:col>
      <xdr:colOff>369311</xdr:colOff>
      <xdr:row>1</xdr:row>
      <xdr:rowOff>150027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F52D374-79FC-4B3D-AF29-112E49069285}"/>
            </a:ext>
          </a:extLst>
        </xdr:cNvPr>
        <xdr:cNvSpPr/>
      </xdr:nvSpPr>
      <xdr:spPr>
        <a:xfrm>
          <a:off x="5410723" y="31401"/>
          <a:ext cx="1768963" cy="318651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7</xdr:col>
      <xdr:colOff>435010</xdr:colOff>
      <xdr:row>2</xdr:row>
      <xdr:rowOff>16329</xdr:rowOff>
    </xdr:from>
    <xdr:to>
      <xdr:col>10</xdr:col>
      <xdr:colOff>375173</xdr:colOff>
      <xdr:row>3</xdr:row>
      <xdr:rowOff>134955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170F5F8-ADF3-4CD3-B78B-3FC1D1FAC09E}"/>
            </a:ext>
          </a:extLst>
        </xdr:cNvPr>
        <xdr:cNvSpPr/>
      </xdr:nvSpPr>
      <xdr:spPr>
        <a:xfrm>
          <a:off x="5416585" y="416379"/>
          <a:ext cx="1768963" cy="318651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158750</xdr:colOff>
      <xdr:row>0</xdr:row>
      <xdr:rowOff>111125</xdr:rowOff>
    </xdr:from>
    <xdr:to>
      <xdr:col>1</xdr:col>
      <xdr:colOff>1285875</xdr:colOff>
      <xdr:row>0</xdr:row>
      <xdr:rowOff>428625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320308E-2297-463C-A106-8DE8FFC1B52E}"/>
            </a:ext>
          </a:extLst>
        </xdr:cNvPr>
        <xdr:cNvSpPr/>
      </xdr:nvSpPr>
      <xdr:spPr>
        <a:xfrm>
          <a:off x="158750" y="111125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0</xdr:col>
      <xdr:colOff>164612</xdr:colOff>
      <xdr:row>0</xdr:row>
      <xdr:rowOff>493800</xdr:rowOff>
    </xdr:from>
    <xdr:to>
      <xdr:col>1</xdr:col>
      <xdr:colOff>1291737</xdr:colOff>
      <xdr:row>0</xdr:row>
      <xdr:rowOff>811300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E2C0703-C09E-42F2-9345-C49316DF702C}"/>
            </a:ext>
          </a:extLst>
        </xdr:cNvPr>
        <xdr:cNvSpPr/>
      </xdr:nvSpPr>
      <xdr:spPr>
        <a:xfrm>
          <a:off x="164612" y="493800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  <xdr:twoCellAnchor editAs="absolute">
    <xdr:from>
      <xdr:col>1</xdr:col>
      <xdr:colOff>1349375</xdr:colOff>
      <xdr:row>0</xdr:row>
      <xdr:rowOff>111125</xdr:rowOff>
    </xdr:from>
    <xdr:to>
      <xdr:col>2</xdr:col>
      <xdr:colOff>254000</xdr:colOff>
      <xdr:row>0</xdr:row>
      <xdr:rowOff>428625</xdr:rowOff>
    </xdr:to>
    <xdr:sp macro="[0]!QuartoAAT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46CACC28-DBD4-4DE4-B3CB-96AE319E1F65}"/>
            </a:ext>
          </a:extLst>
        </xdr:cNvPr>
        <xdr:cNvSpPr/>
      </xdr:nvSpPr>
      <xdr:spPr>
        <a:xfrm>
          <a:off x="1920875" y="111125"/>
          <a:ext cx="170497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Lista</a:t>
          </a:r>
          <a:r>
            <a:rPr lang="pt-BR" sz="1600" b="1" baseline="0"/>
            <a:t> de alunos</a:t>
          </a:r>
          <a:endParaRPr lang="pt-BR" sz="1600" b="1"/>
        </a:p>
      </xdr:txBody>
    </xdr:sp>
    <xdr:clientData fPrintsWithSheet="0"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13607</xdr:colOff>
      <xdr:row>0</xdr:row>
      <xdr:rowOff>13607</xdr:rowOff>
    </xdr:from>
    <xdr:to>
      <xdr:col>1</xdr:col>
      <xdr:colOff>1099911</xdr:colOff>
      <xdr:row>0</xdr:row>
      <xdr:rowOff>331107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B7A3B85-E3B4-4805-B9EE-1ECE68EE5B14}"/>
            </a:ext>
          </a:extLst>
        </xdr:cNvPr>
        <xdr:cNvSpPr/>
      </xdr:nvSpPr>
      <xdr:spPr>
        <a:xfrm>
          <a:off x="13607" y="13607"/>
          <a:ext cx="1695904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0</xdr:col>
      <xdr:colOff>19469</xdr:colOff>
      <xdr:row>1</xdr:row>
      <xdr:rowOff>15282</xdr:rowOff>
    </xdr:from>
    <xdr:to>
      <xdr:col>1</xdr:col>
      <xdr:colOff>1105773</xdr:colOff>
      <xdr:row>2</xdr:row>
      <xdr:rowOff>128675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6E2A816-2F2D-4E25-B8B7-2A092DA110EB}"/>
            </a:ext>
          </a:extLst>
        </xdr:cNvPr>
        <xdr:cNvSpPr/>
      </xdr:nvSpPr>
      <xdr:spPr>
        <a:xfrm>
          <a:off x="19469" y="396282"/>
          <a:ext cx="1695904" cy="322943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429148</xdr:colOff>
      <xdr:row>0</xdr:row>
      <xdr:rowOff>31401</xdr:rowOff>
    </xdr:from>
    <xdr:to>
      <xdr:col>10</xdr:col>
      <xdr:colOff>369311</xdr:colOff>
      <xdr:row>1</xdr:row>
      <xdr:rowOff>150027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D8CE92C-2794-424D-9D3A-CC90B4F204F4}"/>
            </a:ext>
          </a:extLst>
        </xdr:cNvPr>
        <xdr:cNvSpPr/>
      </xdr:nvSpPr>
      <xdr:spPr>
        <a:xfrm>
          <a:off x="5410723" y="31401"/>
          <a:ext cx="1768963" cy="318651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7</xdr:col>
      <xdr:colOff>435010</xdr:colOff>
      <xdr:row>2</xdr:row>
      <xdr:rowOff>16329</xdr:rowOff>
    </xdr:from>
    <xdr:to>
      <xdr:col>10</xdr:col>
      <xdr:colOff>375173</xdr:colOff>
      <xdr:row>3</xdr:row>
      <xdr:rowOff>134955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936D94C-2395-461C-87D3-DF64BB0678C3}"/>
            </a:ext>
          </a:extLst>
        </xdr:cNvPr>
        <xdr:cNvSpPr/>
      </xdr:nvSpPr>
      <xdr:spPr>
        <a:xfrm>
          <a:off x="5416585" y="416379"/>
          <a:ext cx="1768963" cy="318651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158750</xdr:colOff>
      <xdr:row>0</xdr:row>
      <xdr:rowOff>111125</xdr:rowOff>
    </xdr:from>
    <xdr:to>
      <xdr:col>1</xdr:col>
      <xdr:colOff>1285875</xdr:colOff>
      <xdr:row>0</xdr:row>
      <xdr:rowOff>428625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B49A3028-0639-4BD4-92D8-79F00B43AFC5}"/>
            </a:ext>
          </a:extLst>
        </xdr:cNvPr>
        <xdr:cNvSpPr/>
      </xdr:nvSpPr>
      <xdr:spPr>
        <a:xfrm>
          <a:off x="158750" y="111125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0</xdr:col>
      <xdr:colOff>164612</xdr:colOff>
      <xdr:row>0</xdr:row>
      <xdr:rowOff>493800</xdr:rowOff>
    </xdr:from>
    <xdr:to>
      <xdr:col>1</xdr:col>
      <xdr:colOff>1291737</xdr:colOff>
      <xdr:row>0</xdr:row>
      <xdr:rowOff>811300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4A3E053-F1CC-460E-9EDF-CE3F79AD4D08}"/>
            </a:ext>
          </a:extLst>
        </xdr:cNvPr>
        <xdr:cNvSpPr/>
      </xdr:nvSpPr>
      <xdr:spPr>
        <a:xfrm>
          <a:off x="164612" y="493800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  <xdr:twoCellAnchor editAs="absolute">
    <xdr:from>
      <xdr:col>1</xdr:col>
      <xdr:colOff>1349375</xdr:colOff>
      <xdr:row>0</xdr:row>
      <xdr:rowOff>111125</xdr:rowOff>
    </xdr:from>
    <xdr:to>
      <xdr:col>2</xdr:col>
      <xdr:colOff>254000</xdr:colOff>
      <xdr:row>0</xdr:row>
      <xdr:rowOff>428625</xdr:rowOff>
    </xdr:to>
    <xdr:sp macro="[0]!QuartoABT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1C23B922-44E5-47E4-9250-D317ACE5F99C}"/>
            </a:ext>
          </a:extLst>
        </xdr:cNvPr>
        <xdr:cNvSpPr/>
      </xdr:nvSpPr>
      <xdr:spPr>
        <a:xfrm>
          <a:off x="1920875" y="111125"/>
          <a:ext cx="170497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Lista</a:t>
          </a:r>
          <a:r>
            <a:rPr lang="pt-BR" sz="1600" b="1" baseline="0"/>
            <a:t> de alunos</a:t>
          </a:r>
          <a:endParaRPr lang="pt-BR" sz="1600" b="1"/>
        </a:p>
      </xdr:txBody>
    </xdr:sp>
    <xdr:clientData fPrintsWithSheet="0"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13607</xdr:colOff>
      <xdr:row>0</xdr:row>
      <xdr:rowOff>13607</xdr:rowOff>
    </xdr:from>
    <xdr:to>
      <xdr:col>1</xdr:col>
      <xdr:colOff>1099911</xdr:colOff>
      <xdr:row>0</xdr:row>
      <xdr:rowOff>331107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97AFECD1-F182-45A6-A9A2-F68405F57D67}"/>
            </a:ext>
          </a:extLst>
        </xdr:cNvPr>
        <xdr:cNvSpPr/>
      </xdr:nvSpPr>
      <xdr:spPr>
        <a:xfrm>
          <a:off x="13607" y="13607"/>
          <a:ext cx="1695904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0</xdr:col>
      <xdr:colOff>19469</xdr:colOff>
      <xdr:row>1</xdr:row>
      <xdr:rowOff>15282</xdr:rowOff>
    </xdr:from>
    <xdr:to>
      <xdr:col>1</xdr:col>
      <xdr:colOff>1105773</xdr:colOff>
      <xdr:row>2</xdr:row>
      <xdr:rowOff>128675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5D9EF71-5952-4A18-9B01-F813F2905443}"/>
            </a:ext>
          </a:extLst>
        </xdr:cNvPr>
        <xdr:cNvSpPr/>
      </xdr:nvSpPr>
      <xdr:spPr>
        <a:xfrm>
          <a:off x="19469" y="396282"/>
          <a:ext cx="1695904" cy="322943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429148</xdr:colOff>
      <xdr:row>0</xdr:row>
      <xdr:rowOff>31401</xdr:rowOff>
    </xdr:from>
    <xdr:to>
      <xdr:col>10</xdr:col>
      <xdr:colOff>369311</xdr:colOff>
      <xdr:row>1</xdr:row>
      <xdr:rowOff>150027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7E0EC27-C4BF-4A42-A1CF-D50A858D4526}"/>
            </a:ext>
          </a:extLst>
        </xdr:cNvPr>
        <xdr:cNvSpPr/>
      </xdr:nvSpPr>
      <xdr:spPr>
        <a:xfrm>
          <a:off x="5410723" y="31401"/>
          <a:ext cx="1768963" cy="318651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7</xdr:col>
      <xdr:colOff>435010</xdr:colOff>
      <xdr:row>2</xdr:row>
      <xdr:rowOff>16329</xdr:rowOff>
    </xdr:from>
    <xdr:to>
      <xdr:col>10</xdr:col>
      <xdr:colOff>375173</xdr:colOff>
      <xdr:row>3</xdr:row>
      <xdr:rowOff>134955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6930355A-78F3-4C5D-B1AD-2C45FA2ADC0E}"/>
            </a:ext>
          </a:extLst>
        </xdr:cNvPr>
        <xdr:cNvSpPr/>
      </xdr:nvSpPr>
      <xdr:spPr>
        <a:xfrm>
          <a:off x="5416585" y="416379"/>
          <a:ext cx="1768963" cy="318651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158750</xdr:colOff>
      <xdr:row>0</xdr:row>
      <xdr:rowOff>111125</xdr:rowOff>
    </xdr:from>
    <xdr:to>
      <xdr:col>1</xdr:col>
      <xdr:colOff>1285875</xdr:colOff>
      <xdr:row>0</xdr:row>
      <xdr:rowOff>428625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6EE7D7E-EA98-4842-BF1F-3043AE665B56}"/>
            </a:ext>
          </a:extLst>
        </xdr:cNvPr>
        <xdr:cNvSpPr/>
      </xdr:nvSpPr>
      <xdr:spPr>
        <a:xfrm>
          <a:off x="158750" y="111125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0</xdr:col>
      <xdr:colOff>164612</xdr:colOff>
      <xdr:row>0</xdr:row>
      <xdr:rowOff>493800</xdr:rowOff>
    </xdr:from>
    <xdr:to>
      <xdr:col>1</xdr:col>
      <xdr:colOff>1291737</xdr:colOff>
      <xdr:row>0</xdr:row>
      <xdr:rowOff>811300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508B7EF-BE17-4281-856F-F737C8AFA113}"/>
            </a:ext>
          </a:extLst>
        </xdr:cNvPr>
        <xdr:cNvSpPr/>
      </xdr:nvSpPr>
      <xdr:spPr>
        <a:xfrm>
          <a:off x="164612" y="493800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  <xdr:twoCellAnchor editAs="absolute">
    <xdr:from>
      <xdr:col>1</xdr:col>
      <xdr:colOff>1349375</xdr:colOff>
      <xdr:row>0</xdr:row>
      <xdr:rowOff>111125</xdr:rowOff>
    </xdr:from>
    <xdr:to>
      <xdr:col>2</xdr:col>
      <xdr:colOff>254000</xdr:colOff>
      <xdr:row>0</xdr:row>
      <xdr:rowOff>428625</xdr:rowOff>
    </xdr:to>
    <xdr:sp macro="[0]!QuintoAAT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66E6D11A-52CA-45B6-B553-781F55BA4A3B}"/>
            </a:ext>
          </a:extLst>
        </xdr:cNvPr>
        <xdr:cNvSpPr/>
      </xdr:nvSpPr>
      <xdr:spPr>
        <a:xfrm>
          <a:off x="1920875" y="111125"/>
          <a:ext cx="170497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Lista</a:t>
          </a:r>
          <a:r>
            <a:rPr lang="pt-BR" sz="1600" b="1" baseline="0"/>
            <a:t> de alunos</a:t>
          </a:r>
          <a:endParaRPr lang="pt-BR" sz="1600" b="1"/>
        </a:p>
      </xdr:txBody>
    </xdr:sp>
    <xdr:clientData fPrintsWithSheet="0"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13607</xdr:colOff>
      <xdr:row>0</xdr:row>
      <xdr:rowOff>13607</xdr:rowOff>
    </xdr:from>
    <xdr:to>
      <xdr:col>1</xdr:col>
      <xdr:colOff>1099911</xdr:colOff>
      <xdr:row>0</xdr:row>
      <xdr:rowOff>331107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37B0725-022E-401A-BF4E-DDD2B7F538CC}"/>
            </a:ext>
          </a:extLst>
        </xdr:cNvPr>
        <xdr:cNvSpPr/>
      </xdr:nvSpPr>
      <xdr:spPr>
        <a:xfrm>
          <a:off x="13607" y="13607"/>
          <a:ext cx="1695904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0</xdr:col>
      <xdr:colOff>19469</xdr:colOff>
      <xdr:row>1</xdr:row>
      <xdr:rowOff>15282</xdr:rowOff>
    </xdr:from>
    <xdr:to>
      <xdr:col>1</xdr:col>
      <xdr:colOff>1105773</xdr:colOff>
      <xdr:row>2</xdr:row>
      <xdr:rowOff>128675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9341E84-27CE-4B79-8400-C8D68EF2818A}"/>
            </a:ext>
          </a:extLst>
        </xdr:cNvPr>
        <xdr:cNvSpPr/>
      </xdr:nvSpPr>
      <xdr:spPr>
        <a:xfrm>
          <a:off x="19469" y="396282"/>
          <a:ext cx="1695904" cy="322943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429148</xdr:colOff>
      <xdr:row>0</xdr:row>
      <xdr:rowOff>31401</xdr:rowOff>
    </xdr:from>
    <xdr:to>
      <xdr:col>10</xdr:col>
      <xdr:colOff>369311</xdr:colOff>
      <xdr:row>1</xdr:row>
      <xdr:rowOff>150027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DA4B001-5BE8-478A-AC9F-105D98F086DD}"/>
            </a:ext>
          </a:extLst>
        </xdr:cNvPr>
        <xdr:cNvSpPr/>
      </xdr:nvSpPr>
      <xdr:spPr>
        <a:xfrm>
          <a:off x="5410723" y="31401"/>
          <a:ext cx="1768963" cy="318651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7</xdr:col>
      <xdr:colOff>435010</xdr:colOff>
      <xdr:row>2</xdr:row>
      <xdr:rowOff>16329</xdr:rowOff>
    </xdr:from>
    <xdr:to>
      <xdr:col>10</xdr:col>
      <xdr:colOff>375173</xdr:colOff>
      <xdr:row>3</xdr:row>
      <xdr:rowOff>134955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AAB3BA4-629E-491F-9178-944675E005A8}"/>
            </a:ext>
          </a:extLst>
        </xdr:cNvPr>
        <xdr:cNvSpPr/>
      </xdr:nvSpPr>
      <xdr:spPr>
        <a:xfrm>
          <a:off x="5416585" y="416379"/>
          <a:ext cx="1768963" cy="318651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158750</xdr:colOff>
      <xdr:row>0</xdr:row>
      <xdr:rowOff>111125</xdr:rowOff>
    </xdr:from>
    <xdr:to>
      <xdr:col>1</xdr:col>
      <xdr:colOff>1285875</xdr:colOff>
      <xdr:row>0</xdr:row>
      <xdr:rowOff>428625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76772FE-9B71-4AA8-B102-2A3E916BC9DB}"/>
            </a:ext>
          </a:extLst>
        </xdr:cNvPr>
        <xdr:cNvSpPr/>
      </xdr:nvSpPr>
      <xdr:spPr>
        <a:xfrm>
          <a:off x="158750" y="111125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0</xdr:col>
      <xdr:colOff>164612</xdr:colOff>
      <xdr:row>0</xdr:row>
      <xdr:rowOff>493800</xdr:rowOff>
    </xdr:from>
    <xdr:to>
      <xdr:col>1</xdr:col>
      <xdr:colOff>1291737</xdr:colOff>
      <xdr:row>0</xdr:row>
      <xdr:rowOff>811300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6E352306-2113-414C-A639-BA134D6AEFA3}"/>
            </a:ext>
          </a:extLst>
        </xdr:cNvPr>
        <xdr:cNvSpPr/>
      </xdr:nvSpPr>
      <xdr:spPr>
        <a:xfrm>
          <a:off x="164612" y="493800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  <xdr:twoCellAnchor editAs="absolute">
    <xdr:from>
      <xdr:col>1</xdr:col>
      <xdr:colOff>1349375</xdr:colOff>
      <xdr:row>0</xdr:row>
      <xdr:rowOff>111125</xdr:rowOff>
    </xdr:from>
    <xdr:to>
      <xdr:col>2</xdr:col>
      <xdr:colOff>254000</xdr:colOff>
      <xdr:row>0</xdr:row>
      <xdr:rowOff>428625</xdr:rowOff>
    </xdr:to>
    <xdr:sp macro="[0]!QuintoABT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E3B5E78-5CDD-4F49-A602-39CA772D00A1}"/>
            </a:ext>
          </a:extLst>
        </xdr:cNvPr>
        <xdr:cNvSpPr/>
      </xdr:nvSpPr>
      <xdr:spPr>
        <a:xfrm>
          <a:off x="1920875" y="111125"/>
          <a:ext cx="170497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Lista</a:t>
          </a:r>
          <a:r>
            <a:rPr lang="pt-BR" sz="1600" b="1" baseline="0"/>
            <a:t> de alunos</a:t>
          </a:r>
          <a:endParaRPr lang="pt-BR" sz="1600" b="1"/>
        </a:p>
      </xdr:txBody>
    </xdr:sp>
    <xdr:clientData fPrintsWithSheet="0"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13607</xdr:colOff>
      <xdr:row>0</xdr:row>
      <xdr:rowOff>13607</xdr:rowOff>
    </xdr:from>
    <xdr:to>
      <xdr:col>1</xdr:col>
      <xdr:colOff>1099911</xdr:colOff>
      <xdr:row>0</xdr:row>
      <xdr:rowOff>331107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16CBBCA-116E-4AE5-8410-E9BBF8BB15E2}"/>
            </a:ext>
          </a:extLst>
        </xdr:cNvPr>
        <xdr:cNvSpPr/>
      </xdr:nvSpPr>
      <xdr:spPr>
        <a:xfrm>
          <a:off x="13607" y="13607"/>
          <a:ext cx="1695904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0</xdr:col>
      <xdr:colOff>19469</xdr:colOff>
      <xdr:row>1</xdr:row>
      <xdr:rowOff>15282</xdr:rowOff>
    </xdr:from>
    <xdr:to>
      <xdr:col>1</xdr:col>
      <xdr:colOff>1105773</xdr:colOff>
      <xdr:row>2</xdr:row>
      <xdr:rowOff>128675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5FE3DFA-2853-428C-9069-903BEDFAB13D}"/>
            </a:ext>
          </a:extLst>
        </xdr:cNvPr>
        <xdr:cNvSpPr/>
      </xdr:nvSpPr>
      <xdr:spPr>
        <a:xfrm>
          <a:off x="19469" y="396282"/>
          <a:ext cx="1695904" cy="322943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334945</xdr:colOff>
      <xdr:row>52</xdr:row>
      <xdr:rowOff>10466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8CE64D27-EE71-4A60-99CD-3EF7CC2FE1A6}"/>
            </a:ext>
          </a:extLst>
        </xdr:cNvPr>
        <xdr:cNvSpPr/>
      </xdr:nvSpPr>
      <xdr:spPr>
        <a:xfrm>
          <a:off x="0" y="0"/>
          <a:ext cx="334945" cy="8174752"/>
        </a:xfrm>
        <a:prstGeom prst="rect">
          <a:avLst/>
        </a:prstGeom>
        <a:solidFill>
          <a:schemeClr val="accent2"/>
        </a:solidFill>
      </xdr:spPr>
      <xdr:txBody>
        <a:bodyPr vert="wordArtVert" wrap="square" lIns="91440" tIns="45720" rIns="91440" bIns="45720" anchor="ctr">
          <a:noAutofit/>
        </a:bodyPr>
        <a:lstStyle/>
        <a:p>
          <a:pPr algn="ctr"/>
          <a:r>
            <a:rPr lang="pt-BR" sz="8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imes New Roman" panose="02020603050405020304" pitchFamily="18" charset="0"/>
              <a:cs typeface="Times New Roman" panose="02020603050405020304" pitchFamily="18" charset="0"/>
            </a:rPr>
            <a:t>Desenvolvido por: Mael</a:t>
          </a:r>
          <a:r>
            <a:rPr lang="pt-BR" sz="8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imes New Roman" panose="02020603050405020304" pitchFamily="18" charset="0"/>
              <a:cs typeface="Times New Roman" panose="02020603050405020304" pitchFamily="18" charset="0"/>
            </a:rPr>
            <a:t> L.C. Melo</a:t>
          </a:r>
          <a:endParaRPr lang="pt-BR" sz="8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 fPrintsWithSheet="0"/>
  </xdr:twoCellAnchor>
  <xdr:twoCellAnchor editAs="absolute">
    <xdr:from>
      <xdr:col>0</xdr:col>
      <xdr:colOff>108857</xdr:colOff>
      <xdr:row>0</xdr:row>
      <xdr:rowOff>54429</xdr:rowOff>
    </xdr:from>
    <xdr:to>
      <xdr:col>2</xdr:col>
      <xdr:colOff>582839</xdr:colOff>
      <xdr:row>2</xdr:row>
      <xdr:rowOff>45358</xdr:rowOff>
    </xdr:to>
    <xdr:sp macro="[0]!MacroMenu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2E126C4-4A5B-4490-A432-5DA3267BA99B}"/>
            </a:ext>
          </a:extLst>
        </xdr:cNvPr>
        <xdr:cNvSpPr/>
      </xdr:nvSpPr>
      <xdr:spPr>
        <a:xfrm>
          <a:off x="108857" y="54429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0</xdr:col>
      <xdr:colOff>111578</xdr:colOff>
      <xdr:row>2</xdr:row>
      <xdr:rowOff>111579</xdr:rowOff>
    </xdr:from>
    <xdr:to>
      <xdr:col>2</xdr:col>
      <xdr:colOff>585560</xdr:colOff>
      <xdr:row>4</xdr:row>
      <xdr:rowOff>102507</xdr:rowOff>
    </xdr:to>
    <xdr:sp macro="[0]!Planilha1.imprimir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674F573A-1EAA-4206-815E-7D7E5B24FEB8}"/>
            </a:ext>
          </a:extLst>
        </xdr:cNvPr>
        <xdr:cNvSpPr/>
      </xdr:nvSpPr>
      <xdr:spPr>
        <a:xfrm>
          <a:off x="111578" y="438150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19050</xdr:colOff>
      <xdr:row>2</xdr:row>
      <xdr:rowOff>57150</xdr:rowOff>
    </xdr:from>
    <xdr:to>
      <xdr:col>4</xdr:col>
      <xdr:colOff>19050</xdr:colOff>
      <xdr:row>3</xdr:row>
      <xdr:rowOff>135651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C92B0D15-94E2-489F-831F-10C5B40D9B63}"/>
            </a:ext>
          </a:extLst>
        </xdr:cNvPr>
        <xdr:cNvSpPr/>
      </xdr:nvSpPr>
      <xdr:spPr>
        <a:xfrm>
          <a:off x="19050" y="2105025"/>
          <a:ext cx="9220200" cy="240426"/>
        </a:xfrm>
        <a:prstGeom prst="rect">
          <a:avLst/>
        </a:prstGeom>
        <a:solidFill>
          <a:schemeClr val="accent2"/>
        </a:solidFill>
      </xdr:spPr>
      <xdr:txBody>
        <a:bodyPr vert="horz" wrap="square" lIns="91440" tIns="45720" rIns="91440" bIns="45720" anchor="ctr">
          <a:noAutofit/>
        </a:bodyPr>
        <a:lstStyle/>
        <a:p>
          <a:pPr algn="ctr"/>
          <a:r>
            <a:rPr lang="pt-BR" sz="8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imes New Roman" panose="02020603050405020304" pitchFamily="18" charset="0"/>
              <a:cs typeface="Times New Roman" panose="02020603050405020304" pitchFamily="18" charset="0"/>
            </a:rPr>
            <a:t>Desenvolvido por: Manoel</a:t>
          </a:r>
          <a:r>
            <a:rPr lang="pt-BR" sz="8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imes New Roman" panose="02020603050405020304" pitchFamily="18" charset="0"/>
              <a:cs typeface="Times New Roman" panose="02020603050405020304" pitchFamily="18" charset="0"/>
            </a:rPr>
            <a:t> L.C. Melo</a:t>
          </a:r>
          <a:endParaRPr lang="pt-BR" sz="8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 fPrintsWithSheet="0"/>
  </xdr:twoCellAnchor>
  <xdr:twoCellAnchor editAs="absolute">
    <xdr:from>
      <xdr:col>0</xdr:col>
      <xdr:colOff>9525</xdr:colOff>
      <xdr:row>3</xdr:row>
      <xdr:rowOff>152400</xdr:rowOff>
    </xdr:from>
    <xdr:to>
      <xdr:col>4</xdr:col>
      <xdr:colOff>9525</xdr:colOff>
      <xdr:row>5</xdr:row>
      <xdr:rowOff>68976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5C05B1-F71A-45C3-8E7C-66CB1D0A3DDC}"/>
            </a:ext>
          </a:extLst>
        </xdr:cNvPr>
        <xdr:cNvSpPr/>
      </xdr:nvSpPr>
      <xdr:spPr>
        <a:xfrm>
          <a:off x="9525" y="2362200"/>
          <a:ext cx="9220200" cy="240426"/>
        </a:xfrm>
        <a:prstGeom prst="rect">
          <a:avLst/>
        </a:prstGeom>
        <a:solidFill>
          <a:schemeClr val="tx2">
            <a:lumMod val="75000"/>
          </a:schemeClr>
        </a:solidFill>
      </xdr:spPr>
      <xdr:txBody>
        <a:bodyPr vert="horz" wrap="square" lIns="91440" tIns="45720" rIns="91440" bIns="45720" anchor="ctr">
          <a:noAutofit/>
        </a:bodyPr>
        <a:lstStyle/>
        <a:p>
          <a:pPr algn="ctr"/>
          <a:r>
            <a:rPr lang="pt-BR" sz="8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imes New Roman" panose="02020603050405020304" pitchFamily="18" charset="0"/>
              <a:cs typeface="Times New Roman" panose="02020603050405020304" pitchFamily="18" charset="0"/>
            </a:rPr>
            <a:t>https://github.com/manoelluiz007/EducacaoBasicaExcel</a:t>
          </a:r>
        </a:p>
      </xdr:txBody>
    </xdr:sp>
    <xdr:clientData fPrintsWithSheet="0"/>
  </xdr:twoCellAnchor>
  <xdr:twoCellAnchor editAs="absolute">
    <xdr:from>
      <xdr:col>0</xdr:col>
      <xdr:colOff>0</xdr:colOff>
      <xdr:row>8</xdr:row>
      <xdr:rowOff>38099</xdr:rowOff>
    </xdr:from>
    <xdr:to>
      <xdr:col>3</xdr:col>
      <xdr:colOff>1257300</xdr:colOff>
      <xdr:row>10</xdr:row>
      <xdr:rowOff>123824</xdr:rowOff>
    </xdr:to>
    <xdr:sp macro="[0]!MacroMenu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2848C7F1-BE82-4BE2-BC49-B391134DFD10}"/>
            </a:ext>
          </a:extLst>
        </xdr:cNvPr>
        <xdr:cNvSpPr/>
      </xdr:nvSpPr>
      <xdr:spPr>
        <a:xfrm>
          <a:off x="0" y="3057524"/>
          <a:ext cx="9182100" cy="40957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Admin" id="{8D629785-7A35-4B19-839A-42B28444681E}" userId="Admin" providerId="Non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0000000}" name="_1PRE" displayName="_1PRE" ref="A2:K27" totalsRowShown="0">
  <autoFilter ref="A2:K27" xr:uid="{00000000-0009-0000-0100-000010000000}"/>
  <tableColumns count="11">
    <tableColumn id="1" xr3:uid="{00000000-0010-0000-0000-000001000000}" name="Nº" dataDxfId="727">
      <calculatedColumnFormula>A2+1</calculatedColumnFormula>
    </tableColumn>
    <tableColumn id="2" xr3:uid="{00000000-0010-0000-0000-000002000000}" name="Nome" dataDxfId="726"/>
    <tableColumn id="5" xr3:uid="{00000000-0010-0000-0000-000005000000}" name="Data Nasc" dataDxfId="725"/>
    <tableColumn id="8" xr3:uid="{00000000-0010-0000-0000-000008000000}" name="Cancelado Transferido Desistente" dataDxfId="724"/>
    <tableColumn id="3" xr3:uid="{00000000-0010-0000-0000-000003000000}" name="CPF" dataDxfId="723"/>
    <tableColumn id="4" xr3:uid="{00000000-0010-0000-0000-000004000000}" name="SUS" dataDxfId="722"/>
    <tableColumn id="6" xr3:uid="{00000000-0010-0000-0000-000006000000}" name="Celular 1" dataDxfId="721"/>
    <tableColumn id="7" xr3:uid="{00000000-0010-0000-0000-000007000000}" name="Celular 2" dataDxfId="720"/>
    <tableColumn id="9" xr3:uid="{00000000-0010-0000-0000-000009000000}" name="Mat." dataDxfId="719"/>
    <tableColumn id="10" xr3:uid="{00000000-0010-0000-0000-00000A000000}" name="Responsavel (Mãe)" dataDxfId="718"/>
    <tableColumn id="11" xr3:uid="{00000000-0010-0000-0000-00000B000000}" name="Idade" dataDxfId="717">
      <calculatedColumnFormula>QUOTIENT(IF(DATEDIF(C3,TODAY(),"y")&gt;90,0,DATEDIF(C3,TODAY(),"m")),12)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39CB31EB-22EF-4251-8C59-A08F1A9B4C3F}" name="Tabela27" displayName="Tabela27" ref="A4:AE29" totalsRowShown="0" tableBorderDxfId="716">
  <autoFilter ref="A4:AE29" xr:uid="{39CB31EB-22EF-4251-8C59-A08F1A9B4C3F}"/>
  <tableColumns count="31">
    <tableColumn id="1" xr3:uid="{C5DF68BA-BD57-4435-83E7-74E3B87F0405}" name="Nº" dataDxfId="715">
      <calculatedColumnFormula>IF('1P-A'!A3&lt;&gt;0,'1P-A'!A3,"")</calculatedColumnFormula>
    </tableColumn>
    <tableColumn id="2" xr3:uid="{C565D28E-5BE1-4400-9115-F2DF9C2CC51A}" name="Nome" dataDxfId="714">
      <calculatedColumnFormula>IF('1P-A'!B3&lt;&gt;0,'1P-A'!B3,"")</calculatedColumnFormula>
    </tableColumn>
    <tableColumn id="3" xr3:uid="{8F14ECB9-F10E-48B3-BC0B-F19A0B200236}" name="Data Nasc" dataDxfId="713">
      <calculatedColumnFormula>IF('1P-A'!C3&lt;&gt;0,'1P-A'!C3,"")</calculatedColumnFormula>
    </tableColumn>
    <tableColumn id="4" xr3:uid="{6A92A980-06EB-45EC-8DEA-6B20FBB684E3}" name="Cancelado Transferido Desistente" dataDxfId="712">
      <calculatedColumnFormula>IF('1P-A'!D3&lt;&gt;0,'1P-A'!D3,"")</calculatedColumnFormula>
    </tableColumn>
    <tableColumn id="6" xr3:uid="{81B09DED-F1D5-4BF5-89D0-F568BABEDD30}" name="PRES MAR" dataDxfId="711"/>
    <tableColumn id="7" xr3:uid="{600D5B85-95D5-4760-BC0E-37ADC5725BB9}" name="FALTA MAR" dataDxfId="710"/>
    <tableColumn id="8" xr3:uid="{8D16072D-644F-450A-A265-339E73203D36}" name="% PRESENÇA MAR" dataDxfId="709" dataCellStyle="Porcentagem">
      <calculatedColumnFormula>ROUND((E5*100)/(E5+F5),0)/100</calculatedColumnFormula>
    </tableColumn>
    <tableColumn id="9" xr3:uid="{33092147-A5A3-4F1D-B815-CFFF238C3846}" name="PRES ABR" dataDxfId="708"/>
    <tableColumn id="10" xr3:uid="{46BA3BAA-A89E-4BA9-908B-1A3CCD8205CD}" name="FALT ABR" dataDxfId="707"/>
    <tableColumn id="11" xr3:uid="{F249FCA1-47AC-4BA0-89EF-A609060C14C8}" name="% PRESENÇA ABR" dataDxfId="706" dataCellStyle="Porcentagem">
      <calculatedColumnFormula>ROUND((H5*100)/(H5+I5),0)/100</calculatedColumnFormula>
    </tableColumn>
    <tableColumn id="12" xr3:uid="{14AF7D5E-7DC9-43A3-9AF5-F532C7EAF44E}" name="." dataDxfId="705">
      <calculatedColumnFormula>Tabela27[[#This Row],[Nº]]</calculatedColumnFormula>
    </tableColumn>
    <tableColumn id="13" xr3:uid="{A6F5055B-DD86-471A-963E-F3718BE62F63}" name="PRES MAI" dataDxfId="704"/>
    <tableColumn id="14" xr3:uid="{8415E3B7-85A0-40F9-9895-9DD43ABED98F}" name="FALTA MAI" dataDxfId="703"/>
    <tableColumn id="15" xr3:uid="{71DED3D3-D5B1-4483-BDC1-F7E27F7AE17B}" name="% PRESENÇA MAI" dataDxfId="702" dataCellStyle="Porcentagem">
      <calculatedColumnFormula>ROUND((L5*100)/(L5+M5),0)/100</calculatedColumnFormula>
    </tableColumn>
    <tableColumn id="16" xr3:uid="{034AA6F8-9699-462D-86DE-5416FE3FB6EB}" name="PRES JUN" dataDxfId="701"/>
    <tableColumn id="17" xr3:uid="{DF976CD1-BD1B-4D01-BAFF-13CCE5F9BA70}" name="FALTA JUN" dataDxfId="700"/>
    <tableColumn id="18" xr3:uid="{231BAB5F-A49F-45E0-8B62-E6D9382A4EB4}" name="% PRESENÇA JUN" dataDxfId="699" dataCellStyle="Porcentagem">
      <calculatedColumnFormula>ROUND((O5*100)/(O5+P5),0)/100</calculatedColumnFormula>
    </tableColumn>
    <tableColumn id="19" xr3:uid="{83DA771D-1B94-42B1-9007-6C456E18CAEC}" name="," dataDxfId="698">
      <calculatedColumnFormula>Tabela27[[#This Row],[Nº]]</calculatedColumnFormula>
    </tableColumn>
    <tableColumn id="20" xr3:uid="{BEAEB42F-6EE1-4960-8FFD-499AD10C610F}" name="PRES AGO" dataDxfId="697"/>
    <tableColumn id="21" xr3:uid="{8C3E21FA-720B-44B7-A6AD-146D9860DA14}" name="FALTA AGO" dataDxfId="696"/>
    <tableColumn id="22" xr3:uid="{EFCF9263-8300-4048-B309-E3B042600D5E}" name="% PRESENÇA AGO" dataDxfId="695" dataCellStyle="Porcentagem">
      <calculatedColumnFormula>ROUND((S5*100)/(S5+T5),0)/100</calculatedColumnFormula>
    </tableColumn>
    <tableColumn id="23" xr3:uid="{AB860522-1D25-4367-8E7A-05D7D752241A}" name="PRES SET" dataDxfId="694"/>
    <tableColumn id="24" xr3:uid="{2943EFB6-174D-437A-8F59-47308FABEFA3}" name="FALTA SET" dataDxfId="693"/>
    <tableColumn id="25" xr3:uid="{B058AE27-CA13-4219-831C-98815377CAF9}" name="% PRESENÇA SET" dataDxfId="692" dataCellStyle="Porcentagem">
      <calculatedColumnFormula>ROUND((V5*100)/(V5+W5),0)/100</calculatedColumnFormula>
    </tableColumn>
    <tableColumn id="26" xr3:uid="{AC9894AE-B9DE-4E54-B8D0-6D3076CE542A}" name=";" dataDxfId="691">
      <calculatedColumnFormula>Tabela27[[#This Row],[Nº]]</calculatedColumnFormula>
    </tableColumn>
    <tableColumn id="27" xr3:uid="{6E4C6FB3-732D-45EE-9B7B-7AF7752A5E83}" name="PRES OUT" dataDxfId="690"/>
    <tableColumn id="28" xr3:uid="{B9628CC3-68DF-410E-AFAA-6BF880727790}" name="FALTA OUT" dataDxfId="689"/>
    <tableColumn id="29" xr3:uid="{F281DD27-5D24-45E3-8BF8-73075111CD57}" name="% PRESENÇA OUT" dataDxfId="688" dataCellStyle="Porcentagem">
      <calculatedColumnFormula>ROUND((Z5*100)/(Z5+AA5),0)/100</calculatedColumnFormula>
    </tableColumn>
    <tableColumn id="30" xr3:uid="{1CE92B9E-0B95-4410-985B-3AF0AA3777A9}" name="PRES NOV" dataDxfId="687"/>
    <tableColumn id="31" xr3:uid="{5EAD79A3-3C91-41EF-89A5-77912D4DB926}" name="FALTA NOV" dataDxfId="686"/>
    <tableColumn id="32" xr3:uid="{FC4BC304-CF63-4112-BA7D-5ED0E80A47C8}" name="% PRESENÇA NOV" dataDxfId="685" dataCellStyle="Porcentagem">
      <calculatedColumnFormula>ROUND((AC5*100)/(AC5+AD5),0)/100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C7CCEB4-000B-482D-9613-FFD8D125F4A0}" name="_1PRE2" displayName="_1PRE2" ref="A2:K27" totalsRowShown="0">
  <autoFilter ref="A2:K27" xr:uid="{00000000-0009-0000-0100-000010000000}"/>
  <tableColumns count="11">
    <tableColumn id="1" xr3:uid="{2FE1306E-C857-414C-99C1-D487FF36731E}" name="Nº" dataDxfId="684">
      <calculatedColumnFormula>A2+1</calculatedColumnFormula>
    </tableColumn>
    <tableColumn id="2" xr3:uid="{5C3D6334-1ADF-49FD-898F-5FCA14DB00AD}" name="Nome" dataDxfId="683"/>
    <tableColumn id="5" xr3:uid="{8C4816DE-0A28-4CDB-8B6B-245792F00D88}" name="Data Nasc" dataDxfId="682"/>
    <tableColumn id="8" xr3:uid="{7E621194-DADB-40E8-BFE2-7F7AEB9C8DA0}" name="Cancelado Transferido Desistente" dataDxfId="681"/>
    <tableColumn id="3" xr3:uid="{CCFA7862-A406-4D6C-A2C7-C7F8CCCDC571}" name="CPF" dataDxfId="680"/>
    <tableColumn id="4" xr3:uid="{17F6BD4E-D6DD-4995-B432-B740F6B297B8}" name="SUS" dataDxfId="679"/>
    <tableColumn id="6" xr3:uid="{FD272E3E-0AA3-4031-B518-D635D79E9717}" name="Celular 1" dataDxfId="678"/>
    <tableColumn id="7" xr3:uid="{E0D6A883-1CF6-4430-9C8E-FFDBE328CBB7}" name="Celular 2" dataDxfId="677"/>
    <tableColumn id="9" xr3:uid="{FA9BA43D-E428-49C4-A072-3BED20740B08}" name="Mat." dataDxfId="676"/>
    <tableColumn id="10" xr3:uid="{ABF8D60D-A13E-4B70-A064-4F09C4877E9F}" name="Responsavel (Mãe)" dataDxfId="675"/>
    <tableColumn id="11" xr3:uid="{0567F485-4B64-4894-B1EF-40D4485B0B2C}" name="Idade" dataDxfId="674">
      <calculatedColumnFormula>QUOTIENT(IF(DATEDIF(C3,TODAY(),"y")&gt;90,0,DATEDIF(C3,TODAY(),"m")),12)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D63F6E1-C17F-4A97-A19E-7270C5E881AC}" name="Tabela273" displayName="Tabela273" ref="A4:AE29" totalsRowShown="0" tableBorderDxfId="673">
  <autoFilter ref="A4:AE29" xr:uid="{39CB31EB-22EF-4251-8C59-A08F1A9B4C3F}"/>
  <tableColumns count="31">
    <tableColumn id="1" xr3:uid="{666793FC-828D-49C9-91E0-1268BB45701B}" name="Nº" dataDxfId="672">
      <calculatedColumnFormula>IF('1P-A'!A3&lt;&gt;0,'1P-A'!A3,"")</calculatedColumnFormula>
    </tableColumn>
    <tableColumn id="2" xr3:uid="{FC2C59D2-F6C7-4FDE-AB4A-06154010A748}" name="Nome" dataDxfId="671">
      <calculatedColumnFormula>IF('1P-B'!B3&lt;&gt;0,'1P-B'!B3,"")</calculatedColumnFormula>
    </tableColumn>
    <tableColumn id="3" xr3:uid="{6EE2FCBD-0303-4928-9F74-A5C6384F35EA}" name="Data Nasc" dataDxfId="670">
      <calculatedColumnFormula>IF('1P-B'!C3&lt;&gt;0,'1P-B'!C3,"")</calculatedColumnFormula>
    </tableColumn>
    <tableColumn id="4" xr3:uid="{F125368C-4945-435E-B899-B97F6A6B9194}" name="Cancelado Transferido Desistente" dataDxfId="669">
      <calculatedColumnFormula>IF('1P-B'!D3&lt;&gt;0,'1P-B'!D3,"")</calculatedColumnFormula>
    </tableColumn>
    <tableColumn id="6" xr3:uid="{C5186A11-F6A0-4293-83B0-995D13EDB4F8}" name="PRES MAR" dataDxfId="668"/>
    <tableColumn id="7" xr3:uid="{831C4D50-B143-4609-854C-04A4E62D3207}" name="FALTA MAR" dataDxfId="667"/>
    <tableColumn id="8" xr3:uid="{2F9FB166-92FB-40AF-8408-43A9F675FC38}" name="% PRESENÇA MAR" dataDxfId="666" dataCellStyle="Porcentagem">
      <calculatedColumnFormula>ROUND((E5*100)/(E5+F5),0)/100</calculatedColumnFormula>
    </tableColumn>
    <tableColumn id="9" xr3:uid="{6EDB8370-1F1D-42F8-9DEA-38A5C7271D83}" name="PRES ABR" dataDxfId="665"/>
    <tableColumn id="10" xr3:uid="{770698D5-244E-4002-A266-D51726B778D3}" name="FALT ABR" dataDxfId="664"/>
    <tableColumn id="11" xr3:uid="{FDD49793-D1F9-4D76-BF07-2A6943D013C2}" name="% PRESENÇA ABR" dataDxfId="663" dataCellStyle="Porcentagem">
      <calculatedColumnFormula>ROUND((H5*100)/(H5+I5),0)/100</calculatedColumnFormula>
    </tableColumn>
    <tableColumn id="12" xr3:uid="{4FB62293-8287-409D-A2A1-0F5017374BF2}" name="." dataDxfId="662">
      <calculatedColumnFormula>Tabela273[[#This Row],[Nº]]</calculatedColumnFormula>
    </tableColumn>
    <tableColumn id="13" xr3:uid="{4096308D-BBE6-49CF-AD42-6DACBE8B15A9}" name="PRES MAI" dataDxfId="661"/>
    <tableColumn id="14" xr3:uid="{18691431-07FD-4EF3-80E1-E357754FD0DB}" name="FALTA MAI" dataDxfId="660"/>
    <tableColumn id="15" xr3:uid="{A56D651B-6D60-42CE-B8B5-E75DC4644C48}" name="% PRESENÇA MAI" dataDxfId="659" dataCellStyle="Porcentagem">
      <calculatedColumnFormula>ROUND((L5*100)/(L5+M5),0)/100</calculatedColumnFormula>
    </tableColumn>
    <tableColumn id="16" xr3:uid="{D9E385F2-C0B0-4C0C-9895-FA135680BFF3}" name="PRES JUN" dataDxfId="658"/>
    <tableColumn id="17" xr3:uid="{50C29BE7-6764-402C-AACC-10591DE00256}" name="FALTA JUN" dataDxfId="657"/>
    <tableColumn id="18" xr3:uid="{BF18CDC7-CE82-4C24-B359-CEF2FF4BF495}" name="% PRESENÇA JUN" dataDxfId="656" dataCellStyle="Porcentagem">
      <calculatedColumnFormula>ROUND((O5*100)/(O5+P5),0)/100</calculatedColumnFormula>
    </tableColumn>
    <tableColumn id="19" xr3:uid="{FD45A153-9E73-492C-9A64-9114DC0305F3}" name="," dataDxfId="655">
      <calculatedColumnFormula>Tabela273[[#This Row],[Nº]]</calculatedColumnFormula>
    </tableColumn>
    <tableColumn id="20" xr3:uid="{3A30A6FA-751D-464B-A6B6-A51291932F4D}" name="PRES AGO" dataDxfId="654"/>
    <tableColumn id="21" xr3:uid="{FD27337B-20AC-47A1-A5FF-AE150033D1B9}" name="FALTA AGO" dataDxfId="653"/>
    <tableColumn id="22" xr3:uid="{C11533DC-AAB3-495A-B269-B226CDE711C8}" name="% PRESENÇA AGO" dataDxfId="652" dataCellStyle="Porcentagem">
      <calculatedColumnFormula>ROUND((S5*100)/(S5+T5),0)/100</calculatedColumnFormula>
    </tableColumn>
    <tableColumn id="23" xr3:uid="{81202C48-FDF3-40C8-80C6-4EC8522279C7}" name="PRES SET" dataDxfId="651"/>
    <tableColumn id="24" xr3:uid="{928ED2DC-3A4E-4C22-AB3C-EBDFDEE388A5}" name="FALTA SET" dataDxfId="650"/>
    <tableColumn id="25" xr3:uid="{95FBFDEE-035C-493E-A4A5-F6BC25E16B96}" name="% PRESENÇA SET" dataDxfId="649" dataCellStyle="Porcentagem">
      <calculatedColumnFormula>ROUND((V5*100)/(V5+W5),0)/100</calculatedColumnFormula>
    </tableColumn>
    <tableColumn id="26" xr3:uid="{3DC1B0F6-8ADE-43F7-8C73-43B00B555A27}" name=";" dataDxfId="648">
      <calculatedColumnFormula>Tabela273[[#This Row],[Nº]]</calculatedColumnFormula>
    </tableColumn>
    <tableColumn id="27" xr3:uid="{E8420872-ABCF-4BBA-96C1-6ED659569E2C}" name="PRES OUT" dataDxfId="647"/>
    <tableColumn id="28" xr3:uid="{A25D69B7-B770-4B48-9476-291A7F2EAE20}" name="FALTA OUT" dataDxfId="646"/>
    <tableColumn id="29" xr3:uid="{EAC0A084-22B4-435D-B966-028C1A0BA7C9}" name="% PRESENÇA OUT" dataDxfId="645" dataCellStyle="Porcentagem">
      <calculatedColumnFormula>ROUND((Z5*100)/(Z5+AA5),0)/100</calculatedColumnFormula>
    </tableColumn>
    <tableColumn id="30" xr3:uid="{0C3C7136-4892-4170-A379-5CA47860B960}" name="PRES NOV" dataDxfId="644"/>
    <tableColumn id="31" xr3:uid="{A32DB1C1-EA87-4C01-9C75-73E639ED1175}" name="FALTA NOV" dataDxfId="643"/>
    <tableColumn id="32" xr3:uid="{7E252F28-76E3-4E16-9CFE-2C2A3A412D1C}" name="% PRESENÇA NOV" dataDxfId="642" dataCellStyle="Porcentagem">
      <calculatedColumnFormula>ROUND((AC5*100)/(AC5+AD5),0)/100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64C9F6F-CA99-4981-9415-BCDDA63CC986}" name="_1PRE25" displayName="_1PRE25" ref="A2:K27" totalsRowShown="0">
  <autoFilter ref="A2:K27" xr:uid="{00000000-0009-0000-0100-000010000000}"/>
  <tableColumns count="11">
    <tableColumn id="1" xr3:uid="{3623C260-F173-4905-BB02-BE93D68472AB}" name="Nº" dataDxfId="641">
      <calculatedColumnFormula>A2+1</calculatedColumnFormula>
    </tableColumn>
    <tableColumn id="2" xr3:uid="{8BD838D2-8B0C-4ADF-93AF-21DA4F105A9A}" name="Nome" dataDxfId="640"/>
    <tableColumn id="5" xr3:uid="{958BFE76-E196-463B-BB1A-8F3C525A35D8}" name="Data Nasc" dataDxfId="639"/>
    <tableColumn id="8" xr3:uid="{E0EF02D5-EEE3-4AF7-B96C-989DDE1E6CE4}" name="Cancelado Transferido Desistente" dataDxfId="638"/>
    <tableColumn id="3" xr3:uid="{F3F3D053-DBAC-4106-9091-4826E9BE2A9D}" name="CPF" dataDxfId="637"/>
    <tableColumn id="4" xr3:uid="{2F42FAC1-4A6A-402E-92D1-525CE835C635}" name="SUS" dataDxfId="636"/>
    <tableColumn id="6" xr3:uid="{BE3BB88B-2AD7-48B6-98A9-D93B5716EC27}" name="Celular 1" dataDxfId="635"/>
    <tableColumn id="7" xr3:uid="{1455B7CF-A02A-411D-90D6-A327A0BC30CE}" name="Celular 2" dataDxfId="634"/>
    <tableColumn id="9" xr3:uid="{2B148690-9E84-4715-964D-88CE1957B256}" name="Mat." dataDxfId="633"/>
    <tableColumn id="10" xr3:uid="{B26EC2FB-491C-4B5B-B202-CBE739F7CDDF}" name="Responsavel (Mãe)" dataDxfId="632"/>
    <tableColumn id="11" xr3:uid="{7E114D32-0FE2-423C-A262-538B38CDCE04}" name="Idade" dataDxfId="631">
      <calculatedColumnFormula>QUOTIENT(IF(DATEDIF(C3,TODAY(),"y")&gt;90,0,DATEDIF(C3,TODAY(),"m")),12)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209C30-3DFD-4598-8F79-4835B4C2F1DB}" name="Tabela2736" displayName="Tabela2736" ref="A4:AE29" totalsRowShown="0" tableBorderDxfId="630">
  <autoFilter ref="A4:AE29" xr:uid="{39CB31EB-22EF-4251-8C59-A08F1A9B4C3F}"/>
  <tableColumns count="31">
    <tableColumn id="1" xr3:uid="{4316C2A7-AFB5-4B8B-9626-1564224F3FE5}" name="Nº" dataDxfId="629">
      <calculatedColumnFormula>IF('1P-A'!A3&lt;&gt;0,'1P-A'!A3,"")</calculatedColumnFormula>
    </tableColumn>
    <tableColumn id="2" xr3:uid="{C3EEF4C4-DEF3-4AA3-8AD1-D1CE5CADFC41}" name="Nome" dataDxfId="628">
      <calculatedColumnFormula>IF('2P-A'!B3&lt;&gt;0,'2P-A'!B3,"")</calculatedColumnFormula>
    </tableColumn>
    <tableColumn id="3" xr3:uid="{3942F32D-CAE8-4C85-80DC-BF5BFAD9DE2C}" name="Data Nasc" dataDxfId="627">
      <calculatedColumnFormula>IF('2P-A'!C3&lt;&gt;0,'2P-A'!C3,"")</calculatedColumnFormula>
    </tableColumn>
    <tableColumn id="4" xr3:uid="{EE301DA7-2EFD-44BE-9316-EFDA06587A1E}" name="Cancelado Transferido Desistente" dataDxfId="626">
      <calculatedColumnFormula>IF('2P-A'!D3&lt;&gt;0,'2P-A'!D3,"")</calculatedColumnFormula>
    </tableColumn>
    <tableColumn id="6" xr3:uid="{E90740D3-9D26-4163-8307-62848637E5C2}" name="PRES MAR" dataDxfId="625"/>
    <tableColumn id="7" xr3:uid="{EBB40691-6375-422F-B8CD-DA2FC51197E2}" name="FALTA MAR" dataDxfId="624"/>
    <tableColumn id="8" xr3:uid="{CDA78904-C9EC-40AB-8DE6-CD243DAC704B}" name="% PRESENÇA MAR" dataDxfId="623" dataCellStyle="Porcentagem">
      <calculatedColumnFormula>ROUND((E5*100)/(E5+F5),0)/100</calculatedColumnFormula>
    </tableColumn>
    <tableColumn id="9" xr3:uid="{C6458072-03E9-4C2F-998C-CD08A1A67D9C}" name="PRES ABR" dataDxfId="622"/>
    <tableColumn id="10" xr3:uid="{C85C8525-3D73-4C51-87D2-B58A2E242940}" name="FALT ABR" dataDxfId="621"/>
    <tableColumn id="11" xr3:uid="{1B761402-CE75-4024-9F52-4C7EE21A4122}" name="% PRESENÇA ABR" dataDxfId="620" dataCellStyle="Porcentagem">
      <calculatedColumnFormula>ROUND((H5*100)/(H5+I5),0)/100</calculatedColumnFormula>
    </tableColumn>
    <tableColumn id="12" xr3:uid="{E75448EA-B6A9-409D-8624-CA755B6FA54D}" name="." dataDxfId="619">
      <calculatedColumnFormula>Tabela2736[[#This Row],[Nº]]</calculatedColumnFormula>
    </tableColumn>
    <tableColumn id="13" xr3:uid="{42BCD3A1-7FC1-46C8-947F-96D82E0AA0A2}" name="PRES MAI" dataDxfId="618"/>
    <tableColumn id="14" xr3:uid="{8D1702A9-9FA3-484B-8E86-AF8A1162B126}" name="FALTA MAI" dataDxfId="617"/>
    <tableColumn id="15" xr3:uid="{FA4666AE-9A6A-486A-BCDB-F0DB0301C1A2}" name="% PRESENÇA MAI" dataDxfId="616" dataCellStyle="Porcentagem">
      <calculatedColumnFormula>ROUND((L5*100)/(L5+M5),0)/100</calculatedColumnFormula>
    </tableColumn>
    <tableColumn id="16" xr3:uid="{34C7ECAC-EC9D-49CA-AA92-F4983FC6D362}" name="PRES JUN" dataDxfId="615"/>
    <tableColumn id="17" xr3:uid="{D5A1CC81-26E1-4007-8681-E4DFE86BEA27}" name="FALTA JUN" dataDxfId="614"/>
    <tableColumn id="18" xr3:uid="{1119525D-FD68-4C1B-85F0-E63D7C4CF69D}" name="% PRESENÇA JUN" dataDxfId="613" dataCellStyle="Porcentagem">
      <calculatedColumnFormula>ROUND((O5*100)/(O5+P5),0)/100</calculatedColumnFormula>
    </tableColumn>
    <tableColumn id="19" xr3:uid="{3CE992CC-76B4-4DE3-AE59-11B8AD6803BB}" name="," dataDxfId="612">
      <calculatedColumnFormula>Tabela2736[[#This Row],[Nº]]</calculatedColumnFormula>
    </tableColumn>
    <tableColumn id="20" xr3:uid="{6085A71F-6277-4296-8C2D-B34F61885AB1}" name="PRES AGO" dataDxfId="611"/>
    <tableColumn id="21" xr3:uid="{BFB0E117-8F76-47ED-A6AC-BE0E7F4B7B58}" name="FALTA AGO" dataDxfId="610"/>
    <tableColumn id="22" xr3:uid="{73B71B73-F2B0-42A2-98C3-D94C53C5DBA0}" name="% PRESENÇA AGO" dataDxfId="609" dataCellStyle="Porcentagem">
      <calculatedColumnFormula>ROUND((S5*100)/(S5+T5),0)/100</calculatedColumnFormula>
    </tableColumn>
    <tableColumn id="23" xr3:uid="{BFC59F70-874B-498F-A784-CF922204E7C5}" name="PRES SET" dataDxfId="608"/>
    <tableColumn id="24" xr3:uid="{EA809CF8-95F9-440B-8E2F-5F71C1C56E54}" name="FALTA SET" dataDxfId="607"/>
    <tableColumn id="25" xr3:uid="{6D3228F7-4BF6-4AD1-9838-37C5821A9FA7}" name="% PRESENÇA SET" dataDxfId="606" dataCellStyle="Porcentagem">
      <calculatedColumnFormula>ROUND((V5*100)/(V5+W5),0)/100</calculatedColumnFormula>
    </tableColumn>
    <tableColumn id="26" xr3:uid="{B08E360F-B0B1-47F7-AA48-8FE8AD85F763}" name=";" dataDxfId="605">
      <calculatedColumnFormula>Tabela2736[[#This Row],[Nº]]</calculatedColumnFormula>
    </tableColumn>
    <tableColumn id="27" xr3:uid="{BD495E19-904C-45FD-8F37-7A40D9832EFF}" name="PRES OUT" dataDxfId="604"/>
    <tableColumn id="28" xr3:uid="{45B1E290-82D8-4B22-A2F8-5F35DC4CD872}" name="FALTA OUT" dataDxfId="603"/>
    <tableColumn id="29" xr3:uid="{B40442D2-B75E-45B8-B28D-FCBFDEB9401A}" name="% PRESENÇA OUT" dataDxfId="602" dataCellStyle="Porcentagem">
      <calculatedColumnFormula>ROUND((Z5*100)/(Z5+AA5),0)/100</calculatedColumnFormula>
    </tableColumn>
    <tableColumn id="30" xr3:uid="{EF22D1BF-9DD2-48F7-A0CD-3FB58A49213B}" name="PRES NOV" dataDxfId="601"/>
    <tableColumn id="31" xr3:uid="{A53DE2A6-17A5-43D7-AC04-C4E403F47B31}" name="FALTA NOV" dataDxfId="600"/>
    <tableColumn id="32" xr3:uid="{66DFB2C9-3B61-4211-B6DD-5DFAF7C36B7D}" name="% PRESENÇA NOV" dataDxfId="599" dataCellStyle="Porcentagem">
      <calculatedColumnFormula>ROUND((AC5*100)/(AC5+AD5),0)/100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996A47F-8CFD-4476-B227-5CB47E515EE2}" name="_1PRE257" displayName="_1PRE257" ref="A2:K27" totalsRowShown="0">
  <autoFilter ref="A2:K27" xr:uid="{00000000-0009-0000-0100-000010000000}"/>
  <tableColumns count="11">
    <tableColumn id="1" xr3:uid="{BFA6A282-06B8-4AF2-96D1-8EA0C147D832}" name="Nº" dataDxfId="598">
      <calculatedColumnFormula>A2+1</calculatedColumnFormula>
    </tableColumn>
    <tableColumn id="2" xr3:uid="{6B916C5C-747B-4671-92E9-0F57363668CF}" name="Nome" dataDxfId="597"/>
    <tableColumn id="5" xr3:uid="{B2C59521-6F4A-4A83-BFBE-7ECB9E95E19E}" name="Data Nasc" dataDxfId="596"/>
    <tableColumn id="8" xr3:uid="{200435F8-35C4-4BB5-BEE1-0CA2CAE852C7}" name="Cancelado Transferido Desistente" dataDxfId="595"/>
    <tableColumn id="3" xr3:uid="{5969A40E-A808-4AEE-943B-02AA3A42322E}" name="CPF" dataDxfId="594"/>
    <tableColumn id="4" xr3:uid="{2937E080-85D6-4CB3-A062-97D476D3EA4B}" name="SUS" dataDxfId="593"/>
    <tableColumn id="6" xr3:uid="{BAC42A10-E231-4FF5-B592-AD0FD37C7E55}" name="Celular 1" dataDxfId="592"/>
    <tableColumn id="7" xr3:uid="{F632EF86-CBAC-446B-B27D-EA3B854D8700}" name="Celular 2" dataDxfId="591"/>
    <tableColumn id="9" xr3:uid="{39828FB6-E1DB-4C6C-85E0-371605C63CE9}" name="Mat." dataDxfId="590"/>
    <tableColumn id="10" xr3:uid="{943F4102-DCBF-44E9-A99C-CCE484225B50}" name="Responsavel (Mãe)" dataDxfId="589"/>
    <tableColumn id="11" xr3:uid="{939A2CD6-0DF4-4F0F-9813-D80947032E68}" name="Idade" dataDxfId="588">
      <calculatedColumnFormula>QUOTIENT(IF(DATEDIF(C3,TODAY(),"y")&gt;90,0,DATEDIF(C3,TODAY(),"m")),12)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FB5E779-4B35-4873-9DFE-53FC276D775B}" name="Tabela27368" displayName="Tabela27368" ref="A4:AE29" totalsRowShown="0" tableBorderDxfId="587">
  <autoFilter ref="A4:AE29" xr:uid="{39CB31EB-22EF-4251-8C59-A08F1A9B4C3F}"/>
  <tableColumns count="31">
    <tableColumn id="1" xr3:uid="{1E70BDFB-6FFE-43F7-A02E-4E6220B70E84}" name="Nº" dataDxfId="586">
      <calculatedColumnFormula>IF('1P-A'!A3&lt;&gt;0,'1P-A'!A3,"")</calculatedColumnFormula>
    </tableColumn>
    <tableColumn id="2" xr3:uid="{18F112F1-4274-489F-9AB6-E0687C4EE61E}" name="Nome" dataDxfId="585">
      <calculatedColumnFormula>IF('2P-B'!B3&lt;&gt;0,'2P-B'!B3,"")</calculatedColumnFormula>
    </tableColumn>
    <tableColumn id="3" xr3:uid="{D889ECAA-86E2-4E63-A0CA-EEE6D7D89349}" name="Data Nasc" dataDxfId="584">
      <calculatedColumnFormula>IF('2P-B'!C3&lt;&gt;0,'2P-B'!C3,"")</calculatedColumnFormula>
    </tableColumn>
    <tableColumn id="4" xr3:uid="{DC7362D6-DE37-4FEF-8942-E6E6836C1757}" name="Cancelado Transferido Desistente" dataDxfId="583">
      <calculatedColumnFormula>IF('2P-B'!D3&lt;&gt;0,'2P-B'!D3,"")</calculatedColumnFormula>
    </tableColumn>
    <tableColumn id="6" xr3:uid="{0D7EDC77-05D2-4861-B75E-DCF6C9EFDFC7}" name="PRES MAR" dataDxfId="582"/>
    <tableColumn id="7" xr3:uid="{F7DC827A-4220-4106-9C35-2D3B59D08A3F}" name="FALTA MAR" dataDxfId="581"/>
    <tableColumn id="8" xr3:uid="{A8B6BEEC-C2EC-4EED-9B8A-CD0302607B42}" name="% PRESENÇA MAR" dataDxfId="580" dataCellStyle="Porcentagem">
      <calculatedColumnFormula>ROUND((E5*100)/(E5+F5),0)/100</calculatedColumnFormula>
    </tableColumn>
    <tableColumn id="9" xr3:uid="{A28BC36E-FC7E-4348-9A0C-88647CED30DB}" name="PRES ABR" dataDxfId="579"/>
    <tableColumn id="10" xr3:uid="{A5668D76-454E-4C8A-B524-352ADA98D43B}" name="FALT ABR" dataDxfId="578"/>
    <tableColumn id="11" xr3:uid="{8D554BAA-A5DB-4E35-A2EB-A8DF5ED85218}" name="% PRESENÇA ABR" dataDxfId="577" dataCellStyle="Porcentagem">
      <calculatedColumnFormula>ROUND((H5*100)/(H5+I5),0)/100</calculatedColumnFormula>
    </tableColumn>
    <tableColumn id="12" xr3:uid="{F1D4BB57-492B-4F82-8964-E2961CE61F80}" name="." dataDxfId="576">
      <calculatedColumnFormula>Tabela27368[[#This Row],[Nº]]</calculatedColumnFormula>
    </tableColumn>
    <tableColumn id="13" xr3:uid="{D556586F-E508-4856-BCF6-DCC7B6383B33}" name="PRES MAI" dataDxfId="575"/>
    <tableColumn id="14" xr3:uid="{61BCBC34-A6F1-4710-BC0E-0014BA21FB13}" name="FALTA MAI" dataDxfId="574"/>
    <tableColumn id="15" xr3:uid="{D6624562-F967-4455-86C2-EF22B70E4F1E}" name="% PRESENÇA MAI" dataDxfId="573" dataCellStyle="Porcentagem">
      <calculatedColumnFormula>ROUND((L5*100)/(L5+M5),0)/100</calculatedColumnFormula>
    </tableColumn>
    <tableColumn id="16" xr3:uid="{F9BDB2FB-0F31-4B57-A421-827EC25AA989}" name="PRES JUN" dataDxfId="572"/>
    <tableColumn id="17" xr3:uid="{0C006408-DD2A-4818-AE11-3AA4BB7BE408}" name="FALTA JUN" dataDxfId="571"/>
    <tableColumn id="18" xr3:uid="{A23051DB-8594-4A32-9A8D-8D7A20461016}" name="% PRESENÇA JUN" dataDxfId="570" dataCellStyle="Porcentagem">
      <calculatedColumnFormula>ROUND((O5*100)/(O5+P5),0)/100</calculatedColumnFormula>
    </tableColumn>
    <tableColumn id="19" xr3:uid="{9E8E62BD-F463-4172-8439-EB414E64601D}" name="," dataDxfId="569">
      <calculatedColumnFormula>Tabela27368[[#This Row],[Nº]]</calculatedColumnFormula>
    </tableColumn>
    <tableColumn id="20" xr3:uid="{464C0733-5F94-4147-AF4C-A4CBB8EFE9EE}" name="PRES AGO" dataDxfId="568"/>
    <tableColumn id="21" xr3:uid="{05A15630-42FB-48F2-832E-2DD0E63A8C16}" name="FALTA AGO" dataDxfId="567"/>
    <tableColumn id="22" xr3:uid="{05F93916-C3BC-4F1F-A182-5EFDD4C96F30}" name="% PRESENÇA AGO" dataDxfId="566" dataCellStyle="Porcentagem">
      <calculatedColumnFormula>ROUND((S5*100)/(S5+T5),0)/100</calculatedColumnFormula>
    </tableColumn>
    <tableColumn id="23" xr3:uid="{5B6F6A81-A45E-48F1-AD5C-0F859ACD79CA}" name="PRES SET" dataDxfId="565"/>
    <tableColumn id="24" xr3:uid="{B55E1874-4B60-4FC8-80A1-D7D10EB027A1}" name="FALTA SET" dataDxfId="564"/>
    <tableColumn id="25" xr3:uid="{B635E2FF-1943-4790-84EE-CDE67F8C0E36}" name="% PRESENÇA SET" dataDxfId="563" dataCellStyle="Porcentagem">
      <calculatedColumnFormula>ROUND((V5*100)/(V5+W5),0)/100</calculatedColumnFormula>
    </tableColumn>
    <tableColumn id="26" xr3:uid="{4831275B-C41E-43F0-A057-BD28D6B41C74}" name=";" dataDxfId="562">
      <calculatedColumnFormula>Tabela27368[[#This Row],[Nº]]</calculatedColumnFormula>
    </tableColumn>
    <tableColumn id="27" xr3:uid="{20ADBB0F-2EB7-41E6-9449-36F9DC1EE3A6}" name="PRES OUT" dataDxfId="561"/>
    <tableColumn id="28" xr3:uid="{B49092AF-76EF-49DB-9215-284CD4F70527}" name="FALTA OUT" dataDxfId="560"/>
    <tableColumn id="29" xr3:uid="{43A386B9-06E7-48A8-9DA8-1DF916EE605F}" name="% PRESENÇA OUT" dataDxfId="559" dataCellStyle="Porcentagem">
      <calculatedColumnFormula>ROUND((Z5*100)/(Z5+AA5),0)/100</calculatedColumnFormula>
    </tableColumn>
    <tableColumn id="30" xr3:uid="{F149245E-7CCE-42FE-8A73-22C132B3C121}" name="PRES NOV" dataDxfId="558"/>
    <tableColumn id="31" xr3:uid="{104256C3-ADF6-4CE7-B9B2-1B65FAF02353}" name="FALTA NOV" dataDxfId="557"/>
    <tableColumn id="32" xr3:uid="{CB5E3C4E-3C53-400A-8982-B51EF234C809}" name="% PRESENÇA NOV" dataDxfId="556" dataCellStyle="Porcentagem">
      <calculatedColumnFormula>ROUND((AC5*100)/(AC5+AD5),0)/100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0F9FF5C-3652-42AF-8605-698238ED6531}" name="_1PRE2579" displayName="_1PRE2579" ref="A2:K27" totalsRowShown="0">
  <autoFilter ref="A2:K27" xr:uid="{00000000-0009-0000-0100-000010000000}"/>
  <tableColumns count="11">
    <tableColumn id="1" xr3:uid="{82C07FC6-0E1F-4B3E-BE75-3209144E595C}" name="Nº" dataDxfId="555">
      <calculatedColumnFormula>A2+1</calculatedColumnFormula>
    </tableColumn>
    <tableColumn id="2" xr3:uid="{3BA746C5-D276-4B02-B417-43221B464EDE}" name="Nome" dataDxfId="554"/>
    <tableColumn id="5" xr3:uid="{E4D263D7-FB76-4AB8-A90E-BCDA39C72B12}" name="Data Nasc" dataDxfId="553"/>
    <tableColumn id="8" xr3:uid="{CD4DA344-D5E3-4562-8978-9E9AD229BFA1}" name="Cancelado Transferido Desistente" dataDxfId="552"/>
    <tableColumn id="3" xr3:uid="{ACB97C4E-47C1-4C53-9EA2-1280A9C19AB4}" name="CPF" dataDxfId="551"/>
    <tableColumn id="4" xr3:uid="{0EA47D7E-4517-4ABA-AE01-60F7FD7F2A87}" name="SUS" dataDxfId="550"/>
    <tableColumn id="6" xr3:uid="{23861A7E-4FA0-4474-B3A4-8533C2510E99}" name="Celular 1" dataDxfId="549"/>
    <tableColumn id="7" xr3:uid="{EE7BB647-3F67-4B19-893D-CCDE9A1A5908}" name="Celular 2" dataDxfId="548"/>
    <tableColumn id="9" xr3:uid="{CF671AEA-4862-44B6-A0A3-D7F0A1F68E20}" name="Mat." dataDxfId="547"/>
    <tableColumn id="10" xr3:uid="{086CE6D8-F30F-4226-9445-1C1E36F10264}" name="Responsavel (Mãe)" dataDxfId="546"/>
    <tableColumn id="11" xr3:uid="{15916DA4-EBCD-4F06-B86C-8A432F4C4635}" name="Idade" dataDxfId="545">
      <calculatedColumnFormula>QUOTIENT(IF(DATEDIF(C3,TODAY(),"y")&gt;90,0,DATEDIF(C3,TODAY(),"m")),12)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081EFDE-C06C-4482-8CCE-989993CF40A1}" name="Tabela2736810" displayName="Tabela2736810" ref="A4:AE29" totalsRowShown="0" tableBorderDxfId="544">
  <autoFilter ref="A4:AE29" xr:uid="{39CB31EB-22EF-4251-8C59-A08F1A9B4C3F}"/>
  <tableColumns count="31">
    <tableColumn id="1" xr3:uid="{7F1574A5-8744-4686-9FC1-CE0B92CCD427}" name="Nº" dataDxfId="543">
      <calculatedColumnFormula>IF('1P-A'!A3&lt;&gt;0,'1P-A'!A3,"")</calculatedColumnFormula>
    </tableColumn>
    <tableColumn id="2" xr3:uid="{A7DB00FF-1D97-4439-BDEB-A50B41FF1442}" name="Nome" dataDxfId="542">
      <calculatedColumnFormula>IF('1A-A'!B3&lt;&gt;0,'1A-A'!B3,"")</calculatedColumnFormula>
    </tableColumn>
    <tableColumn id="3" xr3:uid="{3E03BAE9-3A87-42C7-BD3E-2CD0FC9545F0}" name="Data Nasc" dataDxfId="541">
      <calculatedColumnFormula>IF('1A-A'!C3&lt;&gt;0,'1A-A'!C3,"")</calculatedColumnFormula>
    </tableColumn>
    <tableColumn id="4" xr3:uid="{C489689A-F34C-4945-BDD6-F8C1E2813872}" name="Cancelado Transferido Desistente" dataDxfId="540">
      <calculatedColumnFormula>IF('1A-A'!D3&lt;&gt;0,'1A-A'!D3,"")</calculatedColumnFormula>
    </tableColumn>
    <tableColumn id="6" xr3:uid="{BD5993DA-B9C6-4C6D-87AC-66E803B6E084}" name="PRES MAR" dataDxfId="539"/>
    <tableColumn id="7" xr3:uid="{4E38E772-E67D-428B-BF92-36FAF060A226}" name="FALTA MAR" dataDxfId="538"/>
    <tableColumn id="8" xr3:uid="{CFD3DCDE-CA7F-4E7E-8CCA-95082C676DE7}" name="% PRESENÇA MAR" dataDxfId="537" dataCellStyle="Porcentagem">
      <calculatedColumnFormula>ROUND((E5*100)/(E5+F5),0)/100</calculatedColumnFormula>
    </tableColumn>
    <tableColumn id="9" xr3:uid="{92513C23-8907-4EF2-83DA-FB9D37880F0D}" name="PRES ABR" dataDxfId="536"/>
    <tableColumn id="10" xr3:uid="{774FCB04-89CE-424F-AF19-E038A2D5570E}" name="FALT ABR" dataDxfId="535"/>
    <tableColumn id="11" xr3:uid="{B77D26FD-EAD4-4ACB-AAE6-013A2B4CEC00}" name="% PRESENÇA ABR" dataDxfId="534" dataCellStyle="Porcentagem">
      <calculatedColumnFormula>ROUND((H5*100)/(H5+I5),0)/100</calculatedColumnFormula>
    </tableColumn>
    <tableColumn id="12" xr3:uid="{E364AC1A-2928-4E6D-B84C-DCD8E6D63F3E}" name="." dataDxfId="533">
      <calculatedColumnFormula>Tabela2736810[[#This Row],[Nº]]</calculatedColumnFormula>
    </tableColumn>
    <tableColumn id="13" xr3:uid="{66E4E293-C833-4E33-BF61-F4743BBC2405}" name="PRES MAI" dataDxfId="532"/>
    <tableColumn id="14" xr3:uid="{012D0C43-8E48-4DF9-B0AC-9E3C6F77FE5D}" name="FALTA MAI" dataDxfId="531"/>
    <tableColumn id="15" xr3:uid="{246789F2-5212-41E8-8931-757E08DA625E}" name="% PRESENÇA MAI" dataDxfId="530" dataCellStyle="Porcentagem">
      <calculatedColumnFormula>ROUND((L5*100)/(L5+M5),0)/100</calculatedColumnFormula>
    </tableColumn>
    <tableColumn id="16" xr3:uid="{9618DF8B-723C-409B-B9F4-D54BA649B7E6}" name="PRES JUN" dataDxfId="529"/>
    <tableColumn id="17" xr3:uid="{C1DB38E2-CD9D-4537-A252-80DD7133ABDD}" name="FALTA JUN" dataDxfId="528"/>
    <tableColumn id="18" xr3:uid="{154C5C81-8FFC-4562-9EEA-ACE5CF6B7F06}" name="% PRESENÇA JUN" dataDxfId="527" dataCellStyle="Porcentagem">
      <calculatedColumnFormula>ROUND((O5*100)/(O5+P5),0)/100</calculatedColumnFormula>
    </tableColumn>
    <tableColumn id="19" xr3:uid="{C1DEF1A8-7F3A-499B-A686-BCA0C3BBF7D8}" name="," dataDxfId="526">
      <calculatedColumnFormula>Tabela2736810[[#This Row],[Nº]]</calculatedColumnFormula>
    </tableColumn>
    <tableColumn id="20" xr3:uid="{D522D473-0B43-45C9-8C8E-95DF21E2619D}" name="PRES AGO" dataDxfId="525"/>
    <tableColumn id="21" xr3:uid="{DDE0B93D-AF09-4B40-90C8-C134A7D94AB9}" name="FALTA AGO" dataDxfId="524"/>
    <tableColumn id="22" xr3:uid="{C7731032-2346-4EE7-81F8-07BD1777F8E4}" name="% PRESENÇA AGO" dataDxfId="523" dataCellStyle="Porcentagem">
      <calculatedColumnFormula>ROUND((S5*100)/(S5+T5),0)/100</calculatedColumnFormula>
    </tableColumn>
    <tableColumn id="23" xr3:uid="{A4B29CAE-6917-46A6-911A-D878CDD24863}" name="PRES SET" dataDxfId="522"/>
    <tableColumn id="24" xr3:uid="{35267512-6F19-4B95-A5C2-77780CE678AF}" name="FALTA SET" dataDxfId="521"/>
    <tableColumn id="25" xr3:uid="{C41B38E7-245B-40BD-AF7A-3F2D964AD289}" name="% PRESENÇA SET" dataDxfId="520" dataCellStyle="Porcentagem">
      <calculatedColumnFormula>ROUND((V5*100)/(V5+W5),0)/100</calculatedColumnFormula>
    </tableColumn>
    <tableColumn id="26" xr3:uid="{2B954EB5-B037-497A-82A5-ADE5038630A1}" name=";" dataDxfId="519">
      <calculatedColumnFormula>Tabela2736810[[#This Row],[Nº]]</calculatedColumnFormula>
    </tableColumn>
    <tableColumn id="27" xr3:uid="{282DF2C7-5EF3-45B3-8564-D67A7A77239C}" name="PRES OUT" dataDxfId="518"/>
    <tableColumn id="28" xr3:uid="{C82BA9E5-4C23-46CE-AF15-3F871818CC91}" name="FALTA OUT" dataDxfId="517"/>
    <tableColumn id="29" xr3:uid="{D1C3AA64-E15C-4B6F-BCAA-742F39A1A2D8}" name="% PRESENÇA OUT" dataDxfId="516" dataCellStyle="Porcentagem">
      <calculatedColumnFormula>ROUND((Z5*100)/(Z5+AA5),0)/100</calculatedColumnFormula>
    </tableColumn>
    <tableColumn id="30" xr3:uid="{DC23CD3D-280E-4EE2-8F00-B699C139C124}" name="PRES NOV" dataDxfId="515"/>
    <tableColumn id="31" xr3:uid="{9BDB4592-EE19-4885-BEF5-E920EA432E62}" name="FALTA NOV" dataDxfId="514"/>
    <tableColumn id="32" xr3:uid="{381C9AD5-548B-4319-BD23-6A9EEDF543FE}" name="% PRESENÇA NOV" dataDxfId="513" dataCellStyle="Porcentagem">
      <calculatedColumnFormula>ROUND((AC5*100)/(AC5+AD5),0)/100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F87C884-AB6E-4CA5-8D69-782DF12D4DB8}" name="_1PRE257911" displayName="_1PRE257911" ref="A2:K27" totalsRowShown="0">
  <autoFilter ref="A2:K27" xr:uid="{00000000-0009-0000-0100-000010000000}"/>
  <tableColumns count="11">
    <tableColumn id="1" xr3:uid="{A38B1DB7-F693-4C96-AEEE-2AD68209817E}" name="Nº" dataDxfId="512">
      <calculatedColumnFormula>A2+1</calculatedColumnFormula>
    </tableColumn>
    <tableColumn id="2" xr3:uid="{3284B04C-694A-4778-98A9-B19078A01AD1}" name="Nome" dataDxfId="511"/>
    <tableColumn id="5" xr3:uid="{E643EDAF-BA22-44E3-9211-265651AA615C}" name="Data Nasc" dataDxfId="510"/>
    <tableColumn id="8" xr3:uid="{43BD840A-6C20-4628-89BE-F5C24FE4CFC9}" name="Cancelado Transferido Desistente" dataDxfId="509"/>
    <tableColumn id="3" xr3:uid="{37B6CEE0-8EFF-46BE-A568-2C935B58FEA0}" name="CPF" dataDxfId="508"/>
    <tableColumn id="4" xr3:uid="{A920088A-19EC-411F-B4EB-4BD1303EC9BB}" name="SUS" dataDxfId="507"/>
    <tableColumn id="6" xr3:uid="{1D599488-E757-4E62-89C8-36EE4B0AA3F8}" name="Celular 1" dataDxfId="506"/>
    <tableColumn id="7" xr3:uid="{636CF0A4-39F4-4C55-99D6-B4BC6EF01904}" name="Celular 2" dataDxfId="505"/>
    <tableColumn id="9" xr3:uid="{EC67CDBA-AFE1-4003-B475-3371FF11CEF7}" name="Mat." dataDxfId="504"/>
    <tableColumn id="10" xr3:uid="{27F27C59-A108-4775-92E5-6DBB4C6318C0}" name="Responsavel (Mãe)" dataDxfId="503"/>
    <tableColumn id="11" xr3:uid="{4E039999-A4DC-4033-835B-6372A1B10E38}" name="Idade" dataDxfId="502">
      <calculatedColumnFormula>QUOTIENT(IF(DATEDIF(C3,TODAY(),"y")&gt;90,0,DATEDIF(C3,TODAY(),"m")),12)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665BC13-9ECC-4620-8544-E472830DE28E}" name="Tabela273681012" displayName="Tabela273681012" ref="A4:AE29" totalsRowShown="0" tableBorderDxfId="501">
  <autoFilter ref="A4:AE29" xr:uid="{39CB31EB-22EF-4251-8C59-A08F1A9B4C3F}"/>
  <tableColumns count="31">
    <tableColumn id="1" xr3:uid="{858E7260-0168-4D76-95DC-24327EC876BB}" name="Nº" dataDxfId="500">
      <calculatedColumnFormula>IF('1P-A'!A3&lt;&gt;0,'1P-A'!A3,"")</calculatedColumnFormula>
    </tableColumn>
    <tableColumn id="2" xr3:uid="{F7D0B440-7162-4E99-B58B-7AAF3E46D82F}" name="Nome" dataDxfId="499">
      <calculatedColumnFormula>IF('1A-B'!B3&lt;&gt;0,'1A-B'!B3,"")</calculatedColumnFormula>
    </tableColumn>
    <tableColumn id="3" xr3:uid="{484DF64D-A3A3-4A4D-ABFC-7FE7ED683821}" name="Data Nasc" dataDxfId="498">
      <calculatedColumnFormula>IF('1A-B'!C3&lt;&gt;0,'1A-B'!C3,"")</calculatedColumnFormula>
    </tableColumn>
    <tableColumn id="4" xr3:uid="{DEB18715-4958-4525-8BF0-FF336CC47A20}" name="Cancelado Transferido Desistente" dataDxfId="497">
      <calculatedColumnFormula>IF('1A-B'!D3&lt;&gt;0,'1A-B'!D3,"")</calculatedColumnFormula>
    </tableColumn>
    <tableColumn id="6" xr3:uid="{3D11B020-6F84-4116-8F62-F0207BF4795B}" name="PRES MAR" dataDxfId="496"/>
    <tableColumn id="7" xr3:uid="{DCF2A103-8680-4CD3-B00B-5FE27F9F0369}" name="FALTA MAR" dataDxfId="495"/>
    <tableColumn id="8" xr3:uid="{58207437-C8ED-4823-A308-548B6DB4A3D1}" name="% PRESENÇA MAR" dataDxfId="494" dataCellStyle="Porcentagem">
      <calculatedColumnFormula>ROUND((E5*100)/(E5+F5),0)/100</calculatedColumnFormula>
    </tableColumn>
    <tableColumn id="9" xr3:uid="{81329B3E-04BB-4968-8A0E-5350D0F2AFC4}" name="PRES ABR" dataDxfId="493"/>
    <tableColumn id="10" xr3:uid="{EAA820F1-44B5-464E-B61E-AF001E6F085C}" name="FALT ABR" dataDxfId="492"/>
    <tableColumn id="11" xr3:uid="{EFD82B21-6616-4AAE-B821-B34B31FC3470}" name="% PRESENÇA ABR" dataDxfId="491" dataCellStyle="Porcentagem">
      <calculatedColumnFormula>ROUND((H5*100)/(H5+I5),0)/100</calculatedColumnFormula>
    </tableColumn>
    <tableColumn id="12" xr3:uid="{553B22A0-850B-439B-ACC0-06680E7F8135}" name="." dataDxfId="490">
      <calculatedColumnFormula>Tabela273681012[[#This Row],[Nº]]</calculatedColumnFormula>
    </tableColumn>
    <tableColumn id="13" xr3:uid="{1BA6800D-3EC7-43FA-8D6B-FB913754A1A6}" name="PRES MAI" dataDxfId="489"/>
    <tableColumn id="14" xr3:uid="{088F689D-C354-401D-91D8-18A450C2DBC0}" name="FALTA MAI" dataDxfId="488"/>
    <tableColumn id="15" xr3:uid="{E7B7AA5B-72BC-43A4-A9B9-F0DF93C0C30F}" name="% PRESENÇA MAI" dataDxfId="487" dataCellStyle="Porcentagem">
      <calculatedColumnFormula>ROUND((L5*100)/(L5+M5),0)/100</calculatedColumnFormula>
    </tableColumn>
    <tableColumn id="16" xr3:uid="{44742D43-1E68-4EF2-AD77-B204738F359F}" name="PRES JUN" dataDxfId="486"/>
    <tableColumn id="17" xr3:uid="{0390513C-6482-4F19-BE91-13D123C9D809}" name="FALTA JUN" dataDxfId="485"/>
    <tableColumn id="18" xr3:uid="{A454B5A5-B12E-4892-BE63-981FF0A9AE19}" name="% PRESENÇA JUN" dataDxfId="484" dataCellStyle="Porcentagem">
      <calculatedColumnFormula>ROUND((O5*100)/(O5+P5),0)/100</calculatedColumnFormula>
    </tableColumn>
    <tableColumn id="19" xr3:uid="{62742403-BAA2-461F-8365-F68F21AAB056}" name="," dataDxfId="483">
      <calculatedColumnFormula>Tabela273681012[[#This Row],[Nº]]</calculatedColumnFormula>
    </tableColumn>
    <tableColumn id="20" xr3:uid="{9AEA6CE8-89A9-466B-9495-29C68CB3D828}" name="PRES AGO" dataDxfId="482"/>
    <tableColumn id="21" xr3:uid="{C2A5B7D6-2222-4951-BDE3-2EA21A0D279D}" name="FALTA AGO" dataDxfId="481"/>
    <tableColumn id="22" xr3:uid="{381219EC-F7B2-4DC7-A86C-9DEC05076D8B}" name="% PRESENÇA AGO" dataDxfId="480" dataCellStyle="Porcentagem">
      <calculatedColumnFormula>ROUND((S5*100)/(S5+T5),0)/100</calculatedColumnFormula>
    </tableColumn>
    <tableColumn id="23" xr3:uid="{A60743C5-C874-43AE-A9D1-9DA792BB23C1}" name="PRES SET" dataDxfId="479"/>
    <tableColumn id="24" xr3:uid="{06332FD0-EC02-4CB9-8984-878384AC4063}" name="FALTA SET" dataDxfId="478"/>
    <tableColumn id="25" xr3:uid="{A404AFE1-C58A-49AE-8559-A11BFD0FA55C}" name="% PRESENÇA SET" dataDxfId="477" dataCellStyle="Porcentagem">
      <calculatedColumnFormula>ROUND((V5*100)/(V5+W5),0)/100</calculatedColumnFormula>
    </tableColumn>
    <tableColumn id="26" xr3:uid="{3DB8D080-09CD-4082-BE14-7AC3BBE0A0C6}" name=";" dataDxfId="476">
      <calculatedColumnFormula>Tabela273681012[[#This Row],[Nº]]</calculatedColumnFormula>
    </tableColumn>
    <tableColumn id="27" xr3:uid="{0D95F630-6BCB-4A91-B7CB-F5ABA044D030}" name="PRES OUT" dataDxfId="475"/>
    <tableColumn id="28" xr3:uid="{F55A7535-2615-4CC2-9BE1-F637FC340B80}" name="FALTA OUT" dataDxfId="474"/>
    <tableColumn id="29" xr3:uid="{7415F5D3-AF0D-423D-B497-C9144E8EE069}" name="% PRESENÇA OUT" dataDxfId="473" dataCellStyle="Porcentagem">
      <calculatedColumnFormula>ROUND((Z5*100)/(Z5+AA5),0)/100</calculatedColumnFormula>
    </tableColumn>
    <tableColumn id="30" xr3:uid="{15A97DF7-F8D7-43F6-B168-B8E97FB13457}" name="PRES NOV" dataDxfId="472"/>
    <tableColumn id="31" xr3:uid="{64D3F324-1BD5-40FB-A1F6-7AE27C8CB866}" name="FALTA NOV" dataDxfId="471"/>
    <tableColumn id="32" xr3:uid="{497E6845-474E-42F4-A1B5-F2C544AD5E19}" name="% PRESENÇA NOV" dataDxfId="470" dataCellStyle="Porcentagem">
      <calculatedColumnFormula>ROUND((AC5*100)/(AC5+AD5),0)/100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1E51C1F-ED08-4575-9E45-F644514696F1}" name="_1PRE25791113" displayName="_1PRE25791113" ref="A2:K27" totalsRowShown="0">
  <autoFilter ref="A2:K27" xr:uid="{00000000-0009-0000-0100-000010000000}"/>
  <tableColumns count="11">
    <tableColumn id="1" xr3:uid="{DB875824-EF53-4B98-8E1F-DD8B5B69750F}" name="Nº" dataDxfId="469">
      <calculatedColumnFormula>A2+1</calculatedColumnFormula>
    </tableColumn>
    <tableColumn id="2" xr3:uid="{E7D0DFEE-4E47-43D8-84FA-812C0D89C506}" name="Nome" dataDxfId="468"/>
    <tableColumn id="5" xr3:uid="{98945D59-4BDD-4595-91BA-19C6E07A6382}" name="Data Nasc" dataDxfId="467"/>
    <tableColumn id="8" xr3:uid="{254AE54A-8B72-438F-8DA6-821F01E57035}" name="Cancelado Transferido Desistente" dataDxfId="466"/>
    <tableColumn id="3" xr3:uid="{FB8B6C63-8752-4A2C-AD82-A26481BE36ED}" name="CPF" dataDxfId="465"/>
    <tableColumn id="4" xr3:uid="{A3098903-BC90-4400-A12A-C4B6EB1C2B2F}" name="SUS" dataDxfId="464"/>
    <tableColumn id="6" xr3:uid="{E91503F9-FDF6-41EC-9F84-B021EFD9D592}" name="Celular 1" dataDxfId="463"/>
    <tableColumn id="7" xr3:uid="{4BFD10AA-C7D6-4ADA-A557-C5AF2D9E7A46}" name="Celular 2" dataDxfId="462"/>
    <tableColumn id="9" xr3:uid="{DA167F32-D604-4BB6-8805-B1EF64A6C35C}" name="Mat." dataDxfId="461"/>
    <tableColumn id="10" xr3:uid="{40597A99-A381-4C04-82AB-390AF6DD3DC3}" name="Responsavel (Mãe)" dataDxfId="460"/>
    <tableColumn id="11" xr3:uid="{FD850B0E-67E4-418D-987F-805D623F2ACA}" name="Idade" dataDxfId="459">
      <calculatedColumnFormula>QUOTIENT(IF(DATEDIF(C3,TODAY(),"y")&gt;90,0,DATEDIF(C3,TODAY(),"m")),12)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4D9B433-7F53-4BBD-B0A1-86A8D7320EFC}" name="Tabela27368101214" displayName="Tabela27368101214" ref="A4:AE29" totalsRowShown="0" tableBorderDxfId="458">
  <autoFilter ref="A4:AE29" xr:uid="{39CB31EB-22EF-4251-8C59-A08F1A9B4C3F}"/>
  <tableColumns count="31">
    <tableColumn id="1" xr3:uid="{8EC2C3E0-8C4D-4B8D-8179-78BF76858EB1}" name="Nº" dataDxfId="457">
      <calculatedColumnFormula>IF('1P-A'!A3&lt;&gt;0,'1P-A'!A3,"")</calculatedColumnFormula>
    </tableColumn>
    <tableColumn id="2" xr3:uid="{ACBE0BC5-B97D-492C-99D1-74C9F5EE907E}" name="Nome" dataDxfId="456">
      <calculatedColumnFormula>IF('2A-A'!B3&lt;&gt;0,'2A-A'!B3,"")</calculatedColumnFormula>
    </tableColumn>
    <tableColumn id="3" xr3:uid="{1D2ABE98-4E7F-4B91-A166-D29E80B0705E}" name="Data Nasc" dataDxfId="455">
      <calculatedColumnFormula>IF('2A-A'!C3&lt;&gt;0,'2A-A'!C3,"")</calculatedColumnFormula>
    </tableColumn>
    <tableColumn id="4" xr3:uid="{AB3677C4-1A93-4E08-AAA7-929F1F023154}" name="Cancelado Transferido Desistente" dataDxfId="454">
      <calculatedColumnFormula>IF('2A-A'!D3&lt;&gt;0,'2A-A'!D3,"")</calculatedColumnFormula>
    </tableColumn>
    <tableColumn id="6" xr3:uid="{837E8A4F-43B4-4AC9-9F32-290BE06F19C1}" name="PRES MAR" dataDxfId="453"/>
    <tableColumn id="7" xr3:uid="{3E888B3B-A8E6-4946-908B-A65E55D4D921}" name="FALTA MAR" dataDxfId="452"/>
    <tableColumn id="8" xr3:uid="{8DAEF244-F17C-4CEA-B71A-E7E1F5EFE0FF}" name="% PRESENÇA MAR" dataDxfId="451" dataCellStyle="Porcentagem">
      <calculatedColumnFormula>ROUND((E5*100)/(E5+F5),0)/100</calculatedColumnFormula>
    </tableColumn>
    <tableColumn id="9" xr3:uid="{86A77A42-47D9-45F9-A3AC-A184C2DECA75}" name="PRES ABR" dataDxfId="450"/>
    <tableColumn id="10" xr3:uid="{99D756E9-79A5-42BF-832F-15FBF101102C}" name="FALT ABR" dataDxfId="449"/>
    <tableColumn id="11" xr3:uid="{B4E79EC3-069C-460B-B258-46567AE8929C}" name="% PRESENÇA ABR" dataDxfId="448" dataCellStyle="Porcentagem">
      <calculatedColumnFormula>ROUND((H5*100)/(H5+I5),0)/100</calculatedColumnFormula>
    </tableColumn>
    <tableColumn id="12" xr3:uid="{5AD998A6-74F8-4F41-89DC-F31D0025756E}" name="." dataDxfId="447">
      <calculatedColumnFormula>Tabela27368101214[[#This Row],[Nº]]</calculatedColumnFormula>
    </tableColumn>
    <tableColumn id="13" xr3:uid="{B3AF9C4F-CD72-4298-8F6A-2C7212FFB761}" name="PRES MAI" dataDxfId="446"/>
    <tableColumn id="14" xr3:uid="{7924CE55-C9CC-40EA-BD89-F8665040B840}" name="FALTA MAI" dataDxfId="445"/>
    <tableColumn id="15" xr3:uid="{06302C99-46C7-4C12-98E1-01EBCB13FF82}" name="% PRESENÇA MAI" dataDxfId="444" dataCellStyle="Porcentagem">
      <calculatedColumnFormula>ROUND((L5*100)/(L5+M5),0)/100</calculatedColumnFormula>
    </tableColumn>
    <tableColumn id="16" xr3:uid="{B814EE01-13B3-4CE1-BE1F-63B304E262F7}" name="PRES JUN" dataDxfId="443"/>
    <tableColumn id="17" xr3:uid="{9E0121E2-CB9B-43AA-91B4-7A039311D374}" name="FALTA JUN" dataDxfId="442"/>
    <tableColumn id="18" xr3:uid="{CBE4FC31-FF62-49DB-88C7-B1B7DD16EA4C}" name="% PRESENÇA JUN" dataDxfId="441" dataCellStyle="Porcentagem">
      <calculatedColumnFormula>ROUND((O5*100)/(O5+P5),0)/100</calculatedColumnFormula>
    </tableColumn>
    <tableColumn id="19" xr3:uid="{B6EDB6AE-9716-4468-AAC9-F8F88F7C6874}" name="," dataDxfId="440">
      <calculatedColumnFormula>Tabela27368101214[[#This Row],[Nº]]</calculatedColumnFormula>
    </tableColumn>
    <tableColumn id="20" xr3:uid="{CE49B753-3F7D-4385-B2F4-61617DE69453}" name="PRES AGO" dataDxfId="439"/>
    <tableColumn id="21" xr3:uid="{8BCA364E-1819-4F07-AED7-8A1BC374AB2A}" name="FALTA AGO" dataDxfId="438"/>
    <tableColumn id="22" xr3:uid="{B02BD4FF-4DAC-40A1-92E0-605B60D47E38}" name="% PRESENÇA AGO" dataDxfId="437" dataCellStyle="Porcentagem">
      <calculatedColumnFormula>ROUND((S5*100)/(S5+T5),0)/100</calculatedColumnFormula>
    </tableColumn>
    <tableColumn id="23" xr3:uid="{97EF39EA-D213-47C3-A369-14A1CC33E25C}" name="PRES SET" dataDxfId="436"/>
    <tableColumn id="24" xr3:uid="{697DEE3E-A75A-4E04-89E2-EB11A7B220BC}" name="FALTA SET" dataDxfId="435"/>
    <tableColumn id="25" xr3:uid="{941DA582-E994-47A6-A55C-69C4A3E3BC9C}" name="% PRESENÇA SET" dataDxfId="434" dataCellStyle="Porcentagem">
      <calculatedColumnFormula>ROUND((V5*100)/(V5+W5),0)/100</calculatedColumnFormula>
    </tableColumn>
    <tableColumn id="26" xr3:uid="{C9572FD0-EFA7-42D3-8B1C-4CA567DBCB29}" name=";" dataDxfId="433">
      <calculatedColumnFormula>Tabela27368101214[[#This Row],[Nº]]</calculatedColumnFormula>
    </tableColumn>
    <tableColumn id="27" xr3:uid="{29C13402-729A-459A-B32F-914A593D176F}" name="PRES OUT" dataDxfId="432"/>
    <tableColumn id="28" xr3:uid="{17DA1F4C-3C7B-427F-BA1A-6701BA4FE828}" name="FALTA OUT" dataDxfId="431"/>
    <tableColumn id="29" xr3:uid="{28087DB7-2EAB-4552-9C1A-060F710EDEF5}" name="% PRESENÇA OUT" dataDxfId="430" dataCellStyle="Porcentagem">
      <calculatedColumnFormula>ROUND((Z5*100)/(Z5+AA5),0)/100</calculatedColumnFormula>
    </tableColumn>
    <tableColumn id="30" xr3:uid="{8B04B81A-1E21-498D-8351-883C1126B12A}" name="PRES NOV" dataDxfId="429"/>
    <tableColumn id="31" xr3:uid="{5A3A5862-59A9-47A0-9AD6-35E6F55FF8AF}" name="FALTA NOV" dataDxfId="428"/>
    <tableColumn id="32" xr3:uid="{4102C2A7-109F-4607-85B3-D395DB3A9FA7}" name="% PRESENÇA NOV" dataDxfId="427" dataCellStyle="Porcentagem">
      <calculatedColumnFormula>ROUND((AC5*100)/(AC5+AD5),0)/100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7B431B10-B0D5-413B-9E41-0E5E17AED232}" name="_1PRE2579111315" displayName="_1PRE2579111315" ref="A2:K27" totalsRowShown="0">
  <autoFilter ref="A2:K27" xr:uid="{00000000-0009-0000-0100-000010000000}"/>
  <tableColumns count="11">
    <tableColumn id="1" xr3:uid="{9C37F80D-8C5D-4DE8-A38B-DF0A6AD0F565}" name="Nº" dataDxfId="426">
      <calculatedColumnFormula>A2+1</calculatedColumnFormula>
    </tableColumn>
    <tableColumn id="2" xr3:uid="{A863FB3E-8F05-4D0C-B7A6-FE3FFB7CB5D5}" name="Nome" dataDxfId="425"/>
    <tableColumn id="5" xr3:uid="{ACB878A9-3242-491F-B118-8B6FC68EFE3D}" name="Data Nasc" dataDxfId="424"/>
    <tableColumn id="8" xr3:uid="{F6D68182-DB1F-4156-9E98-5F0942254807}" name="Cancelado Transferido Desistente" dataDxfId="423"/>
    <tableColumn id="3" xr3:uid="{519D33D8-C61A-4FE8-AE14-D807B34B5DE1}" name="CPF" dataDxfId="422"/>
    <tableColumn id="4" xr3:uid="{0895A19E-82E3-4C0F-8434-EB353B219B68}" name="SUS" dataDxfId="421"/>
    <tableColumn id="6" xr3:uid="{B27674D7-E8C3-4A48-AD41-D388708F50E8}" name="Celular 1" dataDxfId="420"/>
    <tableColumn id="7" xr3:uid="{F028DEBD-0762-436E-8B66-491E91FD5499}" name="Celular 2" dataDxfId="419"/>
    <tableColumn id="9" xr3:uid="{270B64A1-62AB-4746-9A40-C3EACFE1F621}" name="Mat." dataDxfId="418"/>
    <tableColumn id="10" xr3:uid="{21D789AA-16F7-4280-A5DB-20BEFA2620F7}" name="Responsavel (Mãe)" dataDxfId="417"/>
    <tableColumn id="11" xr3:uid="{93CD2EC4-0A4E-49DF-9685-9299324C5BD9}" name="Idade" dataDxfId="416">
      <calculatedColumnFormula>QUOTIENT(IF(DATEDIF(C3,TODAY(),"y")&gt;90,0,DATEDIF(C3,TODAY(),"m")),12)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AF66CE2-1E56-48B4-B92C-93400740C37F}" name="Tabela2736810121416" displayName="Tabela2736810121416" ref="A4:AE29" totalsRowShown="0" tableBorderDxfId="415">
  <autoFilter ref="A4:AE29" xr:uid="{39CB31EB-22EF-4251-8C59-A08F1A9B4C3F}"/>
  <tableColumns count="31">
    <tableColumn id="1" xr3:uid="{5A422A2E-D4EB-435F-9C85-6F165FBB971E}" name="Nº" dataDxfId="414">
      <calculatedColumnFormula>IF('1P-A'!A3&lt;&gt;0,'1P-A'!A3,"")</calculatedColumnFormula>
    </tableColumn>
    <tableColumn id="2" xr3:uid="{67A476A8-2468-4B1B-A53A-0B71AC6723F2}" name="Nome" dataDxfId="413">
      <calculatedColumnFormula>IF('2A-B'!B3&lt;&gt;0,'2A-B'!B3,"")</calculatedColumnFormula>
    </tableColumn>
    <tableColumn id="3" xr3:uid="{5B92AB89-1D37-4CC1-AD82-9770F94C8A21}" name="Data Nasc" dataDxfId="412">
      <calculatedColumnFormula>IF('2A-B'!C3&lt;&gt;0,'2A-B'!C3,"")</calculatedColumnFormula>
    </tableColumn>
    <tableColumn id="4" xr3:uid="{14D88C2E-46C4-425C-ADAD-31CA7142E695}" name="Cancelado Transferido Desistente" dataDxfId="411">
      <calculatedColumnFormula>IF('2A-B'!D3&lt;&gt;0,'2A-B'!D3,"")</calculatedColumnFormula>
    </tableColumn>
    <tableColumn id="6" xr3:uid="{275A4765-AEBC-4DD9-B42A-A1EBCAC07946}" name="PRES MAR" dataDxfId="410"/>
    <tableColumn id="7" xr3:uid="{2A05380B-E28D-449D-B4C5-27AE5EABD856}" name="FALTA MAR" dataDxfId="409"/>
    <tableColumn id="8" xr3:uid="{E682579E-195F-4B89-9FC9-0DE7796C0448}" name="% PRESENÇA MAR" dataDxfId="408" dataCellStyle="Porcentagem">
      <calculatedColumnFormula>ROUND((E5*100)/(E5+F5),0)/100</calculatedColumnFormula>
    </tableColumn>
    <tableColumn id="9" xr3:uid="{B387CFA9-6AF7-4B0E-8149-4A640B9A07F1}" name="PRES ABR" dataDxfId="407"/>
    <tableColumn id="10" xr3:uid="{DD47B2FD-EB58-4471-B12C-304B2A1E24AB}" name="FALT ABR" dataDxfId="406"/>
    <tableColumn id="11" xr3:uid="{6C8994C9-8598-4C6E-9EDF-DEE8635E01FA}" name="% PRESENÇA ABR" dataDxfId="405" dataCellStyle="Porcentagem">
      <calculatedColumnFormula>ROUND((H5*100)/(H5+I5),0)/100</calculatedColumnFormula>
    </tableColumn>
    <tableColumn id="12" xr3:uid="{192C510A-3C90-4B75-8D15-7ADED07C1531}" name="." dataDxfId="404">
      <calculatedColumnFormula>Tabela2736810121416[[#This Row],[Nº]]</calculatedColumnFormula>
    </tableColumn>
    <tableColumn id="13" xr3:uid="{ECDABC38-35C0-4146-A345-98D0E58C5FE3}" name="PRES MAI" dataDxfId="403"/>
    <tableColumn id="14" xr3:uid="{4FA060C3-56DD-4861-9D0D-1DF76A03F077}" name="FALTA MAI" dataDxfId="402"/>
    <tableColumn id="15" xr3:uid="{32221258-055B-40B2-B148-6C9CCBADDB15}" name="% PRESENÇA MAI" dataDxfId="401" dataCellStyle="Porcentagem">
      <calculatedColumnFormula>ROUND((L5*100)/(L5+M5),0)/100</calculatedColumnFormula>
    </tableColumn>
    <tableColumn id="16" xr3:uid="{001944BD-7EDC-43E2-9D7E-90097759534B}" name="PRES JUN" dataDxfId="400"/>
    <tableColumn id="17" xr3:uid="{9BB610AD-16A5-4F62-9A5C-25E20D81148C}" name="FALTA JUN" dataDxfId="399"/>
    <tableColumn id="18" xr3:uid="{085B362A-2EDF-4C86-B9F6-A9EC5D00A700}" name="% PRESENÇA JUN" dataDxfId="398" dataCellStyle="Porcentagem">
      <calculatedColumnFormula>ROUND((O5*100)/(O5+P5),0)/100</calculatedColumnFormula>
    </tableColumn>
    <tableColumn id="19" xr3:uid="{3841F70F-8FE9-4EC3-B4C1-75D384EA45D0}" name="," dataDxfId="397">
      <calculatedColumnFormula>Tabela2736810121416[[#This Row],[Nº]]</calculatedColumnFormula>
    </tableColumn>
    <tableColumn id="20" xr3:uid="{3E9AF0FC-6EE5-45AB-912D-DF7BECD99BC9}" name="PRES AGO" dataDxfId="396"/>
    <tableColumn id="21" xr3:uid="{AF354A71-6458-4C75-9F0A-5E7D82EBDE95}" name="FALTA AGO" dataDxfId="395"/>
    <tableColumn id="22" xr3:uid="{7A5F9999-DFEC-4E42-A434-444147B83607}" name="% PRESENÇA AGO" dataDxfId="394" dataCellStyle="Porcentagem">
      <calculatedColumnFormula>ROUND((S5*100)/(S5+T5),0)/100</calculatedColumnFormula>
    </tableColumn>
    <tableColumn id="23" xr3:uid="{C0031779-3F78-4357-AEFC-D6E5A669CEA6}" name="PRES SET" dataDxfId="393"/>
    <tableColumn id="24" xr3:uid="{78081902-6132-432E-A9EC-C2E9F964B8B7}" name="FALTA SET" dataDxfId="392"/>
    <tableColumn id="25" xr3:uid="{B8EE4A90-546D-4F91-8CDD-2F5A10471B00}" name="% PRESENÇA SET" dataDxfId="391" dataCellStyle="Porcentagem">
      <calculatedColumnFormula>ROUND((V5*100)/(V5+W5),0)/100</calculatedColumnFormula>
    </tableColumn>
    <tableColumn id="26" xr3:uid="{16817160-2AC5-4605-82DF-BE280F0A5AC4}" name=";" dataDxfId="390">
      <calculatedColumnFormula>Tabela2736810121416[[#This Row],[Nº]]</calculatedColumnFormula>
    </tableColumn>
    <tableColumn id="27" xr3:uid="{C515A48A-38F2-4A65-8CD4-87BB75F0992D}" name="PRES OUT" dataDxfId="389"/>
    <tableColumn id="28" xr3:uid="{A8AF10DD-9920-4A8D-80C8-99CEB3B8F42E}" name="FALTA OUT" dataDxfId="388"/>
    <tableColumn id="29" xr3:uid="{42EAD02E-4D4F-4174-B968-7AA001496264}" name="% PRESENÇA OUT" dataDxfId="387" dataCellStyle="Porcentagem">
      <calculatedColumnFormula>ROUND((Z5*100)/(Z5+AA5),0)/100</calculatedColumnFormula>
    </tableColumn>
    <tableColumn id="30" xr3:uid="{8C6767DE-20D4-4349-BDBD-C03201C8AB3F}" name="PRES NOV" dataDxfId="386"/>
    <tableColumn id="31" xr3:uid="{D711EE3F-A4BE-49C0-8D7C-3021E38FF879}" name="FALTA NOV" dataDxfId="385"/>
    <tableColumn id="32" xr3:uid="{FD803C3F-B0C7-4831-B81E-F9B3B4A21368}" name="% PRESENÇA NOV" dataDxfId="384" dataCellStyle="Porcentagem">
      <calculatedColumnFormula>ROUND((AC5*100)/(AC5+AD5),0)/100</calculatedColumnFormula>
    </tableColumn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50B9D5A-169D-4FE5-B5A0-1FA14017CC9E}" name="_1PRE257911131518" displayName="_1PRE257911131518" ref="A2:K27" totalsRowShown="0">
  <autoFilter ref="A2:K27" xr:uid="{00000000-0009-0000-0100-000010000000}"/>
  <tableColumns count="11">
    <tableColumn id="1" xr3:uid="{E4B4BE99-7EFC-4644-AD60-D7FCCDF9337D}" name="Nº" dataDxfId="383">
      <calculatedColumnFormula>A2+1</calculatedColumnFormula>
    </tableColumn>
    <tableColumn id="2" xr3:uid="{5381B624-218F-46FE-880E-D3E5D918012B}" name="Nome" dataDxfId="382"/>
    <tableColumn id="5" xr3:uid="{C17EFE55-A74A-4C79-B924-9D8B03A95FC3}" name="Data Nasc" dataDxfId="381"/>
    <tableColumn id="8" xr3:uid="{22AF9BAE-12C1-4D6E-913E-D111FA4A0EDD}" name="Cancelado Transferido Desistente" dataDxfId="380"/>
    <tableColumn id="3" xr3:uid="{423FD9CF-9B12-4C4E-A276-7E7FAA22123C}" name="CPF" dataDxfId="379"/>
    <tableColumn id="4" xr3:uid="{5D321574-922D-4892-9A9C-418FAD64665C}" name="SUS" dataDxfId="378"/>
    <tableColumn id="6" xr3:uid="{4AFA58D1-2342-4A1D-95EF-735116B507D4}" name="Celular 1" dataDxfId="377"/>
    <tableColumn id="7" xr3:uid="{97760490-6A9D-45FD-A4F2-F1E860EFCCDF}" name="Celular 2" dataDxfId="376"/>
    <tableColumn id="9" xr3:uid="{478DC163-79EA-473B-B9E5-05BA044B3F0A}" name="Mat." dataDxfId="375"/>
    <tableColumn id="10" xr3:uid="{084BF6D8-3BF3-419E-AA11-89A54F04C476}" name="Responsavel (Mãe)" dataDxfId="374"/>
    <tableColumn id="11" xr3:uid="{EE5636B5-7DC8-4A7B-B576-E6A10AED6378}" name="Idade" dataDxfId="373">
      <calculatedColumnFormula>QUOTIENT(IF(DATEDIF(C3,TODAY(),"y")&gt;90,0,DATEDIF(C3,TODAY(),"m")),12)</calculatedColumnFormula>
    </tableColumn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578CD55-65B6-470B-9411-D012DA1A966B}" name="Tabela273681012141619" displayName="Tabela273681012141619" ref="A4:AE29" totalsRowShown="0" tableBorderDxfId="372">
  <autoFilter ref="A4:AE29" xr:uid="{39CB31EB-22EF-4251-8C59-A08F1A9B4C3F}"/>
  <tableColumns count="31">
    <tableColumn id="1" xr3:uid="{986FF1FD-EDFE-4275-A5D7-5A8445908031}" name="Nº" dataDxfId="371">
      <calculatedColumnFormula>IF('1P-A'!A3&lt;&gt;0,'1P-A'!A3,"")</calculatedColumnFormula>
    </tableColumn>
    <tableColumn id="2" xr3:uid="{3A04139A-D617-4EB8-B450-7B221707DB2F}" name="Nome" dataDxfId="343">
      <calculatedColumnFormula>IF('3A-A'!B3&lt;&gt;0,'3A-A'!B3,"")</calculatedColumnFormula>
    </tableColumn>
    <tableColumn id="3" xr3:uid="{930B07B8-E8AF-4392-AB7D-5122D276500F}" name="Data Nasc" dataDxfId="342">
      <calculatedColumnFormula>IF('3A-A'!C3&lt;&gt;0,'3A-A'!C3,"")</calculatedColumnFormula>
    </tableColumn>
    <tableColumn id="4" xr3:uid="{166C1D36-B87B-4FC2-AF59-A021CB824D84}" name="Cancelado Transferido Desistente" dataDxfId="341">
      <calculatedColumnFormula>IF('3A-A'!D3&lt;&gt;0,'3A-A'!D3,"")</calculatedColumnFormula>
    </tableColumn>
    <tableColumn id="6" xr3:uid="{C5C56968-110B-43AE-8EE0-A5AA1630D489}" name="PRES MAR" dataDxfId="370"/>
    <tableColumn id="7" xr3:uid="{A1CB9B8C-BABA-47E6-BFA8-5DA83F8B041B}" name="FALTA MAR" dataDxfId="369"/>
    <tableColumn id="8" xr3:uid="{3B3AF2B9-5994-49E9-972F-B4E6397DE752}" name="% PRESENÇA MAR" dataDxfId="368" dataCellStyle="Porcentagem">
      <calculatedColumnFormula>ROUND((E5*100)/(E5+F5),0)/100</calculatedColumnFormula>
    </tableColumn>
    <tableColumn id="9" xr3:uid="{1722F0BC-2A80-4EDC-BEB7-207086B98042}" name="PRES ABR" dataDxfId="367"/>
    <tableColumn id="10" xr3:uid="{9CD332CF-B92F-43B5-8049-7DD17801DDC8}" name="FALT ABR" dataDxfId="366"/>
    <tableColumn id="11" xr3:uid="{7EDF1F58-FDB9-4D50-906F-3890951EC0EE}" name="% PRESENÇA ABR" dataDxfId="365" dataCellStyle="Porcentagem">
      <calculatedColumnFormula>ROUND((H5*100)/(H5+I5),0)/100</calculatedColumnFormula>
    </tableColumn>
    <tableColumn id="12" xr3:uid="{4CB7C68D-F141-4221-9A14-73121BCD9F3E}" name="." dataDxfId="364">
      <calculatedColumnFormula>Tabela273681012141619[[#This Row],[Nº]]</calculatedColumnFormula>
    </tableColumn>
    <tableColumn id="13" xr3:uid="{342DD670-B847-41AC-81DE-61E0CEBBF275}" name="PRES MAI" dataDxfId="363"/>
    <tableColumn id="14" xr3:uid="{4410D5FE-C818-4E25-B24C-170467A217C2}" name="FALTA MAI" dataDxfId="362"/>
    <tableColumn id="15" xr3:uid="{1A445FEA-6D25-49BA-98A0-A93A2B0EB0B8}" name="% PRESENÇA MAI" dataDxfId="361" dataCellStyle="Porcentagem">
      <calculatedColumnFormula>ROUND((L5*100)/(L5+M5),0)/100</calculatedColumnFormula>
    </tableColumn>
    <tableColumn id="16" xr3:uid="{88E12819-564B-4A52-85EB-4DDE8465EEB7}" name="PRES JUN" dataDxfId="360"/>
    <tableColumn id="17" xr3:uid="{ED286CC1-6615-4AE3-856C-DBB327C641EC}" name="FALTA JUN" dataDxfId="359"/>
    <tableColumn id="18" xr3:uid="{28A9BA6A-C655-4BAA-BD69-0F91B0EA1775}" name="% PRESENÇA JUN" dataDxfId="358" dataCellStyle="Porcentagem">
      <calculatedColumnFormula>ROUND((O5*100)/(O5+P5),0)/100</calculatedColumnFormula>
    </tableColumn>
    <tableColumn id="19" xr3:uid="{447EDE38-712C-42A5-AA42-F8629BEF162F}" name="," dataDxfId="357">
      <calculatedColumnFormula>Tabela273681012141619[[#This Row],[Nº]]</calculatedColumnFormula>
    </tableColumn>
    <tableColumn id="20" xr3:uid="{C76AAB07-B515-40C6-BCB4-F516A837CBF8}" name="PRES AGO" dataDxfId="356"/>
    <tableColumn id="21" xr3:uid="{E4368874-3C8D-4FBA-8ACE-3F065AD6EA1C}" name="FALTA AGO" dataDxfId="355"/>
    <tableColumn id="22" xr3:uid="{F4B12593-C816-4207-A6CF-A63D45439AA3}" name="% PRESENÇA AGO" dataDxfId="354" dataCellStyle="Porcentagem">
      <calculatedColumnFormula>ROUND((S5*100)/(S5+T5),0)/100</calculatedColumnFormula>
    </tableColumn>
    <tableColumn id="23" xr3:uid="{B85AA75D-F0F0-48CC-99A4-B987FB937DD0}" name="PRES SET" dataDxfId="353"/>
    <tableColumn id="24" xr3:uid="{C7C2B991-81F5-4A9E-8FE7-18F3E1D5C722}" name="FALTA SET" dataDxfId="352"/>
    <tableColumn id="25" xr3:uid="{E30D10CB-6EA6-4360-974B-4774884F9B70}" name="% PRESENÇA SET" dataDxfId="351" dataCellStyle="Porcentagem">
      <calculatedColumnFormula>ROUND((V5*100)/(V5+W5),0)/100</calculatedColumnFormula>
    </tableColumn>
    <tableColumn id="26" xr3:uid="{D11DCC8F-2C15-49A7-8631-D8D4924A9634}" name=";" dataDxfId="350">
      <calculatedColumnFormula>Tabela273681012141619[[#This Row],[Nº]]</calculatedColumnFormula>
    </tableColumn>
    <tableColumn id="27" xr3:uid="{2E4E114F-A0DB-4984-B494-E2E7E262DEC7}" name="PRES OUT" dataDxfId="349"/>
    <tableColumn id="28" xr3:uid="{A020D895-E939-4FB8-8F0D-4C484A87780F}" name="FALTA OUT" dataDxfId="348"/>
    <tableColumn id="29" xr3:uid="{077D6EF1-5E92-4A8D-A48F-DD43A6C21045}" name="% PRESENÇA OUT" dataDxfId="347" dataCellStyle="Porcentagem">
      <calculatedColumnFormula>ROUND((Z5*100)/(Z5+AA5),0)/100</calculatedColumnFormula>
    </tableColumn>
    <tableColumn id="30" xr3:uid="{ECDF34F8-3B05-49AD-80CB-4A296A03059D}" name="PRES NOV" dataDxfId="346"/>
    <tableColumn id="31" xr3:uid="{43B0AE9A-5147-4632-BA0D-81C6B586B6AF}" name="FALTA NOV" dataDxfId="345"/>
    <tableColumn id="32" xr3:uid="{B5C92672-C949-43D1-9FF3-5E80D4AE6826}" name="% PRESENÇA NOV" dataDxfId="344" dataCellStyle="Porcentagem">
      <calculatedColumnFormula>ROUND((AC5*100)/(AC5+AD5),0)/100</calculatedColumnFormula>
    </tableColumn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9E03DCC9-D389-4906-AC10-3FB08698D48C}" name="_1PRE25791113151820" displayName="_1PRE25791113151820" ref="A2:K27" totalsRowShown="0">
  <autoFilter ref="A2:K27" xr:uid="{00000000-0009-0000-0100-000010000000}"/>
  <tableColumns count="11">
    <tableColumn id="1" xr3:uid="{3260047B-ED18-4417-A11C-7575C9CB6758}" name="Nº" dataDxfId="340">
      <calculatedColumnFormula>A2+1</calculatedColumnFormula>
    </tableColumn>
    <tableColumn id="2" xr3:uid="{E4EAD457-53CD-429F-B0E1-E83CF550D1FD}" name="Nome" dataDxfId="339"/>
    <tableColumn id="5" xr3:uid="{5579B639-B1BC-4BE5-8879-A639A40FF980}" name="Data Nasc" dataDxfId="338"/>
    <tableColumn id="8" xr3:uid="{C043788D-DADC-4A37-BD6A-103629CEB60C}" name="Cancelado Transferido Desistente" dataDxfId="337"/>
    <tableColumn id="3" xr3:uid="{F62E4504-F65E-4411-A3A2-3EA5B5F9E1F7}" name="CPF" dataDxfId="336"/>
    <tableColumn id="4" xr3:uid="{0D1F6303-FACC-469D-A5FE-350FF3145147}" name="SUS" dataDxfId="335"/>
    <tableColumn id="6" xr3:uid="{3DC789AE-7946-4D6E-BDBF-3758192D843B}" name="Celular 1" dataDxfId="334"/>
    <tableColumn id="7" xr3:uid="{ACD2D3C6-8F31-41CD-93D5-55528A86176D}" name="Celular 2" dataDxfId="333"/>
    <tableColumn id="9" xr3:uid="{B4C9E60E-240B-446B-9FF9-16D4ACB515BD}" name="Mat." dataDxfId="332"/>
    <tableColumn id="10" xr3:uid="{5A592149-0B6B-4D4B-87BC-0388A6302EBA}" name="Responsavel (Mãe)" dataDxfId="331"/>
    <tableColumn id="11" xr3:uid="{21942D07-D5C4-4A10-A549-2D349720F659}" name="Idade" dataDxfId="330">
      <calculatedColumnFormula>QUOTIENT(IF(DATEDIF(C3,TODAY(),"y")&gt;90,0,DATEDIF(C3,TODAY(),"m")),12)</calculatedColumnFormula>
    </tableColumn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246E3D0C-1840-48A0-98AA-597C17469E09}" name="Tabela27368101214161921" displayName="Tabela27368101214161921" ref="A4:AE29" totalsRowShown="0" tableBorderDxfId="329">
  <autoFilter ref="A4:AE29" xr:uid="{39CB31EB-22EF-4251-8C59-A08F1A9B4C3F}"/>
  <tableColumns count="31">
    <tableColumn id="1" xr3:uid="{A464B980-DDA3-4B44-B877-FCFA4A037571}" name="Nº" dataDxfId="328">
      <calculatedColumnFormula>IF('1P-A'!A3&lt;&gt;0,'1P-A'!A3,"")</calculatedColumnFormula>
    </tableColumn>
    <tableColumn id="2" xr3:uid="{A90369BC-A3A3-4EBE-81CF-BD78266298FF}" name="Nome" dataDxfId="300">
      <calculatedColumnFormula>IF('3A-B'!B3&lt;&gt;0,'3A-B'!B3,"")</calculatedColumnFormula>
    </tableColumn>
    <tableColumn id="3" xr3:uid="{F61AAA4B-E831-4736-A851-6B74E5A77D73}" name="Data Nasc" dataDxfId="299">
      <calculatedColumnFormula>IF('3A-B'!C3&lt;&gt;0,'3A-B'!C3,"")</calculatedColumnFormula>
    </tableColumn>
    <tableColumn id="4" xr3:uid="{5226109B-1EEF-4066-B078-65BA304F8787}" name="Cancelado Transferido Desistente" dataDxfId="298">
      <calculatedColumnFormula>IF('3A-B'!D3&lt;&gt;0,'3A-B'!D3,"")</calculatedColumnFormula>
    </tableColumn>
    <tableColumn id="6" xr3:uid="{9735E9F3-34FF-401B-9550-040083DE58F8}" name="PRES MAR" dataDxfId="327"/>
    <tableColumn id="7" xr3:uid="{B47A01C7-F891-4E3B-975A-95947AF9D89C}" name="FALTA MAR" dataDxfId="326"/>
    <tableColumn id="8" xr3:uid="{28322FE1-8026-4D6F-B833-CAAFAD50B606}" name="% PRESENÇA MAR" dataDxfId="325" dataCellStyle="Porcentagem">
      <calculatedColumnFormula>ROUND((E5*100)/(E5+F5),0)/100</calculatedColumnFormula>
    </tableColumn>
    <tableColumn id="9" xr3:uid="{B8FCF111-2D06-4877-B3A2-5D3F7725A468}" name="PRES ABR" dataDxfId="324"/>
    <tableColumn id="10" xr3:uid="{ADD764AE-23A4-43F0-88FD-1B0589EFDF0E}" name="FALT ABR" dataDxfId="323"/>
    <tableColumn id="11" xr3:uid="{A4F2DF97-2A03-4E44-B647-C4DE01326460}" name="% PRESENÇA ABR" dataDxfId="322" dataCellStyle="Porcentagem">
      <calculatedColumnFormula>ROUND((H5*100)/(H5+I5),0)/100</calculatedColumnFormula>
    </tableColumn>
    <tableColumn id="12" xr3:uid="{C4A5723A-7176-4692-A887-9D6577833B3C}" name="." dataDxfId="321">
      <calculatedColumnFormula>Tabela27368101214161921[[#This Row],[Nº]]</calculatedColumnFormula>
    </tableColumn>
    <tableColumn id="13" xr3:uid="{5EA5E460-29BF-4A06-BDE9-08215932B6A3}" name="PRES MAI" dataDxfId="320"/>
    <tableColumn id="14" xr3:uid="{464E447F-A545-4BF0-876E-B4BC8D0638FA}" name="FALTA MAI" dataDxfId="319"/>
    <tableColumn id="15" xr3:uid="{5F99ECA9-4A37-4961-B67B-ED3AE8BF122D}" name="% PRESENÇA MAI" dataDxfId="318" dataCellStyle="Porcentagem">
      <calculatedColumnFormula>ROUND((L5*100)/(L5+M5),0)/100</calculatedColumnFormula>
    </tableColumn>
    <tableColumn id="16" xr3:uid="{C990AC10-62E7-48A7-B51D-B5E768F6E055}" name="PRES JUN" dataDxfId="317"/>
    <tableColumn id="17" xr3:uid="{722BE440-DBD7-435C-B52B-4E875BA94588}" name="FALTA JUN" dataDxfId="316"/>
    <tableColumn id="18" xr3:uid="{5A165C09-0B97-4BA3-A931-0C9E5E818721}" name="% PRESENÇA JUN" dataDxfId="315" dataCellStyle="Porcentagem">
      <calculatedColumnFormula>ROUND((O5*100)/(O5+P5),0)/100</calculatedColumnFormula>
    </tableColumn>
    <tableColumn id="19" xr3:uid="{AEC38AEB-E870-453F-BDB9-F7CFD175C3B2}" name="," dataDxfId="314">
      <calculatedColumnFormula>Tabela27368101214161921[[#This Row],[Nº]]</calculatedColumnFormula>
    </tableColumn>
    <tableColumn id="20" xr3:uid="{6F0BA655-70DC-48A2-AAAC-89903695D077}" name="PRES AGO" dataDxfId="313"/>
    <tableColumn id="21" xr3:uid="{B85AF8FA-C1FB-4AAC-800C-CD1BA648E5A3}" name="FALTA AGO" dataDxfId="312"/>
    <tableColumn id="22" xr3:uid="{93CA08E2-BFD9-4E6B-A76A-9D2969788FCC}" name="% PRESENÇA AGO" dataDxfId="311" dataCellStyle="Porcentagem">
      <calculatedColumnFormula>ROUND((S5*100)/(S5+T5),0)/100</calculatedColumnFormula>
    </tableColumn>
    <tableColumn id="23" xr3:uid="{6E165AF7-F2A8-4882-B042-C8B16A0A3898}" name="PRES SET" dataDxfId="310"/>
    <tableColumn id="24" xr3:uid="{B2F84024-3219-4FAC-BCCE-134BC19B1B87}" name="FALTA SET" dataDxfId="309"/>
    <tableColumn id="25" xr3:uid="{FCAAC188-D0CC-43A1-8B4D-851D6AB5F59D}" name="% PRESENÇA SET" dataDxfId="308" dataCellStyle="Porcentagem">
      <calculatedColumnFormula>ROUND((V5*100)/(V5+W5),0)/100</calculatedColumnFormula>
    </tableColumn>
    <tableColumn id="26" xr3:uid="{CA168AD0-504E-45B0-809F-14CAA7657DC5}" name=";" dataDxfId="307">
      <calculatedColumnFormula>Tabela27368101214161921[[#This Row],[Nº]]</calculatedColumnFormula>
    </tableColumn>
    <tableColumn id="27" xr3:uid="{574BC29E-8EED-42B3-BF1D-0981A0CE94F7}" name="PRES OUT" dataDxfId="306"/>
    <tableColumn id="28" xr3:uid="{54450D45-629C-491D-A3CF-4C15E7B3E44C}" name="FALTA OUT" dataDxfId="305"/>
    <tableColumn id="29" xr3:uid="{F68787D3-200B-463B-B585-E4A244B8C5D7}" name="% PRESENÇA OUT" dataDxfId="304" dataCellStyle="Porcentagem">
      <calculatedColumnFormula>ROUND((Z5*100)/(Z5+AA5),0)/100</calculatedColumnFormula>
    </tableColumn>
    <tableColumn id="30" xr3:uid="{A1E32E7B-308E-4120-B11B-68EB378AFE8C}" name="PRES NOV" dataDxfId="303"/>
    <tableColumn id="31" xr3:uid="{CF85C63A-562F-49D4-966D-1CF87F439F26}" name="FALTA NOV" dataDxfId="302"/>
    <tableColumn id="32" xr3:uid="{C91B9138-FB9C-4380-940D-B851583EAE26}" name="% PRESENÇA NOV" dataDxfId="301" dataCellStyle="Porcentagem">
      <calculatedColumnFormula>ROUND((AC5*100)/(AC5+AD5),0)/100</calculatedColumnFormula>
    </tableColumn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81D250E4-1EA6-4A48-9C34-AE54C3A09D3E}" name="_1PRE2579111315182022" displayName="_1PRE2579111315182022" ref="A2:K32" totalsRowShown="0">
  <autoFilter ref="A2:K32" xr:uid="{00000000-0009-0000-0100-000010000000}"/>
  <tableColumns count="11">
    <tableColumn id="1" xr3:uid="{03BD4074-2B5B-481A-977E-058854685536}" name="Nº" dataDxfId="297">
      <calculatedColumnFormula>A2+1</calculatedColumnFormula>
    </tableColumn>
    <tableColumn id="2" xr3:uid="{A4C630C3-E1A2-447C-B278-13BE9EBB356A}" name="Nome" dataDxfId="296"/>
    <tableColumn id="5" xr3:uid="{5774D52D-688A-4D8F-B1F8-FA33C38333E4}" name="Data Nasc" dataDxfId="295"/>
    <tableColumn id="8" xr3:uid="{4AF6F846-5718-423E-BE8B-7F8A3EDECB97}" name="Cancelado Transferido Desistente" dataDxfId="294"/>
    <tableColumn id="3" xr3:uid="{221CCFAB-F83E-4652-8AD9-6E543DB143E8}" name="CPF" dataDxfId="293"/>
    <tableColumn id="4" xr3:uid="{75A89089-075E-487D-BB43-010F6FBD1B1C}" name="SUS" dataDxfId="292"/>
    <tableColumn id="6" xr3:uid="{7D579480-E1B7-44E5-BFB8-E2379DAB0541}" name="Celular 1" dataDxfId="291"/>
    <tableColumn id="7" xr3:uid="{5E736E87-9D05-4C2A-9C89-6AED29E7C87B}" name="Celular 2" dataDxfId="290"/>
    <tableColumn id="9" xr3:uid="{1F9B4BFC-30B1-4A9E-8EC1-5FE478E83ADC}" name="Mat." dataDxfId="289"/>
    <tableColumn id="10" xr3:uid="{A1BCE3DC-7C5B-4029-8FE6-2534B9850386}" name="Responsavel (Mãe)" dataDxfId="288"/>
    <tableColumn id="11" xr3:uid="{5BCA37B7-EDC1-46F3-80EF-34978B478152}" name="Idade" dataDxfId="287">
      <calculatedColumnFormula>QUOTIENT(IF(DATEDIF(C3,TODAY(),"y")&gt;90,0,DATEDIF(C3,TODAY(),"m")),12)</calculatedColumnFormula>
    </tableColumn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EAA21ACE-6FCA-496F-BBA7-29845B09C769}" name="Tabela2736810121416192123" displayName="Tabela2736810121416192123" ref="A4:AE34" totalsRowShown="0" tableBorderDxfId="286">
  <autoFilter ref="A4:AE34" xr:uid="{39CB31EB-22EF-4251-8C59-A08F1A9B4C3F}"/>
  <tableColumns count="31">
    <tableColumn id="1" xr3:uid="{C2214A3C-9A48-42E7-98FA-49459EE8D12C}" name="Nº" dataDxfId="285">
      <calculatedColumnFormula>IF('1P-A'!A3&lt;&gt;0,'1P-A'!A3,"")</calculatedColumnFormula>
    </tableColumn>
    <tableColumn id="2" xr3:uid="{636079D7-C374-45B3-9A56-7BF5A5E75FAF}" name="Nome" dataDxfId="158">
      <calculatedColumnFormula>IF('4A-A'!B3&lt;&gt;0,'4A-A'!B3,"")</calculatedColumnFormula>
    </tableColumn>
    <tableColumn id="3" xr3:uid="{8AB7073E-B4D3-4BAA-9227-424E9DF53ADE}" name="Data Nasc" dataDxfId="157">
      <calculatedColumnFormula>IF('4A-A'!C3&lt;&gt;0,'4A-A'!C3,"")</calculatedColumnFormula>
    </tableColumn>
    <tableColumn id="4" xr3:uid="{EA2D3BE8-0C2E-4886-821B-445C95DFD254}" name="Cancelado Transferido Desistente" dataDxfId="156">
      <calculatedColumnFormula>IF('4A-A'!D3&lt;&gt;0,'4A-A'!D3,"")</calculatedColumnFormula>
    </tableColumn>
    <tableColumn id="6" xr3:uid="{42BD90A7-F45B-41CC-9D20-F7B5737D1312}" name="PRES MAR" dataDxfId="284"/>
    <tableColumn id="7" xr3:uid="{EEB38EF5-4C62-4EAE-A981-61D788981C48}" name="FALTA MAR" dataDxfId="283"/>
    <tableColumn id="8" xr3:uid="{70125776-5B74-499E-A3BD-1AE133138C9E}" name="% PRESENÇA MAR" dataDxfId="282" dataCellStyle="Porcentagem">
      <calculatedColumnFormula>ROUND((E5*100)/(E5+F5),0)/100</calculatedColumnFormula>
    </tableColumn>
    <tableColumn id="9" xr3:uid="{F39D891B-2E9C-4ED8-ACDB-CDF998503D1E}" name="PRES ABR" dataDxfId="260"/>
    <tableColumn id="10" xr3:uid="{3D56939D-C157-45C5-B9FC-EB218AB4A724}" name="FALT ABR" dataDxfId="259"/>
    <tableColumn id="11" xr3:uid="{AC56D6CA-C891-4E42-A331-51CDD2FB4008}" name="% PRESENÇA ABR" dataDxfId="258" dataCellStyle="Porcentagem">
      <calculatedColumnFormula>ROUND((H5*100)/(H5+I5),0)/100</calculatedColumnFormula>
    </tableColumn>
    <tableColumn id="12" xr3:uid="{66610E2B-A921-4906-AFBF-AEACB6F7EE39}" name="." dataDxfId="281">
      <calculatedColumnFormula>Tabela2736810121416192123[[#This Row],[Nº]]</calculatedColumnFormula>
    </tableColumn>
    <tableColumn id="13" xr3:uid="{AD4BA183-8194-415A-A9AD-B613EDB31983}" name="PRES MAI" dataDxfId="275"/>
    <tableColumn id="14" xr3:uid="{795EDEE5-583A-45EC-A93B-1E88469088A8}" name="FALTA MAI" dataDxfId="274"/>
    <tableColumn id="15" xr3:uid="{461A5A32-1B54-4C33-A8B5-DB4CF7BED11B}" name="% PRESENÇA MAI" dataDxfId="273" dataCellStyle="Porcentagem">
      <calculatedColumnFormula>ROUND((L5*100)/(L5+M5),0)/100</calculatedColumnFormula>
    </tableColumn>
    <tableColumn id="16" xr3:uid="{3AF0ED45-5F3A-4499-97F4-CE363C46B346}" name="PRES JUN" dataDxfId="269"/>
    <tableColumn id="17" xr3:uid="{5C69C34C-30DD-43BC-8CD7-BD2AD0507067}" name="FALTA JUN" dataDxfId="268"/>
    <tableColumn id="18" xr3:uid="{84E03CAE-87B4-41D8-8579-3ECBE654A107}" name="% PRESENÇA JUN" dataDxfId="267" dataCellStyle="Porcentagem">
      <calculatedColumnFormula>ROUND((O5*100)/(O5+P5),0)/100</calculatedColumnFormula>
    </tableColumn>
    <tableColumn id="19" xr3:uid="{E53E54C6-5519-4285-B011-B8424692398A}" name="," dataDxfId="280">
      <calculatedColumnFormula>Tabela2736810121416192123[[#This Row],[Nº]]</calculatedColumnFormula>
    </tableColumn>
    <tableColumn id="20" xr3:uid="{04A18AFA-8D84-4039-86B1-34CADCA5EB07}" name="PRES AGO" dataDxfId="272"/>
    <tableColumn id="21" xr3:uid="{5B088146-A09F-44D9-A925-32F842AB6878}" name="FALTA AGO" dataDxfId="271"/>
    <tableColumn id="22" xr3:uid="{4CE02AB1-78AE-4DC1-B34E-228887E547BD}" name="% PRESENÇA AGO" dataDxfId="270" dataCellStyle="Porcentagem">
      <calculatedColumnFormula>ROUND((S5*100)/(S5+T5),0)/100</calculatedColumnFormula>
    </tableColumn>
    <tableColumn id="23" xr3:uid="{F945E899-3980-4864-B065-DC7040B2F102}" name="PRES SET" dataDxfId="266"/>
    <tableColumn id="24" xr3:uid="{DEE7DF32-9FBB-4769-89DB-64C8FCFA181B}" name="FALTA SET" dataDxfId="265"/>
    <tableColumn id="25" xr3:uid="{A84DFCC9-FBE6-43F4-AE05-FB005AE8C6B3}" name="% PRESENÇA SET" dataDxfId="264" dataCellStyle="Porcentagem">
      <calculatedColumnFormula>ROUND((V5*100)/(V5+W5),0)/100</calculatedColumnFormula>
    </tableColumn>
    <tableColumn id="26" xr3:uid="{91ADC259-8305-47BC-8282-3396193670C2}" name=";" dataDxfId="279">
      <calculatedColumnFormula>Tabela2736810121416192123[[#This Row],[Nº]]</calculatedColumnFormula>
    </tableColumn>
    <tableColumn id="27" xr3:uid="{B4B78CE6-5B51-42F1-804C-88CD0FD48ADF}" name="PRES OUT" dataDxfId="263"/>
    <tableColumn id="28" xr3:uid="{CCE4172B-0840-445C-8E1C-53EE20BE81BA}" name="FALTA OUT" dataDxfId="262"/>
    <tableColumn id="29" xr3:uid="{47B6578C-A62F-4AA3-9CBD-363BC9FF7003}" name="% PRESENÇA OUT" dataDxfId="261" dataCellStyle="Porcentagem">
      <calculatedColumnFormula>ROUND((Z5*100)/(Z5+AA5),0)/100</calculatedColumnFormula>
    </tableColumn>
    <tableColumn id="30" xr3:uid="{79B19BB5-ECEF-4866-AE44-22530C0BB16B}" name="PRES NOV" dataDxfId="278"/>
    <tableColumn id="31" xr3:uid="{A41557A0-05EE-40BA-9DED-A685238BD995}" name="FALTA NOV" dataDxfId="277"/>
    <tableColumn id="32" xr3:uid="{FC10F5E2-FFE0-416D-8A2D-5EBA7DEE4855}" name="% PRESENÇA NOV" dataDxfId="276" dataCellStyle="Porcentagem">
      <calculatedColumnFormula>ROUND((AC5*100)/(AC5+AD5),0)/100</calculatedColumnFormula>
    </tableColumn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7E118FA0-DC90-45D6-A2D2-993EDB0BC128}" name="_1PRE257911131518202224" displayName="_1PRE257911131518202224" ref="A2:K32" totalsRowShown="0">
  <autoFilter ref="A2:K32" xr:uid="{00000000-0009-0000-0100-000010000000}"/>
  <tableColumns count="11">
    <tableColumn id="1" xr3:uid="{0B62D588-EF7F-4FBD-8596-A596A2D155A8}" name="Nº" dataDxfId="150">
      <calculatedColumnFormula>A2+1</calculatedColumnFormula>
    </tableColumn>
    <tableColumn id="2" xr3:uid="{0F7E6381-474E-4370-8548-CDCFCEED6717}" name="Nome" dataDxfId="149"/>
    <tableColumn id="5" xr3:uid="{77CCF3F2-B047-4C62-8A72-44A7B8EE8936}" name="Data Nasc" dataDxfId="148"/>
    <tableColumn id="8" xr3:uid="{A31FF83E-332D-4022-AE68-759D4E66BBA3}" name="Cancelado Transferido Desistente" dataDxfId="147"/>
    <tableColumn id="3" xr3:uid="{20C53A95-4A4E-4DD4-8641-D68046B4F6B9}" name="CPF" dataDxfId="146"/>
    <tableColumn id="4" xr3:uid="{66CCF5F9-E445-432A-A129-799A9D98E248}" name="SUS" dataDxfId="145"/>
    <tableColumn id="6" xr3:uid="{11C2669A-3DCC-499B-A2C8-6459E7B4F69C}" name="Celular 1" dataDxfId="144"/>
    <tableColumn id="7" xr3:uid="{A4CBE80C-54FE-4601-A980-777E45C4EDE4}" name="Celular 2" dataDxfId="143"/>
    <tableColumn id="9" xr3:uid="{8F96ED25-9C9C-47B8-98BA-16B81EF89316}" name="Mat." dataDxfId="142"/>
    <tableColumn id="10" xr3:uid="{B9C07E00-1ACD-46DB-9D70-AAC0F420C105}" name="Responsavel (Mãe)" dataDxfId="141"/>
    <tableColumn id="11" xr3:uid="{88ACFA98-31AE-4D6D-A5B0-62CD228398C3}" name="Idade" dataDxfId="140">
      <calculatedColumnFormula>QUOTIENT(IF(DATEDIF(C3,TODAY(),"y")&gt;90,0,DATEDIF(C3,TODAY(),"m")),12)</calculatedColumnFormula>
    </tableColumn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BFA8A22E-8A50-4725-AB16-7B35CFDAC1A6}" name="Tabela273681012141619212325" displayName="Tabela273681012141619212325" ref="A4:AE34" totalsRowShown="0" tableBorderDxfId="135">
  <autoFilter ref="A4:AE34" xr:uid="{39CB31EB-22EF-4251-8C59-A08F1A9B4C3F}"/>
  <tableColumns count="31">
    <tableColumn id="1" xr3:uid="{02172CB8-0D1A-4AE6-AA30-85CB0D847C08}" name="Nº" dataDxfId="134">
      <calculatedColumnFormula>IF('1P-A'!A3&lt;&gt;0,'1P-A'!A3,"")</calculatedColumnFormula>
    </tableColumn>
    <tableColumn id="2" xr3:uid="{23E08FCB-6EEA-46F7-A6C0-88C00F354C1E}" name="Nome" dataDxfId="106">
      <calculatedColumnFormula>IF('4A-B'!B3&lt;&gt;0,'4A-B'!B3,"")</calculatedColumnFormula>
    </tableColumn>
    <tableColumn id="3" xr3:uid="{916DBAD5-9E15-40EE-98AF-FDF2CE40402E}" name="Data Nasc" dataDxfId="105">
      <calculatedColumnFormula>IF('4A-B'!C3&lt;&gt;0,'4A-B'!C3,"")</calculatedColumnFormula>
    </tableColumn>
    <tableColumn id="4" xr3:uid="{5DCF7947-7D00-4B53-B93E-470298533ED8}" name="Cancelado Transferido Desistente" dataDxfId="104">
      <calculatedColumnFormula>IF('4A-B'!D3&lt;&gt;0,'4A-B'!D3,"")</calculatedColumnFormula>
    </tableColumn>
    <tableColumn id="6" xr3:uid="{314480D3-B244-4C9A-9CD9-E82F415D0C36}" name="PRES MAR" dataDxfId="133"/>
    <tableColumn id="7" xr3:uid="{7A07C1E5-C915-456E-A2CC-882D44587673}" name="FALTA MAR" dataDxfId="132"/>
    <tableColumn id="8" xr3:uid="{C725D3DE-CD51-4265-A5D2-A09C958BADA3}" name="% PRESENÇA MAR" dataDxfId="131" dataCellStyle="Porcentagem">
      <calculatedColumnFormula>ROUND((E5*100)/(E5+F5),0)/100</calculatedColumnFormula>
    </tableColumn>
    <tableColumn id="9" xr3:uid="{79E19F18-A111-4EB1-A813-26C8B7B4BDCA}" name="PRES ABR" dataDxfId="130"/>
    <tableColumn id="10" xr3:uid="{04111B9E-792B-4B8F-BFCC-9F04F7F2F139}" name="FALT ABR" dataDxfId="129"/>
    <tableColumn id="11" xr3:uid="{09F3008C-84D9-4128-8FC4-258BDCA2BA05}" name="% PRESENÇA ABR" dataDxfId="128" dataCellStyle="Porcentagem">
      <calculatedColumnFormula>ROUND((H5*100)/(H5+I5),0)/100</calculatedColumnFormula>
    </tableColumn>
    <tableColumn id="12" xr3:uid="{4CED1D81-0EED-4671-98A8-1542CBF8CE51}" name="." dataDxfId="127">
      <calculatedColumnFormula>Tabela273681012141619212325[[#This Row],[Nº]]</calculatedColumnFormula>
    </tableColumn>
    <tableColumn id="13" xr3:uid="{3E70D42E-2FA1-4466-AD1C-BE923352B2ED}" name="PRES MAI" dataDxfId="126"/>
    <tableColumn id="14" xr3:uid="{1C2F3C35-C813-43AB-8B5C-746AC5C01116}" name="FALTA MAI" dataDxfId="125"/>
    <tableColumn id="15" xr3:uid="{05963FFC-EA38-4C64-8B49-529627AC7D05}" name="% PRESENÇA MAI" dataDxfId="124" dataCellStyle="Porcentagem">
      <calculatedColumnFormula>ROUND((L5*100)/(L5+M5),0)/100</calculatedColumnFormula>
    </tableColumn>
    <tableColumn id="16" xr3:uid="{7A76DF99-E282-48F6-AA6F-DE331991D900}" name="PRES JUN" dataDxfId="123"/>
    <tableColumn id="17" xr3:uid="{7A50BCF0-F9E5-4727-8269-33019C2CACBC}" name="FALTA JUN" dataDxfId="122"/>
    <tableColumn id="18" xr3:uid="{5527CB88-1390-4E5C-99B5-4B28E4C1BC3E}" name="% PRESENÇA JUN" dataDxfId="121" dataCellStyle="Porcentagem">
      <calculatedColumnFormula>ROUND((O5*100)/(O5+P5),0)/100</calculatedColumnFormula>
    </tableColumn>
    <tableColumn id="19" xr3:uid="{0EB24656-E236-43C1-BC2B-B890AEE9F103}" name="," dataDxfId="120">
      <calculatedColumnFormula>Tabela273681012141619212325[[#This Row],[Nº]]</calculatedColumnFormula>
    </tableColumn>
    <tableColumn id="20" xr3:uid="{EF0B9AB5-69D3-4B7B-B2C0-91FF899092AD}" name="PRES AGO" dataDxfId="119"/>
    <tableColumn id="21" xr3:uid="{D082FB44-EC6C-44FA-9FED-1AEA1BD50D4A}" name="FALTA AGO" dataDxfId="118"/>
    <tableColumn id="22" xr3:uid="{E27F011D-352D-46B8-BE78-A49D25500BB0}" name="% PRESENÇA AGO" dataDxfId="117" dataCellStyle="Porcentagem">
      <calculatedColumnFormula>ROUND((S5*100)/(S5+T5),0)/100</calculatedColumnFormula>
    </tableColumn>
    <tableColumn id="23" xr3:uid="{CFEF300C-EC28-47C6-A900-00FDF63096B5}" name="PRES SET" dataDxfId="116"/>
    <tableColumn id="24" xr3:uid="{D66B013B-3AB9-4CE7-AC7B-D215543C60F6}" name="FALTA SET" dataDxfId="115"/>
    <tableColumn id="25" xr3:uid="{19A54070-50B5-4870-9AB6-70F02E84151C}" name="% PRESENÇA SET" dataDxfId="114" dataCellStyle="Porcentagem">
      <calculatedColumnFormula>ROUND((V5*100)/(V5+W5),0)/100</calculatedColumnFormula>
    </tableColumn>
    <tableColumn id="26" xr3:uid="{B8A403D1-98E6-4262-9769-36A7A333C9B2}" name=";" dataDxfId="113">
      <calculatedColumnFormula>Tabela273681012141619212325[[#This Row],[Nº]]</calculatedColumnFormula>
    </tableColumn>
    <tableColumn id="27" xr3:uid="{2B6E2DDA-A547-4989-BC08-DAA143EB312C}" name="PRES OUT" dataDxfId="112"/>
    <tableColumn id="28" xr3:uid="{540673E1-5C7B-4315-8293-727EECA60C69}" name="FALTA OUT" dataDxfId="111"/>
    <tableColumn id="29" xr3:uid="{370B8827-6DB2-449D-85D3-42B6A8B9B0B9}" name="% PRESENÇA OUT" dataDxfId="110" dataCellStyle="Porcentagem">
      <calculatedColumnFormula>ROUND((Z5*100)/(Z5+AA5),0)/100</calculatedColumnFormula>
    </tableColumn>
    <tableColumn id="30" xr3:uid="{E33293CA-96ED-41CC-A9D7-847B38472852}" name="PRES NOV" dataDxfId="109"/>
    <tableColumn id="31" xr3:uid="{1E508B92-9D56-4C3D-A8BF-5E01C216DBCA}" name="FALTA NOV" dataDxfId="108"/>
    <tableColumn id="32" xr3:uid="{EF4AF155-19A2-4719-A7A7-16C19D264AD3}" name="% PRESENÇA NOV" dataDxfId="107" dataCellStyle="Porcentagem">
      <calculatedColumnFormula>ROUND((AC5*100)/(AC5+AD5),0)/100</calculatedColumnFormula>
    </tableColumn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292FBF61-8DF6-475D-ACCF-A0598D421EF7}" name="_1PRE25791113151820222426" displayName="_1PRE25791113151820222426" ref="A2:K32" totalsRowShown="0">
  <autoFilter ref="A2:K32" xr:uid="{00000000-0009-0000-0100-000010000000}"/>
  <tableColumns count="11">
    <tableColumn id="1" xr3:uid="{1D8F039A-BB5E-4415-BB60-C6B10A5E9D0C}" name="Nº" dataDxfId="98">
      <calculatedColumnFormula>A2+1</calculatedColumnFormula>
    </tableColumn>
    <tableColumn id="2" xr3:uid="{DEF916F1-85A3-4A49-AA2D-2641B4E048E4}" name="Nome" dataDxfId="97"/>
    <tableColumn id="5" xr3:uid="{EFD27AAA-A18C-47AB-80D7-219586E72041}" name="Data Nasc" dataDxfId="96"/>
    <tableColumn id="8" xr3:uid="{5E7FB101-A854-4C57-BB37-E28B259639E4}" name="Cancelado Transferido Desistente" dataDxfId="95"/>
    <tableColumn id="3" xr3:uid="{2E33A196-15D9-4D61-AB29-FF6E7FF9BCE6}" name="CPF" dataDxfId="94"/>
    <tableColumn id="4" xr3:uid="{B018063C-9B84-4C54-89A7-6D28013DFC9F}" name="SUS" dataDxfId="93"/>
    <tableColumn id="6" xr3:uid="{1F024CED-852E-426F-A402-20C54F458869}" name="Celular 1" dataDxfId="92"/>
    <tableColumn id="7" xr3:uid="{B974530D-F466-4BB6-BD02-93771C3C7F06}" name="Celular 2" dataDxfId="91"/>
    <tableColumn id="9" xr3:uid="{B64AA518-C949-42CC-AA6C-3B2C089061CB}" name="Mat." dataDxfId="90"/>
    <tableColumn id="10" xr3:uid="{AB74B1FA-CD43-43DB-93F7-696846C970F5}" name="Responsavel (Mãe)" dataDxfId="89"/>
    <tableColumn id="11" xr3:uid="{34161C13-AC04-41EA-83C2-62A8DE6B5FE6}" name="Idade" dataDxfId="88">
      <calculatedColumnFormula>QUOTIENT(IF(DATEDIF(C3,TODAY(),"y")&gt;90,0,DATEDIF(C3,TODAY(),"m")),12)</calculatedColumnFormula>
    </tableColumn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27176D75-1F2E-4AD6-B3D7-00A2E462E8D4}" name="Tabela27368101214161921232527" displayName="Tabela27368101214161921232527" ref="A4:AE34" totalsRowShown="0" tableBorderDxfId="83">
  <autoFilter ref="A4:AE34" xr:uid="{39CB31EB-22EF-4251-8C59-A08F1A9B4C3F}"/>
  <tableColumns count="31">
    <tableColumn id="1" xr3:uid="{B017E8DD-0493-4810-B7F7-AD4F8AA302A6}" name="Nº" dataDxfId="82">
      <calculatedColumnFormula>IF('1P-A'!A3&lt;&gt;0,'1P-A'!A3,"")</calculatedColumnFormula>
    </tableColumn>
    <tableColumn id="2" xr3:uid="{53792006-C9AA-4790-B36E-7DF3DCE974FF}" name="Nome" dataDxfId="54">
      <calculatedColumnFormula>IF('5A-A'!B3&lt;&gt;0,'5A-A'!B3,"")</calculatedColumnFormula>
    </tableColumn>
    <tableColumn id="3" xr3:uid="{EDA3A493-0E4B-4FD4-A98D-B84D16D6EEFA}" name="Data Nasc" dataDxfId="53">
      <calculatedColumnFormula>IF('5A-A'!C3&lt;&gt;0,'5A-A'!C3,"")</calculatedColumnFormula>
    </tableColumn>
    <tableColumn id="4" xr3:uid="{A448D36D-BBC4-49E9-8062-76CD67824F49}" name="Cancelado Transferido Desistente" dataDxfId="52">
      <calculatedColumnFormula>IF('5A-A'!D3&lt;&gt;0,'5A-A'!D3,"")</calculatedColumnFormula>
    </tableColumn>
    <tableColumn id="6" xr3:uid="{BDD52FAD-1B37-4379-AC24-66F13C35FF0E}" name="PRES MAR" dataDxfId="81"/>
    <tableColumn id="7" xr3:uid="{5B4F6318-CAF4-47D2-B99E-39DDCEEB8A4E}" name="FALTA MAR" dataDxfId="80"/>
    <tableColumn id="8" xr3:uid="{53220458-1428-4A39-B400-ACFC115FE1AE}" name="% PRESENÇA MAR" dataDxfId="79" dataCellStyle="Porcentagem">
      <calculatedColumnFormula>ROUND((E5*100)/(E5+F5),0)/100</calculatedColumnFormula>
    </tableColumn>
    <tableColumn id="9" xr3:uid="{51D4888B-8C21-49FB-AABA-5CFA875B1AA1}" name="PRES ABR" dataDxfId="78"/>
    <tableColumn id="10" xr3:uid="{A2C87AE5-C1CE-4B41-AFE8-3478B93E90C9}" name="FALT ABR" dataDxfId="77"/>
    <tableColumn id="11" xr3:uid="{8A7D5E40-13B3-436D-8F61-AE12C30C9F44}" name="% PRESENÇA ABR" dataDxfId="76" dataCellStyle="Porcentagem">
      <calculatedColumnFormula>ROUND((H5*100)/(H5+I5),0)/100</calculatedColumnFormula>
    </tableColumn>
    <tableColumn id="12" xr3:uid="{253E1AAE-DA50-4082-A076-B6E5C5FD6AA1}" name="." dataDxfId="75">
      <calculatedColumnFormula>Tabela27368101214161921232527[[#This Row],[Nº]]</calculatedColumnFormula>
    </tableColumn>
    <tableColumn id="13" xr3:uid="{7B184709-CEC1-4E32-99DC-5C410745FC64}" name="PRES MAI" dataDxfId="74"/>
    <tableColumn id="14" xr3:uid="{98E08F3D-499B-4348-B8C4-4667C3CEF220}" name="FALTA MAI" dataDxfId="73"/>
    <tableColumn id="15" xr3:uid="{C9D14432-1F5B-41E1-A4B9-E15926E1CE63}" name="% PRESENÇA MAI" dataDxfId="72" dataCellStyle="Porcentagem">
      <calculatedColumnFormula>ROUND((L5*100)/(L5+M5),0)/100</calculatedColumnFormula>
    </tableColumn>
    <tableColumn id="16" xr3:uid="{CEEDBB6A-2C77-476D-87C0-DFD511C42A3A}" name="PRES JUN" dataDxfId="71"/>
    <tableColumn id="17" xr3:uid="{E66F5C92-C9F0-4FD5-AD5B-E1ABF2FDA1C9}" name="FALTA JUN" dataDxfId="70"/>
    <tableColumn id="18" xr3:uid="{B0981652-6B45-43E1-869B-99D29E66CB02}" name="% PRESENÇA JUN" dataDxfId="69" dataCellStyle="Porcentagem">
      <calculatedColumnFormula>ROUND((O5*100)/(O5+P5),0)/100</calculatedColumnFormula>
    </tableColumn>
    <tableColumn id="19" xr3:uid="{36368E19-321B-4040-9DC8-7FBE1FF99D5D}" name="," dataDxfId="68">
      <calculatedColumnFormula>Tabela27368101214161921232527[[#This Row],[Nº]]</calculatedColumnFormula>
    </tableColumn>
    <tableColumn id="20" xr3:uid="{D5EBE874-3BB1-4B5E-9010-0502B15C4E12}" name="PRES AGO" dataDxfId="67"/>
    <tableColumn id="21" xr3:uid="{14CB51EF-2EA0-4AB5-9638-E309546364FF}" name="FALTA AGO" dataDxfId="66"/>
    <tableColumn id="22" xr3:uid="{F688798B-05F8-44E2-AD6E-44E76459DDF5}" name="% PRESENÇA AGO" dataDxfId="65" dataCellStyle="Porcentagem">
      <calculatedColumnFormula>ROUND((S5*100)/(S5+T5),0)/100</calculatedColumnFormula>
    </tableColumn>
    <tableColumn id="23" xr3:uid="{3ABCBBB3-D17C-4898-9575-A3255E66BB3D}" name="PRES SET" dataDxfId="64"/>
    <tableColumn id="24" xr3:uid="{CF7E5D70-60DC-4006-A652-CE753CAB39C9}" name="FALTA SET" dataDxfId="63"/>
    <tableColumn id="25" xr3:uid="{AC00BF56-9A89-42C8-B216-B184257A2C10}" name="% PRESENÇA SET" dataDxfId="62" dataCellStyle="Porcentagem">
      <calculatedColumnFormula>ROUND((V5*100)/(V5+W5),0)/100</calculatedColumnFormula>
    </tableColumn>
    <tableColumn id="26" xr3:uid="{3580FA13-2B7F-4758-B6B6-52569ED00D74}" name=";" dataDxfId="61">
      <calculatedColumnFormula>Tabela27368101214161921232527[[#This Row],[Nº]]</calculatedColumnFormula>
    </tableColumn>
    <tableColumn id="27" xr3:uid="{9DABF547-3523-40AF-A234-399D8C975C59}" name="PRES OUT" dataDxfId="60"/>
    <tableColumn id="28" xr3:uid="{970BEA4A-03FD-4425-9571-3B89321667B2}" name="FALTA OUT" dataDxfId="59"/>
    <tableColumn id="29" xr3:uid="{CE5A21F2-C6CE-4B83-B5E5-9DBE91012354}" name="% PRESENÇA OUT" dataDxfId="58" dataCellStyle="Porcentagem">
      <calculatedColumnFormula>ROUND((Z5*100)/(Z5+AA5),0)/100</calculatedColumnFormula>
    </tableColumn>
    <tableColumn id="30" xr3:uid="{36DD4CD9-BDBF-4F07-A2C4-C5213AED90CA}" name="PRES NOV" dataDxfId="57"/>
    <tableColumn id="31" xr3:uid="{F8573BE1-5522-4C94-81DA-A465F93DDF59}" name="FALTA NOV" dataDxfId="56"/>
    <tableColumn id="32" xr3:uid="{485940BD-AF3A-4249-AFA0-5C03B6D64387}" name="% PRESENÇA NOV" dataDxfId="55" dataCellStyle="Porcentagem">
      <calculatedColumnFormula>ROUND((AC5*100)/(AC5+AD5),0)/100</calculatedColumnFormula>
    </tableColumn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81D5D2FF-96ED-426E-892F-C2C080A2F304}" name="_1PRE2579111315182022242629" displayName="_1PRE2579111315182022242629" ref="A2:K32" totalsRowShown="0">
  <autoFilter ref="A2:K32" xr:uid="{00000000-0009-0000-0100-000010000000}"/>
  <tableColumns count="11">
    <tableColumn id="1" xr3:uid="{7F1D7849-592E-4E4C-875B-5898F72CB4F4}" name="Nº" dataDxfId="46">
      <calculatedColumnFormula>A2+1</calculatedColumnFormula>
    </tableColumn>
    <tableColumn id="2" xr3:uid="{E6BC6F8C-172D-444F-A434-CDB73B53E1D6}" name="Nome" dataDxfId="45"/>
    <tableColumn id="5" xr3:uid="{8A85D8EF-6402-47A5-B4F4-8A0CF247D52E}" name="Data Nasc" dataDxfId="44"/>
    <tableColumn id="8" xr3:uid="{A6EAADFC-1F40-45E1-945A-6C968AE30264}" name="Cancelado Transferido Desistente" dataDxfId="43"/>
    <tableColumn id="3" xr3:uid="{6967273C-6293-4D09-95C1-37AB9FC196F1}" name="CPF" dataDxfId="42"/>
    <tableColumn id="4" xr3:uid="{783948B2-5F4A-4A20-9F3D-E7556F6EA3C7}" name="SUS" dataDxfId="41"/>
    <tableColumn id="6" xr3:uid="{F60C8011-E907-4ED7-BE62-4AA4E9991734}" name="Celular 1" dataDxfId="40"/>
    <tableColumn id="7" xr3:uid="{33B3AFD6-40AF-4609-A854-EEB972CFBEEC}" name="Celular 2" dataDxfId="39"/>
    <tableColumn id="9" xr3:uid="{F4E99CE3-680E-4DEC-9C0A-FED8F7787633}" name="Mat." dataDxfId="38"/>
    <tableColumn id="10" xr3:uid="{7D8280D5-A40D-46DB-93EE-293C04E85366}" name="Responsavel (Mãe)" dataDxfId="37"/>
    <tableColumn id="11" xr3:uid="{00639B53-22D6-4E7F-8637-BC30C0CE798E}" name="Idade" dataDxfId="36">
      <calculatedColumnFormula>QUOTIENT(IF(DATEDIF(C3,TODAY(),"y")&gt;90,0,DATEDIF(C3,TODAY(),"m")),12)</calculatedColumnFormula>
    </tableColumn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E9DEBE15-205B-4A8A-AB92-47D41264DAFF}" name="Tabela2736810121416192123252730" displayName="Tabela2736810121416192123252730" ref="A4:AE34" totalsRowShown="0" tableBorderDxfId="31">
  <autoFilter ref="A4:AE34" xr:uid="{39CB31EB-22EF-4251-8C59-A08F1A9B4C3F}"/>
  <tableColumns count="31">
    <tableColumn id="1" xr3:uid="{FF3E1919-9126-446E-B0BB-A2A8B8D0259E}" name="Nº" dataDxfId="30">
      <calculatedColumnFormula>IF('1P-A'!A3&lt;&gt;0,'1P-A'!A3,"")</calculatedColumnFormula>
    </tableColumn>
    <tableColumn id="2" xr3:uid="{5FCEAD30-CC80-43D5-8C77-CE2950FE9D5C}" name="Nome" dataDxfId="2">
      <calculatedColumnFormula>IF('5A-B'!B3&lt;&gt;0,'5A-B'!B3,"")</calculatedColumnFormula>
    </tableColumn>
    <tableColumn id="3" xr3:uid="{A329AA79-801A-4756-B197-3AD3AEFCB4EB}" name="Data Nasc" dataDxfId="1">
      <calculatedColumnFormula>IF('5A-B'!C3&lt;&gt;0,'5A-B'!C3,"")</calculatedColumnFormula>
    </tableColumn>
    <tableColumn id="4" xr3:uid="{874DC676-0E27-489F-B038-D85CDE5D5371}" name="Cancelado Transferido Desistente" dataDxfId="0">
      <calculatedColumnFormula>IF('5A-B'!D3&lt;&gt;0,'5A-B'!D3,"")</calculatedColumnFormula>
    </tableColumn>
    <tableColumn id="6" xr3:uid="{C8F4A043-3FE1-48DA-B3A2-4F87D7628279}" name="PRES MAR" dataDxfId="29"/>
    <tableColumn id="7" xr3:uid="{706CB56C-51FC-4DDC-ACB9-29D5B3AAAE32}" name="FALTA MAR" dataDxfId="28"/>
    <tableColumn id="8" xr3:uid="{0038B407-7918-4EFE-AED4-AA14EFF9C7F0}" name="% PRESENÇA MAR" dataDxfId="27" dataCellStyle="Porcentagem">
      <calculatedColumnFormula>ROUND((E5*100)/(E5+F5),0)/100</calculatedColumnFormula>
    </tableColumn>
    <tableColumn id="9" xr3:uid="{A18727D2-7FC5-4D93-9A7A-E858FF5A2C00}" name="PRES ABR" dataDxfId="26"/>
    <tableColumn id="10" xr3:uid="{BDD8BF75-BD9D-4C27-A8E1-C271D0AFBA10}" name="FALT ABR" dataDxfId="25"/>
    <tableColumn id="11" xr3:uid="{F85BCC23-E7C1-4F79-8004-ED1D7F35A67E}" name="% PRESENÇA ABR" dataDxfId="24" dataCellStyle="Porcentagem">
      <calculatedColumnFormula>ROUND((H5*100)/(H5+I5),0)/100</calculatedColumnFormula>
    </tableColumn>
    <tableColumn id="12" xr3:uid="{170039C4-DDC6-447B-95C0-26F6E085FABE}" name="." dataDxfId="23">
      <calculatedColumnFormula>Tabela2736810121416192123252730[[#This Row],[Nº]]</calculatedColumnFormula>
    </tableColumn>
    <tableColumn id="13" xr3:uid="{59AC110D-CB74-48A9-A76B-B990FD6C6E69}" name="PRES MAI" dataDxfId="22"/>
    <tableColumn id="14" xr3:uid="{3B1C2A17-686E-49FA-8688-5E7721178F2F}" name="FALTA MAI" dataDxfId="21"/>
    <tableColumn id="15" xr3:uid="{78730061-F8F0-4A9F-8738-320428E0E8CE}" name="% PRESENÇA MAI" dataDxfId="20" dataCellStyle="Porcentagem">
      <calculatedColumnFormula>ROUND((L5*100)/(L5+M5),0)/100</calculatedColumnFormula>
    </tableColumn>
    <tableColumn id="16" xr3:uid="{FD592244-E149-4A26-9F3F-04D409417848}" name="PRES JUN" dataDxfId="19"/>
    <tableColumn id="17" xr3:uid="{009F140F-8C75-4E45-9A1C-97655183C7BE}" name="FALTA JUN" dataDxfId="18"/>
    <tableColumn id="18" xr3:uid="{448CCDF8-CD12-40EA-85F5-31835989ED7C}" name="% PRESENÇA JUN" dataDxfId="17" dataCellStyle="Porcentagem">
      <calculatedColumnFormula>ROUND((O5*100)/(O5+P5),0)/100</calculatedColumnFormula>
    </tableColumn>
    <tableColumn id="19" xr3:uid="{822EAE14-006D-44C0-93BD-F2FCD64559AA}" name="," dataDxfId="16">
      <calculatedColumnFormula>Tabela2736810121416192123252730[[#This Row],[Nº]]</calculatedColumnFormula>
    </tableColumn>
    <tableColumn id="20" xr3:uid="{CA7E6539-498B-4832-A194-2B6886F077B4}" name="PRES AGO" dataDxfId="15"/>
    <tableColumn id="21" xr3:uid="{73EE52EB-3C81-40FC-A64E-5C1EB7214D35}" name="FALTA AGO" dataDxfId="14"/>
    <tableColumn id="22" xr3:uid="{8B57022C-EC1E-449D-BCA5-3940E336ABC8}" name="% PRESENÇA AGO" dataDxfId="13" dataCellStyle="Porcentagem">
      <calculatedColumnFormula>ROUND((S5*100)/(S5+T5),0)/100</calculatedColumnFormula>
    </tableColumn>
    <tableColumn id="23" xr3:uid="{D48B2558-8A41-400F-8B64-1259A3AF9213}" name="PRES SET" dataDxfId="12"/>
    <tableColumn id="24" xr3:uid="{A3B4D7AE-7BBC-4299-B247-21A19CFCD7E1}" name="FALTA SET" dataDxfId="11"/>
    <tableColumn id="25" xr3:uid="{00DDBB2E-F1CE-41AC-AAEC-4DBA6E94E47B}" name="% PRESENÇA SET" dataDxfId="10" dataCellStyle="Porcentagem">
      <calculatedColumnFormula>ROUND((V5*100)/(V5+W5),0)/100</calculatedColumnFormula>
    </tableColumn>
    <tableColumn id="26" xr3:uid="{C40084D7-6A26-4A1E-8E34-E20DCC7741A8}" name=";" dataDxfId="9">
      <calculatedColumnFormula>Tabela2736810121416192123252730[[#This Row],[Nº]]</calculatedColumnFormula>
    </tableColumn>
    <tableColumn id="27" xr3:uid="{70D72A0A-7E53-4478-B88D-CFAB5B0ED9F1}" name="PRES OUT" dataDxfId="8"/>
    <tableColumn id="28" xr3:uid="{DF68E15C-C0DB-4E19-B25F-776A08554849}" name="FALTA OUT" dataDxfId="7"/>
    <tableColumn id="29" xr3:uid="{16E90A16-AFCB-4CD0-A6E6-B1A07B10E263}" name="% PRESENÇA OUT" dataDxfId="6" dataCellStyle="Porcentagem">
      <calculatedColumnFormula>ROUND((Z5*100)/(Z5+AA5),0)/100</calculatedColumnFormula>
    </tableColumn>
    <tableColumn id="30" xr3:uid="{5A9F9591-FF19-490A-8D90-79D981D9AE37}" name="PRES NOV" dataDxfId="5"/>
    <tableColumn id="31" xr3:uid="{BB8870D6-7412-4790-9266-01AA62585021}" name="FALTA NOV" dataDxfId="4"/>
    <tableColumn id="32" xr3:uid="{94629136-945C-4EC8-B6CB-87833AB5C4DD}" name="% PRESENÇA NOV" dataDxfId="3" dataCellStyle="Porcentagem">
      <calculatedColumnFormula>ROUND((AC5*100)/(AC5+AD5),0)/100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" dT="2022-11-06T13:55:33.15" personId="{8D629785-7A35-4B19-839A-42B28444681E}" id="{093FC395-5B2B-4072-9A72-122A10EACE83}">
    <text>Senha para desbloquear as planhilhas e a edição do codigo VBA: 1234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6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8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A919E-3624-49BE-AE06-B6DABF66F060}">
  <sheetPr codeName="Planilha1"/>
  <dimension ref="A1:J14"/>
  <sheetViews>
    <sheetView showGridLines="0" showRowColHeaders="0" view="pageBreakPreview" zoomScale="80" zoomScaleNormal="100" zoomScaleSheetLayoutView="80" zoomScalePageLayoutView="60" workbookViewId="0">
      <selection activeCell="F30" sqref="F30"/>
    </sheetView>
  </sheetViews>
  <sheetFormatPr defaultRowHeight="12.75"/>
  <sheetData>
    <row r="1" spans="1:10" ht="21">
      <c r="C1" s="88" t="s">
        <v>76</v>
      </c>
      <c r="D1" s="88"/>
      <c r="E1" s="88"/>
      <c r="F1" s="88"/>
      <c r="G1" s="88"/>
      <c r="H1" s="88"/>
      <c r="I1" s="88"/>
    </row>
    <row r="2" spans="1:10" ht="21">
      <c r="C2" s="89" t="s">
        <v>102</v>
      </c>
      <c r="D2" s="89"/>
      <c r="E2" s="89"/>
      <c r="F2" s="89"/>
      <c r="G2" s="89"/>
      <c r="H2" s="89"/>
      <c r="I2" s="89"/>
    </row>
    <row r="9" spans="1:10" ht="28.5">
      <c r="D9" s="90" t="s">
        <v>75</v>
      </c>
      <c r="E9" s="90"/>
      <c r="F9" s="90"/>
      <c r="G9" s="90"/>
      <c r="H9" s="90"/>
    </row>
    <row r="10" spans="1:10" ht="28.5">
      <c r="D10" s="91">
        <v>2022</v>
      </c>
      <c r="E10" s="91"/>
      <c r="F10" s="91"/>
      <c r="G10" s="91"/>
      <c r="H10" s="91"/>
    </row>
    <row r="13" spans="1:10" ht="12.75" customHeight="1">
      <c r="B13" s="84"/>
      <c r="C13" s="84"/>
      <c r="D13" s="84"/>
      <c r="E13" s="84"/>
      <c r="F13" s="84"/>
      <c r="G13" s="84"/>
      <c r="H13" s="84"/>
      <c r="I13" s="84"/>
      <c r="J13" s="84"/>
    </row>
    <row r="14" spans="1:10" ht="12.75" customHeight="1">
      <c r="B14" s="84"/>
      <c r="C14" s="84"/>
      <c r="D14" s="84"/>
      <c r="E14" s="84"/>
      <c r="F14" s="84"/>
      <c r="G14" s="84"/>
      <c r="H14" s="84"/>
      <c r="I14" s="84"/>
      <c r="J14" s="84"/>
    </row>
  </sheetData>
  <sheetProtection algorithmName="SHA-512" hashValue="IHMsni88UjKHOZ7K5DRCKl+sRAaAcK6mWn2YTROGW2lkRIjYx2jYXNPWK7QNeY7SdfZDMb8YsCNxo71LDsOy1A==" saltValue="ioIifLaFM3of/d46qf/cIw==" spinCount="100000" sheet="1" objects="1" scenarios="1"/>
  <mergeCells count="4">
    <mergeCell ref="C1:I1"/>
    <mergeCell ref="C2:I2"/>
    <mergeCell ref="D9:H9"/>
    <mergeCell ref="D10:H10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4C9A6E-DC50-4266-8938-2CEA917C2453}">
  <sheetPr codeName="Plan16">
    <pageSetUpPr fitToPage="1"/>
  </sheetPr>
  <dimension ref="A1:K48"/>
  <sheetViews>
    <sheetView showGridLines="0" showRowColHeaders="0" view="pageBreakPreview" zoomScaleNormal="60" zoomScaleSheetLayoutView="100" zoomScalePageLayoutView="91" workbookViewId="0">
      <selection activeCell="D6" sqref="D6:K6"/>
    </sheetView>
  </sheetViews>
  <sheetFormatPr defaultColWidth="9.140625" defaultRowHeight="15"/>
  <cols>
    <col min="1" max="1" width="19.85546875" style="17" customWidth="1"/>
    <col min="2" max="16384" width="9.140625" style="17"/>
  </cols>
  <sheetData>
    <row r="1" spans="1:11" ht="15.75">
      <c r="A1" s="73" t="s">
        <v>69</v>
      </c>
      <c r="B1" s="92" t="str">
        <f>MENU!C2</f>
        <v>E.M.E.I.E.F. Ficticio</v>
      </c>
      <c r="C1" s="92"/>
      <c r="D1" s="92"/>
      <c r="E1" s="92"/>
      <c r="F1" s="92"/>
      <c r="G1" s="92"/>
      <c r="H1" s="92"/>
      <c r="I1" s="92"/>
      <c r="J1" s="92"/>
      <c r="K1" s="93"/>
    </row>
    <row r="2" spans="1:11" ht="15.75">
      <c r="A2" s="74" t="s">
        <v>71</v>
      </c>
      <c r="B2" s="94" t="s">
        <v>137</v>
      </c>
      <c r="C2" s="95"/>
      <c r="D2" s="95"/>
      <c r="E2" s="95"/>
      <c r="F2" s="95"/>
      <c r="G2" s="95"/>
      <c r="H2" s="95"/>
      <c r="I2" s="95"/>
      <c r="J2" s="95"/>
      <c r="K2" s="96"/>
    </row>
    <row r="3" spans="1:11" ht="15.75">
      <c r="A3" s="74" t="s">
        <v>70</v>
      </c>
      <c r="B3" s="94" t="s">
        <v>8</v>
      </c>
      <c r="C3" s="95"/>
      <c r="D3" s="95"/>
      <c r="E3" s="95"/>
      <c r="F3" s="95"/>
      <c r="G3" s="95"/>
      <c r="H3" s="95"/>
      <c r="I3" s="95"/>
      <c r="J3" s="95"/>
      <c r="K3" s="96"/>
    </row>
    <row r="4" spans="1:11" ht="15.75">
      <c r="A4" s="74" t="s">
        <v>5</v>
      </c>
      <c r="B4" s="94" t="s">
        <v>109</v>
      </c>
      <c r="C4" s="95"/>
      <c r="D4" s="95"/>
      <c r="E4" s="95"/>
      <c r="F4" s="95"/>
      <c r="G4" s="95"/>
      <c r="H4" s="95"/>
      <c r="I4" s="95"/>
      <c r="J4" s="95"/>
      <c r="K4" s="96"/>
    </row>
    <row r="5" spans="1:11" ht="15.75">
      <c r="A5" s="74" t="s">
        <v>73</v>
      </c>
      <c r="B5" s="95"/>
      <c r="C5" s="95"/>
      <c r="D5" s="95"/>
      <c r="E5" s="95"/>
      <c r="F5" s="95"/>
      <c r="G5" s="95"/>
      <c r="H5" s="95"/>
      <c r="I5" s="95"/>
      <c r="J5" s="95"/>
      <c r="K5" s="96"/>
    </row>
    <row r="6" spans="1:11" ht="15.75">
      <c r="A6" s="99" t="s">
        <v>74</v>
      </c>
      <c r="B6" s="100"/>
      <c r="C6" s="100"/>
      <c r="D6" s="95"/>
      <c r="E6" s="95"/>
      <c r="F6" s="95"/>
      <c r="G6" s="95"/>
      <c r="H6" s="95"/>
      <c r="I6" s="95"/>
      <c r="J6" s="95"/>
      <c r="K6" s="96"/>
    </row>
    <row r="7" spans="1:11" ht="16.5" thickBot="1">
      <c r="A7" s="75" t="s">
        <v>72</v>
      </c>
      <c r="B7" s="97">
        <f>MENU!D10</f>
        <v>2022</v>
      </c>
      <c r="C7" s="97"/>
      <c r="D7" s="97"/>
      <c r="E7" s="97"/>
      <c r="F7" s="97"/>
      <c r="G7" s="97"/>
      <c r="H7" s="97"/>
      <c r="I7" s="97"/>
      <c r="J7" s="97"/>
      <c r="K7" s="98"/>
    </row>
    <row r="8" spans="1:11" ht="15.75" thickBot="1"/>
    <row r="9" spans="1:11">
      <c r="A9" s="107" t="s">
        <v>77</v>
      </c>
      <c r="B9" s="108"/>
      <c r="C9" s="108"/>
      <c r="D9" s="108"/>
      <c r="E9" s="108"/>
      <c r="F9" s="108"/>
      <c r="G9" s="108"/>
      <c r="H9" s="108"/>
      <c r="I9" s="108"/>
      <c r="J9" s="108"/>
      <c r="K9" s="109"/>
    </row>
    <row r="10" spans="1:11" ht="15.75" thickBot="1">
      <c r="A10" s="110"/>
      <c r="B10" s="111"/>
      <c r="C10" s="111"/>
      <c r="D10" s="111"/>
      <c r="E10" s="111"/>
      <c r="F10" s="111"/>
      <c r="G10" s="111"/>
      <c r="H10" s="111"/>
      <c r="I10" s="111"/>
      <c r="J10" s="111"/>
      <c r="K10" s="112"/>
    </row>
    <row r="11" spans="1:11" ht="15.75">
      <c r="A11" s="79" t="s">
        <v>9</v>
      </c>
      <c r="B11" s="107" t="s">
        <v>78</v>
      </c>
      <c r="C11" s="108"/>
      <c r="D11" s="108"/>
      <c r="E11" s="109"/>
      <c r="F11" s="107" t="s">
        <v>79</v>
      </c>
      <c r="G11" s="109"/>
      <c r="H11" s="107" t="s">
        <v>80</v>
      </c>
      <c r="I11" s="109"/>
      <c r="J11" s="107" t="s">
        <v>99</v>
      </c>
      <c r="K11" s="109"/>
    </row>
    <row r="12" spans="1:11">
      <c r="A12" s="85">
        <f>IF('1P-A'!A3&lt;&gt;0,'1P-A'!A3,"")</f>
        <v>1</v>
      </c>
      <c r="B12" s="101" t="str">
        <f>IF('1P-A'!B3&lt;&gt;0,'1P-A'!B3,"")</f>
        <v/>
      </c>
      <c r="C12" s="102"/>
      <c r="D12" s="102"/>
      <c r="E12" s="103"/>
      <c r="F12" s="104" t="str">
        <f>IF('1P-A'!G3&lt;&gt;0,'1P-A'!G3,"")</f>
        <v/>
      </c>
      <c r="G12" s="105"/>
      <c r="H12" s="106" t="str">
        <f>IF('1P-A'!C3&lt;&gt;0,'1P-A'!C3,"")</f>
        <v/>
      </c>
      <c r="I12" s="105"/>
      <c r="J12" s="104" t="str">
        <f>IF('1P-A'!D3&lt;&gt;0,'1P-A'!D3,"")</f>
        <v/>
      </c>
      <c r="K12" s="105"/>
    </row>
    <row r="13" spans="1:11">
      <c r="A13" s="85">
        <f>IF('1P-A'!A4&lt;&gt;0,'1P-A'!A4,"")</f>
        <v>2</v>
      </c>
      <c r="B13" s="101" t="str">
        <f>IF('1P-A'!B4&lt;&gt;0,'1P-A'!B4,"")</f>
        <v/>
      </c>
      <c r="C13" s="102"/>
      <c r="D13" s="102"/>
      <c r="E13" s="103"/>
      <c r="F13" s="104" t="str">
        <f>IF('1P-A'!G4&lt;&gt;0,'1P-A'!G4,"")</f>
        <v/>
      </c>
      <c r="G13" s="105"/>
      <c r="H13" s="106" t="str">
        <f>IF('1P-A'!C4&lt;&gt;0,'1P-A'!C4,"")</f>
        <v/>
      </c>
      <c r="I13" s="105"/>
      <c r="J13" s="104" t="str">
        <f>IF('1P-A'!D4&lt;&gt;0,'1P-A'!D4,"")</f>
        <v/>
      </c>
      <c r="K13" s="105"/>
    </row>
    <row r="14" spans="1:11">
      <c r="A14" s="85">
        <f>IF('1P-A'!A5&lt;&gt;0,'1P-A'!A5,"")</f>
        <v>3</v>
      </c>
      <c r="B14" s="101" t="str">
        <f>IF('1P-A'!B5&lt;&gt;0,'1P-A'!B5,"")</f>
        <v/>
      </c>
      <c r="C14" s="102"/>
      <c r="D14" s="102"/>
      <c r="E14" s="103"/>
      <c r="F14" s="104" t="str">
        <f>IF('1P-A'!G5&lt;&gt;0,'1P-A'!G5,"")</f>
        <v/>
      </c>
      <c r="G14" s="105"/>
      <c r="H14" s="106" t="str">
        <f>IF('1P-A'!C5&lt;&gt;0,'1P-A'!C5,"")</f>
        <v/>
      </c>
      <c r="I14" s="105"/>
      <c r="J14" s="104" t="str">
        <f>IF('1P-A'!D5&lt;&gt;0,'1P-A'!D5,"")</f>
        <v/>
      </c>
      <c r="K14" s="105"/>
    </row>
    <row r="15" spans="1:11">
      <c r="A15" s="85">
        <f>IF('1P-A'!A6&lt;&gt;0,'1P-A'!A6,"")</f>
        <v>4</v>
      </c>
      <c r="B15" s="101" t="str">
        <f>IF('1P-A'!B6&lt;&gt;0,'1P-A'!B6,"")</f>
        <v/>
      </c>
      <c r="C15" s="102"/>
      <c r="D15" s="102"/>
      <c r="E15" s="103"/>
      <c r="F15" s="104" t="str">
        <f>IF('1P-A'!G6&lt;&gt;0,'1P-A'!G6,"")</f>
        <v/>
      </c>
      <c r="G15" s="105"/>
      <c r="H15" s="106" t="str">
        <f>IF('1P-A'!C6&lt;&gt;0,'1P-A'!C6,"")</f>
        <v/>
      </c>
      <c r="I15" s="105"/>
      <c r="J15" s="104" t="str">
        <f>IF('1P-A'!D6&lt;&gt;0,'1P-A'!D6,"")</f>
        <v/>
      </c>
      <c r="K15" s="105"/>
    </row>
    <row r="16" spans="1:11">
      <c r="A16" s="85">
        <f>IF('1P-A'!A7&lt;&gt;0,'1P-A'!A7,"")</f>
        <v>5</v>
      </c>
      <c r="B16" s="101" t="str">
        <f>IF('1P-A'!B7&lt;&gt;0,'1P-A'!B7,"")</f>
        <v/>
      </c>
      <c r="C16" s="102"/>
      <c r="D16" s="102"/>
      <c r="E16" s="103"/>
      <c r="F16" s="104" t="str">
        <f>IF('1P-A'!G7&lt;&gt;0,'1P-A'!G7,"")</f>
        <v/>
      </c>
      <c r="G16" s="105"/>
      <c r="H16" s="106" t="str">
        <f>IF('1P-A'!C7&lt;&gt;0,'1P-A'!C7,"")</f>
        <v/>
      </c>
      <c r="I16" s="105"/>
      <c r="J16" s="104" t="str">
        <f>IF('1P-A'!D7&lt;&gt;0,'1P-A'!D7,"")</f>
        <v/>
      </c>
      <c r="K16" s="105"/>
    </row>
    <row r="17" spans="1:11">
      <c r="A17" s="85">
        <f>IF('1P-A'!A8&lt;&gt;0,'1P-A'!A8,"")</f>
        <v>6</v>
      </c>
      <c r="B17" s="101" t="str">
        <f>IF('1P-A'!B8&lt;&gt;0,'1P-A'!B8,"")</f>
        <v/>
      </c>
      <c r="C17" s="102"/>
      <c r="D17" s="102"/>
      <c r="E17" s="103"/>
      <c r="F17" s="104" t="str">
        <f>IF('1P-A'!G8&lt;&gt;0,'1P-A'!G8,"")</f>
        <v/>
      </c>
      <c r="G17" s="105"/>
      <c r="H17" s="106" t="str">
        <f>IF('1P-A'!C8&lt;&gt;0,'1P-A'!C8,"")</f>
        <v/>
      </c>
      <c r="I17" s="105"/>
      <c r="J17" s="104" t="str">
        <f>IF('1P-A'!D8&lt;&gt;0,'1P-A'!D8,"")</f>
        <v/>
      </c>
      <c r="K17" s="105"/>
    </row>
    <row r="18" spans="1:11">
      <c r="A18" s="85">
        <f>IF('1P-A'!A9&lt;&gt;0,'1P-A'!A9,"")</f>
        <v>7</v>
      </c>
      <c r="B18" s="101" t="str">
        <f>IF('1P-A'!B9&lt;&gt;0,'1P-A'!B9,"")</f>
        <v/>
      </c>
      <c r="C18" s="102"/>
      <c r="D18" s="102"/>
      <c r="E18" s="103"/>
      <c r="F18" s="104" t="str">
        <f>IF('1P-A'!G9&lt;&gt;0,'1P-A'!G9,"")</f>
        <v/>
      </c>
      <c r="G18" s="105"/>
      <c r="H18" s="106" t="str">
        <f>IF('1P-A'!C9&lt;&gt;0,'1P-A'!C9,"")</f>
        <v/>
      </c>
      <c r="I18" s="105"/>
      <c r="J18" s="104" t="str">
        <f>IF('1P-A'!D9&lt;&gt;0,'1P-A'!D9,"")</f>
        <v/>
      </c>
      <c r="K18" s="105"/>
    </row>
    <row r="19" spans="1:11">
      <c r="A19" s="85">
        <f>IF('1P-A'!A10&lt;&gt;0,'1P-A'!A10,"")</f>
        <v>8</v>
      </c>
      <c r="B19" s="101" t="str">
        <f>IF('1P-A'!B10&lt;&gt;0,'1P-A'!B10,"")</f>
        <v/>
      </c>
      <c r="C19" s="102"/>
      <c r="D19" s="102"/>
      <c r="E19" s="103"/>
      <c r="F19" s="104" t="str">
        <f>IF('1P-A'!G10&lt;&gt;0,'1P-A'!G10,"")</f>
        <v/>
      </c>
      <c r="G19" s="105"/>
      <c r="H19" s="106" t="str">
        <f>IF('1P-A'!C10&lt;&gt;0,'1P-A'!C10,"")</f>
        <v/>
      </c>
      <c r="I19" s="105"/>
      <c r="J19" s="104" t="str">
        <f>IF('1P-A'!D10&lt;&gt;0,'1P-A'!D10,"")</f>
        <v/>
      </c>
      <c r="K19" s="105"/>
    </row>
    <row r="20" spans="1:11">
      <c r="A20" s="85">
        <f>IF('1P-A'!A11&lt;&gt;0,'1P-A'!A11,"")</f>
        <v>9</v>
      </c>
      <c r="B20" s="101" t="str">
        <f>IF('1P-A'!B11&lt;&gt;0,'1P-A'!B11,"")</f>
        <v/>
      </c>
      <c r="C20" s="102"/>
      <c r="D20" s="102"/>
      <c r="E20" s="103"/>
      <c r="F20" s="104" t="str">
        <f>IF('1P-A'!G11&lt;&gt;0,'1P-A'!G11,"")</f>
        <v/>
      </c>
      <c r="G20" s="105"/>
      <c r="H20" s="106" t="str">
        <f>IF('1P-A'!C11&lt;&gt;0,'1P-A'!C11,"")</f>
        <v/>
      </c>
      <c r="I20" s="105"/>
      <c r="J20" s="104" t="str">
        <f>IF('1P-A'!D11&lt;&gt;0,'1P-A'!D11,"")</f>
        <v/>
      </c>
      <c r="K20" s="105"/>
    </row>
    <row r="21" spans="1:11">
      <c r="A21" s="85">
        <f>IF('1P-A'!A12&lt;&gt;0,'1P-A'!A12,"")</f>
        <v>10</v>
      </c>
      <c r="B21" s="101" t="str">
        <f>IF('1P-A'!B12&lt;&gt;0,'1P-A'!B12,"")</f>
        <v/>
      </c>
      <c r="C21" s="102"/>
      <c r="D21" s="102"/>
      <c r="E21" s="103"/>
      <c r="F21" s="104" t="str">
        <f>IF('1P-A'!G12&lt;&gt;0,'1P-A'!G12,"")</f>
        <v/>
      </c>
      <c r="G21" s="105"/>
      <c r="H21" s="106" t="str">
        <f>IF('1P-A'!C12&lt;&gt;0,'1P-A'!C12,"")</f>
        <v/>
      </c>
      <c r="I21" s="105"/>
      <c r="J21" s="104" t="str">
        <f>IF('1P-A'!D12&lt;&gt;0,'1P-A'!D12,"")</f>
        <v/>
      </c>
      <c r="K21" s="105"/>
    </row>
    <row r="22" spans="1:11">
      <c r="A22" s="85">
        <f>IF('1P-A'!A13&lt;&gt;0,'1P-A'!A13,"")</f>
        <v>11</v>
      </c>
      <c r="B22" s="101" t="str">
        <f>IF('1P-A'!B13&lt;&gt;0,'1P-A'!B13,"")</f>
        <v/>
      </c>
      <c r="C22" s="102"/>
      <c r="D22" s="102"/>
      <c r="E22" s="103"/>
      <c r="F22" s="104" t="str">
        <f>IF('1P-A'!G13&lt;&gt;0,'1P-A'!G13,"")</f>
        <v/>
      </c>
      <c r="G22" s="105"/>
      <c r="H22" s="106" t="str">
        <f>IF('1P-A'!C13&lt;&gt;0,'1P-A'!C13,"")</f>
        <v/>
      </c>
      <c r="I22" s="105"/>
      <c r="J22" s="104" t="str">
        <f>IF('1P-A'!D13&lt;&gt;0,'1P-A'!D13,"")</f>
        <v/>
      </c>
      <c r="K22" s="105"/>
    </row>
    <row r="23" spans="1:11">
      <c r="A23" s="85">
        <f>IF('1P-A'!A14&lt;&gt;0,'1P-A'!A14,"")</f>
        <v>12</v>
      </c>
      <c r="B23" s="101" t="str">
        <f>IF('1P-A'!B14&lt;&gt;0,'1P-A'!B14,"")</f>
        <v/>
      </c>
      <c r="C23" s="102"/>
      <c r="D23" s="102"/>
      <c r="E23" s="103"/>
      <c r="F23" s="104" t="str">
        <f>IF('1P-A'!G14&lt;&gt;0,'1P-A'!G14,"")</f>
        <v/>
      </c>
      <c r="G23" s="105"/>
      <c r="H23" s="106" t="str">
        <f>IF('1P-A'!C14&lt;&gt;0,'1P-A'!C14,"")</f>
        <v/>
      </c>
      <c r="I23" s="105"/>
      <c r="J23" s="104" t="str">
        <f>IF('1P-A'!D14&lt;&gt;0,'1P-A'!D14,"")</f>
        <v/>
      </c>
      <c r="K23" s="105"/>
    </row>
    <row r="24" spans="1:11">
      <c r="A24" s="85">
        <f>IF('1P-A'!A15&lt;&gt;0,'1P-A'!A15,"")</f>
        <v>13</v>
      </c>
      <c r="B24" s="101" t="str">
        <f>IF('1P-A'!B15&lt;&gt;0,'1P-A'!B15,"")</f>
        <v/>
      </c>
      <c r="C24" s="102"/>
      <c r="D24" s="102"/>
      <c r="E24" s="103"/>
      <c r="F24" s="104" t="str">
        <f>IF('1P-A'!G15&lt;&gt;0,'1P-A'!G15,"")</f>
        <v/>
      </c>
      <c r="G24" s="105"/>
      <c r="H24" s="106" t="str">
        <f>IF('1P-A'!C15&lt;&gt;0,'1P-A'!C15,"")</f>
        <v/>
      </c>
      <c r="I24" s="105"/>
      <c r="J24" s="104" t="str">
        <f>IF('1P-A'!D15&lt;&gt;0,'1P-A'!D15,"")</f>
        <v/>
      </c>
      <c r="K24" s="105"/>
    </row>
    <row r="25" spans="1:11">
      <c r="A25" s="85">
        <f>IF('1P-A'!A16&lt;&gt;0,'1P-A'!A16,"")</f>
        <v>14</v>
      </c>
      <c r="B25" s="101" t="str">
        <f>IF('1P-A'!B16&lt;&gt;0,'1P-A'!B16,"")</f>
        <v/>
      </c>
      <c r="C25" s="102"/>
      <c r="D25" s="102"/>
      <c r="E25" s="103"/>
      <c r="F25" s="104" t="str">
        <f>IF('1P-A'!G16&lt;&gt;0,'1P-A'!G16,"")</f>
        <v/>
      </c>
      <c r="G25" s="105"/>
      <c r="H25" s="106" t="str">
        <f>IF('1P-A'!C16&lt;&gt;0,'1P-A'!C16,"")</f>
        <v/>
      </c>
      <c r="I25" s="105"/>
      <c r="J25" s="104" t="str">
        <f>IF('1P-A'!D16&lt;&gt;0,'1P-A'!D16,"")</f>
        <v/>
      </c>
      <c r="K25" s="105"/>
    </row>
    <row r="26" spans="1:11">
      <c r="A26" s="85">
        <f>IF('1P-A'!A17&lt;&gt;0,'1P-A'!A17,"")</f>
        <v>15</v>
      </c>
      <c r="B26" s="101" t="str">
        <f>IF('1P-A'!B17&lt;&gt;0,'1P-A'!B17,"")</f>
        <v/>
      </c>
      <c r="C26" s="102"/>
      <c r="D26" s="102"/>
      <c r="E26" s="103"/>
      <c r="F26" s="104" t="str">
        <f>IF('1P-A'!G17&lt;&gt;0,'1P-A'!G17,"")</f>
        <v/>
      </c>
      <c r="G26" s="105"/>
      <c r="H26" s="106" t="str">
        <f>IF('1P-A'!C17&lt;&gt;0,'1P-A'!C17,"")</f>
        <v/>
      </c>
      <c r="I26" s="105"/>
      <c r="J26" s="104" t="str">
        <f>IF('1P-A'!D17&lt;&gt;0,'1P-A'!D17,"")</f>
        <v/>
      </c>
      <c r="K26" s="105"/>
    </row>
    <row r="27" spans="1:11">
      <c r="A27" s="85">
        <f>IF('1P-A'!A18&lt;&gt;0,'1P-A'!A18,"")</f>
        <v>16</v>
      </c>
      <c r="B27" s="101" t="str">
        <f>IF('1P-A'!B18&lt;&gt;0,'1P-A'!B18,"")</f>
        <v/>
      </c>
      <c r="C27" s="102"/>
      <c r="D27" s="102"/>
      <c r="E27" s="103"/>
      <c r="F27" s="104" t="str">
        <f>IF('1P-A'!G18&lt;&gt;0,'1P-A'!G18,"")</f>
        <v/>
      </c>
      <c r="G27" s="105"/>
      <c r="H27" s="106" t="str">
        <f>IF('1P-A'!C18&lt;&gt;0,'1P-A'!C18,"")</f>
        <v/>
      </c>
      <c r="I27" s="105"/>
      <c r="J27" s="104" t="str">
        <f>IF('1P-A'!D18&lt;&gt;0,'1P-A'!D18,"")</f>
        <v/>
      </c>
      <c r="K27" s="105"/>
    </row>
    <row r="28" spans="1:11">
      <c r="A28" s="85">
        <f>IF('1P-A'!A19&lt;&gt;0,'1P-A'!A19,"")</f>
        <v>17</v>
      </c>
      <c r="B28" s="101" t="str">
        <f>IF('1P-A'!B19&lt;&gt;0,'1P-A'!B19,"")</f>
        <v/>
      </c>
      <c r="C28" s="102"/>
      <c r="D28" s="102"/>
      <c r="E28" s="103"/>
      <c r="F28" s="104" t="str">
        <f>IF('1P-A'!G19&lt;&gt;0,'1P-A'!G19,"")</f>
        <v/>
      </c>
      <c r="G28" s="105"/>
      <c r="H28" s="106" t="str">
        <f>IF('1P-A'!C19&lt;&gt;0,'1P-A'!C19,"")</f>
        <v/>
      </c>
      <c r="I28" s="105"/>
      <c r="J28" s="104" t="str">
        <f>IF('1P-A'!D19&lt;&gt;0,'1P-A'!D19,"")</f>
        <v/>
      </c>
      <c r="K28" s="105"/>
    </row>
    <row r="29" spans="1:11">
      <c r="A29" s="85">
        <f>IF('1P-A'!A20&lt;&gt;0,'1P-A'!A20,"")</f>
        <v>18</v>
      </c>
      <c r="B29" s="101" t="str">
        <f>IF('1P-A'!B20&lt;&gt;0,'1P-A'!B20,"")</f>
        <v/>
      </c>
      <c r="C29" s="102"/>
      <c r="D29" s="102"/>
      <c r="E29" s="103"/>
      <c r="F29" s="104" t="str">
        <f>IF('1P-A'!G20&lt;&gt;0,'1P-A'!G20,"")</f>
        <v/>
      </c>
      <c r="G29" s="105"/>
      <c r="H29" s="106" t="str">
        <f>IF('1P-A'!C20&lt;&gt;0,'1P-A'!C20,"")</f>
        <v/>
      </c>
      <c r="I29" s="105"/>
      <c r="J29" s="104" t="str">
        <f>IF('1P-A'!D20&lt;&gt;0,'1P-A'!D20,"")</f>
        <v/>
      </c>
      <c r="K29" s="105"/>
    </row>
    <row r="30" spans="1:11">
      <c r="A30" s="85">
        <f>IF('1P-A'!A21&lt;&gt;0,'1P-A'!A21,"")</f>
        <v>19</v>
      </c>
      <c r="B30" s="101" t="str">
        <f>IF('1P-A'!B21&lt;&gt;0,'1P-A'!B21,"")</f>
        <v/>
      </c>
      <c r="C30" s="102"/>
      <c r="D30" s="102"/>
      <c r="E30" s="103"/>
      <c r="F30" s="104" t="str">
        <f>IF('1P-A'!G21&lt;&gt;0,'1P-A'!G21,"")</f>
        <v/>
      </c>
      <c r="G30" s="105"/>
      <c r="H30" s="106" t="str">
        <f>IF('1P-A'!C21&lt;&gt;0,'1P-A'!C21,"")</f>
        <v/>
      </c>
      <c r="I30" s="105"/>
      <c r="J30" s="104" t="str">
        <f>IF('1P-A'!D21&lt;&gt;0,'1P-A'!D21,"")</f>
        <v/>
      </c>
      <c r="K30" s="105"/>
    </row>
    <row r="31" spans="1:11">
      <c r="A31" s="85">
        <f>IF('1P-A'!A22&lt;&gt;0,'1P-A'!A22,"")</f>
        <v>20</v>
      </c>
      <c r="B31" s="101" t="str">
        <f>IF('1P-A'!B22&lt;&gt;0,'1P-A'!B22,"")</f>
        <v/>
      </c>
      <c r="C31" s="102"/>
      <c r="D31" s="102"/>
      <c r="E31" s="103"/>
      <c r="F31" s="104" t="str">
        <f>IF('1P-A'!G22&lt;&gt;0,'1P-A'!G22,"")</f>
        <v/>
      </c>
      <c r="G31" s="105"/>
      <c r="H31" s="106" t="str">
        <f>IF('1P-A'!C22&lt;&gt;0,'1P-A'!C22,"")</f>
        <v/>
      </c>
      <c r="I31" s="105"/>
      <c r="J31" s="104" t="str">
        <f>IF('1P-A'!D22&lt;&gt;0,'1P-A'!D22,"")</f>
        <v/>
      </c>
      <c r="K31" s="105"/>
    </row>
    <row r="32" spans="1:11">
      <c r="A32" s="85">
        <f>IF('1P-A'!A23&lt;&gt;0,'1P-A'!A23,"")</f>
        <v>21</v>
      </c>
      <c r="B32" s="101" t="str">
        <f>IF('1P-A'!B23&lt;&gt;0,'1P-A'!B23,"")</f>
        <v/>
      </c>
      <c r="C32" s="102"/>
      <c r="D32" s="102"/>
      <c r="E32" s="103"/>
      <c r="F32" s="104" t="str">
        <f>IF('1P-A'!G23&lt;&gt;0,'1P-A'!G23,"")</f>
        <v/>
      </c>
      <c r="G32" s="105"/>
      <c r="H32" s="106" t="str">
        <f>IF('1P-A'!C23&lt;&gt;0,'1P-A'!C23,"")</f>
        <v/>
      </c>
      <c r="I32" s="105"/>
      <c r="J32" s="104" t="str">
        <f>IF('1P-A'!D23&lt;&gt;0,'1P-A'!D23,"")</f>
        <v/>
      </c>
      <c r="K32" s="105"/>
    </row>
    <row r="33" spans="1:11">
      <c r="A33" s="85">
        <f>IF('1P-A'!A24&lt;&gt;0,'1P-A'!A24,"")</f>
        <v>22</v>
      </c>
      <c r="B33" s="101" t="str">
        <f>IF('1P-A'!B24&lt;&gt;0,'1P-A'!B24,"")</f>
        <v/>
      </c>
      <c r="C33" s="102"/>
      <c r="D33" s="102"/>
      <c r="E33" s="103"/>
      <c r="F33" s="104" t="str">
        <f>IF('1P-A'!G24&lt;&gt;0,'1P-A'!G24,"")</f>
        <v/>
      </c>
      <c r="G33" s="105"/>
      <c r="H33" s="106" t="str">
        <f>IF('1P-A'!C24&lt;&gt;0,'1P-A'!C24,"")</f>
        <v/>
      </c>
      <c r="I33" s="105"/>
      <c r="J33" s="104" t="str">
        <f>IF('1P-A'!D24&lt;&gt;0,'1P-A'!D24,"")</f>
        <v/>
      </c>
      <c r="K33" s="105"/>
    </row>
    <row r="34" spans="1:11">
      <c r="A34" s="85">
        <f>IF('1P-A'!A25&lt;&gt;0,'1P-A'!A25,"")</f>
        <v>23</v>
      </c>
      <c r="B34" s="101" t="str">
        <f>IF('1P-A'!B25&lt;&gt;0,'1P-A'!B25,"")</f>
        <v/>
      </c>
      <c r="C34" s="102"/>
      <c r="D34" s="102"/>
      <c r="E34" s="103"/>
      <c r="F34" s="104" t="str">
        <f>IF('1P-A'!G25&lt;&gt;0,'1P-A'!G25,"")</f>
        <v/>
      </c>
      <c r="G34" s="105"/>
      <c r="H34" s="106" t="str">
        <f>IF('1P-A'!C25&lt;&gt;0,'1P-A'!C25,"")</f>
        <v/>
      </c>
      <c r="I34" s="105"/>
      <c r="J34" s="104" t="str">
        <f>IF('1P-A'!D25&lt;&gt;0,'1P-A'!D25,"")</f>
        <v/>
      </c>
      <c r="K34" s="105"/>
    </row>
    <row r="35" spans="1:11">
      <c r="A35" s="85">
        <f>IF('1P-A'!A26&lt;&gt;0,'1P-A'!A26,"")</f>
        <v>24</v>
      </c>
      <c r="B35" s="101" t="str">
        <f>IF('1P-A'!B26&lt;&gt;0,'1P-A'!B26,"")</f>
        <v/>
      </c>
      <c r="C35" s="102"/>
      <c r="D35" s="102"/>
      <c r="E35" s="103"/>
      <c r="F35" s="104" t="str">
        <f>IF('1P-A'!G26&lt;&gt;0,'1P-A'!G26,"")</f>
        <v/>
      </c>
      <c r="G35" s="105"/>
      <c r="H35" s="106" t="str">
        <f>IF('1P-A'!C26&lt;&gt;0,'1P-A'!C26,"")</f>
        <v/>
      </c>
      <c r="I35" s="105"/>
      <c r="J35" s="104" t="str">
        <f>IF('1P-A'!D26&lt;&gt;0,'1P-A'!D26,"")</f>
        <v/>
      </c>
      <c r="K35" s="105"/>
    </row>
    <row r="36" spans="1:11" ht="15.75" thickBot="1">
      <c r="A36" s="86">
        <f>IF('1P-A'!A27&lt;&gt;0,'1P-A'!A27,"")</f>
        <v>25</v>
      </c>
      <c r="B36" s="113" t="str">
        <f>IF('1P-A'!B27&lt;&gt;0,'1P-A'!B27,"")</f>
        <v/>
      </c>
      <c r="C36" s="114"/>
      <c r="D36" s="114"/>
      <c r="E36" s="115"/>
      <c r="F36" s="116" t="str">
        <f>IF('1P-A'!G27&lt;&gt;0,'1P-A'!G27,"")</f>
        <v/>
      </c>
      <c r="G36" s="117"/>
      <c r="H36" s="118" t="str">
        <f>IF('1P-A'!C27&lt;&gt;0,'1P-A'!C27,"")</f>
        <v/>
      </c>
      <c r="I36" s="117"/>
      <c r="J36" s="116" t="str">
        <f>IF('1P-A'!D27&lt;&gt;0,'1P-A'!D27,"")</f>
        <v/>
      </c>
      <c r="K36" s="117"/>
    </row>
    <row r="38" spans="1:11" ht="15.75">
      <c r="A38" s="119" t="s">
        <v>81</v>
      </c>
      <c r="B38" s="119"/>
      <c r="C38" s="119"/>
      <c r="D38" s="119"/>
      <c r="E38" s="120">
        <f>'1P-A'!U4</f>
        <v>0</v>
      </c>
      <c r="F38" s="120"/>
    </row>
    <row r="39" spans="1:11">
      <c r="A39" s="66" t="s">
        <v>82</v>
      </c>
      <c r="E39" s="122">
        <f ca="1">'1P-A'!Q3</f>
        <v>0</v>
      </c>
      <c r="F39" s="122"/>
    </row>
    <row r="40" spans="1:11">
      <c r="A40" s="66" t="s">
        <v>83</v>
      </c>
      <c r="E40" s="122">
        <f ca="1">'1P-A'!R3</f>
        <v>0</v>
      </c>
      <c r="F40" s="122"/>
    </row>
    <row r="48" spans="1:11">
      <c r="A48" s="66" t="s">
        <v>84</v>
      </c>
      <c r="C48" s="121">
        <f ca="1">TODAY()</f>
        <v>44871</v>
      </c>
      <c r="D48" s="122"/>
      <c r="E48" s="122"/>
    </row>
  </sheetData>
  <sheetProtection algorithmName="SHA-512" hashValue="KUpAgqKEQ85yIIwXkvKuupi9fQPR4UDS/tICA4un6erll2S8C0KgzR1RVWR0wl7nlG5QGj0YjqhrpJCGeixd/A==" saltValue="HVMmxh5X00oXIAwEP5TZEg==" spinCount="100000" sheet="1" objects="1" scenarios="1" selectLockedCells="1"/>
  <mergeCells count="118">
    <mergeCell ref="B36:E36"/>
    <mergeCell ref="F36:G36"/>
    <mergeCell ref="H36:I36"/>
    <mergeCell ref="J36:K36"/>
    <mergeCell ref="A38:D38"/>
    <mergeCell ref="E38:F38"/>
    <mergeCell ref="C48:E48"/>
    <mergeCell ref="E39:F39"/>
    <mergeCell ref="E40:F40"/>
    <mergeCell ref="B35:E35"/>
    <mergeCell ref="F35:G35"/>
    <mergeCell ref="H35:I35"/>
    <mergeCell ref="J35:K35"/>
    <mergeCell ref="B13:E13"/>
    <mergeCell ref="F13:G13"/>
    <mergeCell ref="H13:I13"/>
    <mergeCell ref="J13:K13"/>
    <mergeCell ref="B33:E33"/>
    <mergeCell ref="F33:G33"/>
    <mergeCell ref="H33:I33"/>
    <mergeCell ref="J33:K33"/>
    <mergeCell ref="B34:E34"/>
    <mergeCell ref="F34:G34"/>
    <mergeCell ref="H34:I34"/>
    <mergeCell ref="J34:K34"/>
    <mergeCell ref="B31:E31"/>
    <mergeCell ref="F31:G31"/>
    <mergeCell ref="H31:I31"/>
    <mergeCell ref="J31:K31"/>
    <mergeCell ref="B32:E32"/>
    <mergeCell ref="F32:G32"/>
    <mergeCell ref="H32:I32"/>
    <mergeCell ref="J32:K32"/>
    <mergeCell ref="B29:E29"/>
    <mergeCell ref="F29:G29"/>
    <mergeCell ref="H29:I29"/>
    <mergeCell ref="J29:K29"/>
    <mergeCell ref="B30:E30"/>
    <mergeCell ref="F30:G30"/>
    <mergeCell ref="H30:I30"/>
    <mergeCell ref="J30:K30"/>
    <mergeCell ref="B27:E27"/>
    <mergeCell ref="F27:G27"/>
    <mergeCell ref="H27:I27"/>
    <mergeCell ref="J27:K27"/>
    <mergeCell ref="B28:E28"/>
    <mergeCell ref="F28:G28"/>
    <mergeCell ref="H28:I28"/>
    <mergeCell ref="J28:K28"/>
    <mergeCell ref="B25:E25"/>
    <mergeCell ref="F25:G25"/>
    <mergeCell ref="H25:I25"/>
    <mergeCell ref="J25:K25"/>
    <mergeCell ref="B26:E26"/>
    <mergeCell ref="F26:G26"/>
    <mergeCell ref="H26:I26"/>
    <mergeCell ref="J26:K26"/>
    <mergeCell ref="B23:E23"/>
    <mergeCell ref="F23:G23"/>
    <mergeCell ref="H23:I23"/>
    <mergeCell ref="J23:K23"/>
    <mergeCell ref="B24:E24"/>
    <mergeCell ref="F24:G24"/>
    <mergeCell ref="H24:I24"/>
    <mergeCell ref="J24:K24"/>
    <mergeCell ref="B21:E21"/>
    <mergeCell ref="F21:G21"/>
    <mergeCell ref="H21:I21"/>
    <mergeCell ref="J21:K21"/>
    <mergeCell ref="B22:E22"/>
    <mergeCell ref="F22:G22"/>
    <mergeCell ref="H22:I22"/>
    <mergeCell ref="J22:K22"/>
    <mergeCell ref="B19:E19"/>
    <mergeCell ref="F19:G19"/>
    <mergeCell ref="H19:I19"/>
    <mergeCell ref="J19:K19"/>
    <mergeCell ref="B20:E20"/>
    <mergeCell ref="F20:G20"/>
    <mergeCell ref="H20:I20"/>
    <mergeCell ref="J20:K20"/>
    <mergeCell ref="B17:E17"/>
    <mergeCell ref="F17:G17"/>
    <mergeCell ref="H17:I17"/>
    <mergeCell ref="J17:K17"/>
    <mergeCell ref="B18:E18"/>
    <mergeCell ref="F18:G18"/>
    <mergeCell ref="H18:I18"/>
    <mergeCell ref="J18:K18"/>
    <mergeCell ref="B15:E15"/>
    <mergeCell ref="F15:G15"/>
    <mergeCell ref="H15:I15"/>
    <mergeCell ref="J15:K15"/>
    <mergeCell ref="B16:E16"/>
    <mergeCell ref="F16:G16"/>
    <mergeCell ref="H16:I16"/>
    <mergeCell ref="J16:K16"/>
    <mergeCell ref="B1:K1"/>
    <mergeCell ref="B2:K2"/>
    <mergeCell ref="B3:K3"/>
    <mergeCell ref="B4:K4"/>
    <mergeCell ref="B7:K7"/>
    <mergeCell ref="B5:K5"/>
    <mergeCell ref="A6:C6"/>
    <mergeCell ref="D6:K6"/>
    <mergeCell ref="B14:E14"/>
    <mergeCell ref="F14:G14"/>
    <mergeCell ref="H14:I14"/>
    <mergeCell ref="J14:K14"/>
    <mergeCell ref="A9:K10"/>
    <mergeCell ref="F11:G11"/>
    <mergeCell ref="H11:I11"/>
    <mergeCell ref="J11:K11"/>
    <mergeCell ref="B11:E11"/>
    <mergeCell ref="B12:E12"/>
    <mergeCell ref="F12:G12"/>
    <mergeCell ref="H12:I12"/>
    <mergeCell ref="J12:K12"/>
  </mergeCells>
  <conditionalFormatting sqref="A12:K36">
    <cfRule type="expression" dxfId="257" priority="1">
      <formula>IF($J12&lt;&gt;"",1,0)</formula>
    </cfRule>
  </conditionalFormatting>
  <conditionalFormatting sqref="B2 B3 B4 B5 D6">
    <cfRule type="expression" dxfId="256" priority="2">
      <formula>ROW()=CELL("LIN")</formula>
    </cfRule>
  </conditionalFormatting>
  <pageMargins left="0.39370078740157483" right="0.3543307086614173" top="1.1417322834645669" bottom="0.39370078740157483" header="0.31496062992125984" footer="0.31496062992125984"/>
  <pageSetup paperSize="9" scale="96" fitToHeight="0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>
    <pageSetUpPr fitToPage="1"/>
  </sheetPr>
  <dimension ref="A1:U27"/>
  <sheetViews>
    <sheetView showGridLines="0" showRowColHeaders="0" view="pageBreakPreview" zoomScale="60" zoomScaleNormal="60" zoomScalePageLayoutView="40" workbookViewId="0">
      <pane ySplit="1" topLeftCell="A2" activePane="bottomLeft" state="frozen"/>
      <selection pane="bottomLeft" activeCell="B3" sqref="B3"/>
    </sheetView>
  </sheetViews>
  <sheetFormatPr defaultColWidth="9.140625" defaultRowHeight="15"/>
  <cols>
    <col min="1" max="1" width="8.5703125" style="17" customWidth="1"/>
    <col min="2" max="2" width="42" style="17" customWidth="1"/>
    <col min="3" max="3" width="17" style="18" bestFit="1" customWidth="1"/>
    <col min="4" max="4" width="23.85546875" style="19" customWidth="1"/>
    <col min="5" max="5" width="28.5703125" style="17" customWidth="1"/>
    <col min="6" max="6" width="30.5703125" style="27" bestFit="1" customWidth="1"/>
    <col min="7" max="7" width="25.7109375" style="27" customWidth="1"/>
    <col min="8" max="8" width="21.140625" style="17" customWidth="1"/>
    <col min="9" max="9" width="17.5703125" style="17" customWidth="1"/>
    <col min="10" max="10" width="44.42578125" style="17" customWidth="1"/>
    <col min="11" max="11" width="9.7109375" style="17" customWidth="1"/>
    <col min="12" max="12" width="9.28515625" style="17" customWidth="1"/>
    <col min="13" max="13" width="9.140625" style="17"/>
    <col min="14" max="14" width="16.140625" style="17" customWidth="1"/>
    <col min="15" max="15" width="12.7109375" style="17" customWidth="1"/>
    <col min="16" max="16384" width="9.140625" style="17"/>
  </cols>
  <sheetData>
    <row r="1" spans="1:21" ht="75" customHeight="1"/>
    <row r="2" spans="1:21" ht="60">
      <c r="A2" s="20" t="s">
        <v>9</v>
      </c>
      <c r="B2" s="21" t="s">
        <v>10</v>
      </c>
      <c r="C2" s="22" t="s">
        <v>13</v>
      </c>
      <c r="D2" s="23" t="s">
        <v>16</v>
      </c>
      <c r="E2" s="22" t="s">
        <v>11</v>
      </c>
      <c r="F2" s="22" t="s">
        <v>12</v>
      </c>
      <c r="G2" s="22" t="s">
        <v>14</v>
      </c>
      <c r="H2" s="22" t="s">
        <v>15</v>
      </c>
      <c r="I2" s="22" t="s">
        <v>17</v>
      </c>
      <c r="J2" s="21" t="s">
        <v>18</v>
      </c>
      <c r="K2" s="26" t="s">
        <v>19</v>
      </c>
      <c r="L2" s="67"/>
      <c r="M2" s="68"/>
      <c r="N2" s="68"/>
      <c r="O2" s="68"/>
      <c r="P2" s="69" t="s">
        <v>0</v>
      </c>
      <c r="Q2" s="70" t="s">
        <v>1</v>
      </c>
      <c r="R2" s="70" t="s">
        <v>2</v>
      </c>
      <c r="S2" s="71" t="s">
        <v>3</v>
      </c>
      <c r="T2" s="70" t="s">
        <v>4</v>
      </c>
      <c r="U2" s="68"/>
    </row>
    <row r="3" spans="1:21">
      <c r="A3" s="81">
        <v>1</v>
      </c>
      <c r="B3" s="44"/>
      <c r="C3" s="45"/>
      <c r="D3" s="47"/>
      <c r="E3" s="46">
        <v>0</v>
      </c>
      <c r="F3" s="51"/>
      <c r="G3" s="52"/>
      <c r="H3" s="52"/>
      <c r="I3" s="47"/>
      <c r="J3" s="44"/>
      <c r="K3" s="24">
        <f t="shared" ref="K3:K27" ca="1" si="0">QUOTIENT(IF(DATEDIF(C3,TODAY(),"y")&gt;90,0,DATEDIF(C3,TODAY(),"m")),12)</f>
        <v>0</v>
      </c>
      <c r="L3" s="68">
        <f t="shared" ref="L3:L27" ca="1" si="1">IF($K3=0,0,IF($K3&lt;($P$3),1,0))</f>
        <v>0</v>
      </c>
      <c r="M3" s="68">
        <f t="shared" ref="M3:M27" ca="1" si="2">IF($K3&gt;($P$3),1,0)</f>
        <v>0</v>
      </c>
      <c r="N3" s="68" t="b">
        <f ca="1">IF(IF(DATEDIF(C3,TODAY(),"y")&gt;90,0,DATEDIF(C3,TODAY(),"m"))&gt;0,CONCATENATE(QUOTIENT(IF(DATEDIF(C3,TODAY(),"y")&gt;90,0,DATEDIF(C3,TODAY(),"m")),12)," anos e ",MOD(IF(DATEDIF(C3,TODAY(),"y")&gt;90,0,DATEDIF(C3,TODAY(),"m")),12)," mês"))</f>
        <v>0</v>
      </c>
      <c r="O3" s="68" t="str">
        <f ca="1">IF(C3="","",DATEDIF($C3,TODAY(),"m"))</f>
        <v/>
      </c>
      <c r="P3" s="68">
        <v>4</v>
      </c>
      <c r="Q3" s="68">
        <f ca="1">SUM(L3:L27)</f>
        <v>0</v>
      </c>
      <c r="R3" s="68">
        <f ca="1">SUM(M3:M27)</f>
        <v>0</v>
      </c>
      <c r="S3" s="71" t="s">
        <v>7</v>
      </c>
      <c r="T3" s="68">
        <f>($P$3*12)</f>
        <v>48</v>
      </c>
      <c r="U3" s="68"/>
    </row>
    <row r="4" spans="1:21" ht="15.75">
      <c r="A4" s="81">
        <v>2</v>
      </c>
      <c r="B4" s="44"/>
      <c r="C4" s="45"/>
      <c r="D4" s="47"/>
      <c r="E4" s="46">
        <v>0</v>
      </c>
      <c r="F4" s="51"/>
      <c r="G4" s="52"/>
      <c r="H4" s="52"/>
      <c r="I4" s="47"/>
      <c r="J4" s="44"/>
      <c r="K4" s="24">
        <f t="shared" ca="1" si="0"/>
        <v>0</v>
      </c>
      <c r="L4" s="68">
        <f t="shared" ca="1" si="1"/>
        <v>0</v>
      </c>
      <c r="M4" s="68">
        <f t="shared" ca="1" si="2"/>
        <v>0</v>
      </c>
      <c r="N4" s="68" t="b">
        <f t="shared" ref="N4:N27" ca="1" si="3">IF(IF(DATEDIF(C4,TODAY(),"y")&gt;90,0,DATEDIF(C4,TODAY(),"m"))&gt;0,CONCATENATE(QUOTIENT(IF(DATEDIF(C4,TODAY(),"y")&gt;90,0,DATEDIF(C4,TODAY(),"m")),12)," anos e ",MOD(IF(DATEDIF(C4,TODAY(),"y")&gt;90,0,DATEDIF(C4,TODAY(),"m")),12)," mês"))</f>
        <v>0</v>
      </c>
      <c r="O4" s="68" t="str">
        <f ca="1">IF(C4="","",DATEDIF($C4,TODAY(),"m"))</f>
        <v/>
      </c>
      <c r="P4" s="123" t="s">
        <v>6</v>
      </c>
      <c r="Q4" s="123"/>
      <c r="R4" s="123"/>
      <c r="S4" s="123"/>
      <c r="T4" s="123"/>
      <c r="U4" s="68">
        <f>COUNTA(B3:B27)-COUNTA(D3:D27)</f>
        <v>0</v>
      </c>
    </row>
    <row r="5" spans="1:21">
      <c r="A5" s="81">
        <v>3</v>
      </c>
      <c r="B5" s="44"/>
      <c r="C5" s="45"/>
      <c r="D5" s="47"/>
      <c r="E5" s="46">
        <v>0</v>
      </c>
      <c r="F5" s="51"/>
      <c r="G5" s="52"/>
      <c r="H5" s="52"/>
      <c r="I5" s="47"/>
      <c r="J5" s="44"/>
      <c r="K5" s="24">
        <f t="shared" ca="1" si="0"/>
        <v>0</v>
      </c>
      <c r="L5" s="68">
        <f t="shared" ca="1" si="1"/>
        <v>0</v>
      </c>
      <c r="M5" s="68">
        <f t="shared" ca="1" si="2"/>
        <v>0</v>
      </c>
      <c r="N5" s="68" t="b">
        <f t="shared" ca="1" si="3"/>
        <v>0</v>
      </c>
      <c r="O5" s="68" t="str">
        <f ca="1">IF(C5="","",DATEDIF($C5,TODAY(),"m"))</f>
        <v/>
      </c>
      <c r="P5" s="68"/>
      <c r="Q5" s="68"/>
      <c r="R5" s="68"/>
      <c r="S5" s="68"/>
      <c r="T5" s="68"/>
      <c r="U5" s="68"/>
    </row>
    <row r="6" spans="1:21">
      <c r="A6" s="81">
        <v>4</v>
      </c>
      <c r="B6" s="44"/>
      <c r="C6" s="45"/>
      <c r="D6" s="47"/>
      <c r="E6" s="46">
        <v>0</v>
      </c>
      <c r="F6" s="51"/>
      <c r="G6" s="52"/>
      <c r="H6" s="52"/>
      <c r="I6" s="47"/>
      <c r="J6" s="44"/>
      <c r="K6" s="24">
        <f t="shared" ca="1" si="0"/>
        <v>0</v>
      </c>
      <c r="L6" s="68">
        <f t="shared" ca="1" si="1"/>
        <v>0</v>
      </c>
      <c r="M6" s="68">
        <f t="shared" ca="1" si="2"/>
        <v>0</v>
      </c>
      <c r="N6" s="68" t="b">
        <f t="shared" ca="1" si="3"/>
        <v>0</v>
      </c>
      <c r="O6" s="68" t="str">
        <f t="shared" ref="O6:O26" ca="1" si="4">IF(C5="","",DATEDIF($C5,TODAY(),"m"))</f>
        <v/>
      </c>
      <c r="P6" s="68"/>
      <c r="Q6" s="68"/>
      <c r="R6" s="68"/>
      <c r="S6" s="68"/>
      <c r="T6" s="68"/>
      <c r="U6" s="68"/>
    </row>
    <row r="7" spans="1:21">
      <c r="A7" s="81">
        <v>5</v>
      </c>
      <c r="B7" s="44"/>
      <c r="C7" s="45"/>
      <c r="D7" s="47"/>
      <c r="E7" s="46">
        <v>0</v>
      </c>
      <c r="F7" s="51"/>
      <c r="G7" s="52"/>
      <c r="H7" s="52"/>
      <c r="I7" s="47"/>
      <c r="J7" s="44"/>
      <c r="K7" s="24">
        <f t="shared" ca="1" si="0"/>
        <v>0</v>
      </c>
      <c r="L7" s="68">
        <f t="shared" ca="1" si="1"/>
        <v>0</v>
      </c>
      <c r="M7" s="68">
        <f t="shared" ca="1" si="2"/>
        <v>0</v>
      </c>
      <c r="N7" s="68" t="b">
        <f t="shared" ca="1" si="3"/>
        <v>0</v>
      </c>
      <c r="O7" s="68" t="str">
        <f t="shared" ca="1" si="4"/>
        <v/>
      </c>
      <c r="P7" s="68"/>
      <c r="Q7" s="68"/>
      <c r="R7" s="68"/>
      <c r="S7" s="68"/>
      <c r="T7" s="68"/>
      <c r="U7" s="68"/>
    </row>
    <row r="8" spans="1:21">
      <c r="A8" s="81">
        <v>6</v>
      </c>
      <c r="B8" s="44"/>
      <c r="C8" s="45"/>
      <c r="D8" s="47"/>
      <c r="E8" s="46">
        <v>0</v>
      </c>
      <c r="F8" s="51"/>
      <c r="G8" s="52"/>
      <c r="H8" s="52"/>
      <c r="I8" s="47"/>
      <c r="J8" s="44"/>
      <c r="K8" s="24">
        <f t="shared" ca="1" si="0"/>
        <v>0</v>
      </c>
      <c r="L8" s="68">
        <f t="shared" ca="1" si="1"/>
        <v>0</v>
      </c>
      <c r="M8" s="68">
        <f t="shared" ca="1" si="2"/>
        <v>0</v>
      </c>
      <c r="N8" s="68" t="b">
        <f t="shared" ca="1" si="3"/>
        <v>0</v>
      </c>
      <c r="O8" s="68" t="str">
        <f t="shared" ca="1" si="4"/>
        <v/>
      </c>
      <c r="P8" s="68"/>
      <c r="Q8" s="68"/>
      <c r="R8" s="68"/>
      <c r="S8" s="68"/>
      <c r="T8" s="68"/>
      <c r="U8" s="68"/>
    </row>
    <row r="9" spans="1:21">
      <c r="A9" s="81">
        <v>7</v>
      </c>
      <c r="B9" s="44"/>
      <c r="C9" s="45"/>
      <c r="D9" s="47"/>
      <c r="E9" s="46">
        <v>0</v>
      </c>
      <c r="F9" s="51"/>
      <c r="G9" s="52"/>
      <c r="H9" s="52"/>
      <c r="I9" s="47"/>
      <c r="J9" s="44"/>
      <c r="K9" s="24">
        <f t="shared" ca="1" si="0"/>
        <v>0</v>
      </c>
      <c r="L9" s="68">
        <f t="shared" ca="1" si="1"/>
        <v>0</v>
      </c>
      <c r="M9" s="68">
        <f t="shared" ca="1" si="2"/>
        <v>0</v>
      </c>
      <c r="N9" s="68" t="b">
        <f t="shared" ca="1" si="3"/>
        <v>0</v>
      </c>
      <c r="O9" s="68" t="str">
        <f t="shared" ca="1" si="4"/>
        <v/>
      </c>
      <c r="P9" s="68"/>
      <c r="Q9" s="68"/>
      <c r="R9" s="68"/>
      <c r="S9" s="68"/>
      <c r="T9" s="68"/>
      <c r="U9" s="68"/>
    </row>
    <row r="10" spans="1:21">
      <c r="A10" s="81">
        <v>8</v>
      </c>
      <c r="B10" s="44"/>
      <c r="C10" s="45"/>
      <c r="D10" s="47"/>
      <c r="E10" s="46">
        <v>0</v>
      </c>
      <c r="F10" s="51"/>
      <c r="G10" s="52"/>
      <c r="H10" s="52"/>
      <c r="I10" s="47"/>
      <c r="J10" s="44"/>
      <c r="K10" s="24">
        <f t="shared" ca="1" si="0"/>
        <v>0</v>
      </c>
      <c r="L10" s="68">
        <f t="shared" ca="1" si="1"/>
        <v>0</v>
      </c>
      <c r="M10" s="68">
        <f t="shared" ca="1" si="2"/>
        <v>0</v>
      </c>
      <c r="N10" s="68" t="b">
        <f t="shared" ca="1" si="3"/>
        <v>0</v>
      </c>
      <c r="O10" s="68" t="str">
        <f t="shared" ca="1" si="4"/>
        <v/>
      </c>
      <c r="P10" s="68"/>
      <c r="Q10" s="68"/>
      <c r="R10" s="68"/>
      <c r="S10" s="68"/>
      <c r="T10" s="68"/>
      <c r="U10" s="68"/>
    </row>
    <row r="11" spans="1:21">
      <c r="A11" s="81">
        <v>9</v>
      </c>
      <c r="B11" s="44"/>
      <c r="C11" s="45"/>
      <c r="D11" s="47"/>
      <c r="E11" s="46">
        <v>0</v>
      </c>
      <c r="F11" s="51"/>
      <c r="G11" s="52"/>
      <c r="H11" s="52"/>
      <c r="I11" s="47"/>
      <c r="J11" s="44"/>
      <c r="K11" s="24">
        <f t="shared" ca="1" si="0"/>
        <v>0</v>
      </c>
      <c r="L11" s="68">
        <f t="shared" ca="1" si="1"/>
        <v>0</v>
      </c>
      <c r="M11" s="68">
        <f t="shared" ca="1" si="2"/>
        <v>0</v>
      </c>
      <c r="N11" s="68" t="b">
        <f t="shared" ca="1" si="3"/>
        <v>0</v>
      </c>
      <c r="O11" s="68" t="str">
        <f t="shared" ca="1" si="4"/>
        <v/>
      </c>
      <c r="P11" s="68"/>
      <c r="Q11" s="68"/>
      <c r="R11" s="68"/>
      <c r="S11" s="68"/>
      <c r="T11" s="68"/>
      <c r="U11" s="68"/>
    </row>
    <row r="12" spans="1:21">
      <c r="A12" s="81">
        <v>10</v>
      </c>
      <c r="B12" s="44"/>
      <c r="C12" s="45"/>
      <c r="D12" s="47"/>
      <c r="E12" s="46">
        <v>0</v>
      </c>
      <c r="F12" s="51"/>
      <c r="G12" s="52"/>
      <c r="H12" s="52"/>
      <c r="I12" s="47"/>
      <c r="J12" s="44"/>
      <c r="K12" s="24">
        <f t="shared" ca="1" si="0"/>
        <v>0</v>
      </c>
      <c r="L12" s="68">
        <f t="shared" ca="1" si="1"/>
        <v>0</v>
      </c>
      <c r="M12" s="68">
        <f t="shared" ca="1" si="2"/>
        <v>0</v>
      </c>
      <c r="N12" s="68" t="b">
        <f t="shared" ca="1" si="3"/>
        <v>0</v>
      </c>
      <c r="O12" s="68" t="str">
        <f t="shared" ca="1" si="4"/>
        <v/>
      </c>
      <c r="P12" s="68"/>
      <c r="Q12" s="68"/>
      <c r="R12" s="68"/>
      <c r="S12" s="68"/>
      <c r="T12" s="68"/>
      <c r="U12" s="68"/>
    </row>
    <row r="13" spans="1:21">
      <c r="A13" s="81">
        <v>11</v>
      </c>
      <c r="B13" s="44"/>
      <c r="C13" s="45"/>
      <c r="D13" s="47"/>
      <c r="E13" s="46">
        <v>0</v>
      </c>
      <c r="F13" s="51"/>
      <c r="G13" s="52"/>
      <c r="H13" s="52"/>
      <c r="I13" s="47"/>
      <c r="J13" s="44"/>
      <c r="K13" s="24">
        <f t="shared" ca="1" si="0"/>
        <v>0</v>
      </c>
      <c r="L13" s="68">
        <f t="shared" ca="1" si="1"/>
        <v>0</v>
      </c>
      <c r="M13" s="68">
        <f t="shared" ca="1" si="2"/>
        <v>0</v>
      </c>
      <c r="N13" s="68" t="b">
        <f t="shared" ca="1" si="3"/>
        <v>0</v>
      </c>
      <c r="O13" s="68" t="str">
        <f t="shared" ca="1" si="4"/>
        <v/>
      </c>
      <c r="P13" s="68"/>
      <c r="Q13" s="68"/>
      <c r="R13" s="68"/>
      <c r="S13" s="68"/>
      <c r="T13" s="68"/>
      <c r="U13" s="68"/>
    </row>
    <row r="14" spans="1:21">
      <c r="A14" s="81">
        <v>12</v>
      </c>
      <c r="B14" s="44"/>
      <c r="C14" s="45"/>
      <c r="D14" s="47"/>
      <c r="E14" s="46">
        <v>0</v>
      </c>
      <c r="F14" s="51"/>
      <c r="G14" s="52"/>
      <c r="H14" s="52"/>
      <c r="I14" s="47"/>
      <c r="J14" s="44"/>
      <c r="K14" s="24">
        <f t="shared" ca="1" si="0"/>
        <v>0</v>
      </c>
      <c r="L14" s="68">
        <f t="shared" ca="1" si="1"/>
        <v>0</v>
      </c>
      <c r="M14" s="68">
        <f t="shared" ca="1" si="2"/>
        <v>0</v>
      </c>
      <c r="N14" s="68" t="b">
        <f t="shared" ca="1" si="3"/>
        <v>0</v>
      </c>
      <c r="O14" s="68" t="str">
        <f t="shared" ca="1" si="4"/>
        <v/>
      </c>
      <c r="P14" s="68"/>
      <c r="Q14" s="68"/>
      <c r="R14" s="68"/>
      <c r="S14" s="68"/>
      <c r="T14" s="68"/>
      <c r="U14" s="68"/>
    </row>
    <row r="15" spans="1:21">
      <c r="A15" s="81">
        <v>13</v>
      </c>
      <c r="B15" s="44"/>
      <c r="C15" s="45"/>
      <c r="D15" s="47"/>
      <c r="E15" s="46">
        <v>0</v>
      </c>
      <c r="F15" s="51"/>
      <c r="G15" s="52"/>
      <c r="H15" s="52"/>
      <c r="I15" s="47"/>
      <c r="J15" s="44"/>
      <c r="K15" s="24">
        <f t="shared" ca="1" si="0"/>
        <v>0</v>
      </c>
      <c r="L15" s="68">
        <f t="shared" ca="1" si="1"/>
        <v>0</v>
      </c>
      <c r="M15" s="68">
        <f t="shared" ca="1" si="2"/>
        <v>0</v>
      </c>
      <c r="N15" s="68" t="b">
        <f t="shared" ca="1" si="3"/>
        <v>0</v>
      </c>
      <c r="O15" s="68" t="str">
        <f t="shared" ca="1" si="4"/>
        <v/>
      </c>
      <c r="P15" s="68"/>
      <c r="Q15" s="68"/>
      <c r="R15" s="68"/>
      <c r="S15" s="68"/>
      <c r="T15" s="68"/>
      <c r="U15" s="68"/>
    </row>
    <row r="16" spans="1:21">
      <c r="A16" s="81">
        <v>14</v>
      </c>
      <c r="B16" s="44"/>
      <c r="C16" s="45"/>
      <c r="D16" s="47"/>
      <c r="E16" s="46">
        <v>0</v>
      </c>
      <c r="F16" s="51"/>
      <c r="G16" s="52"/>
      <c r="H16" s="52"/>
      <c r="I16" s="47"/>
      <c r="J16" s="44"/>
      <c r="K16" s="24">
        <f t="shared" ca="1" si="0"/>
        <v>0</v>
      </c>
      <c r="L16" s="68">
        <f t="shared" ca="1" si="1"/>
        <v>0</v>
      </c>
      <c r="M16" s="68">
        <f t="shared" ca="1" si="2"/>
        <v>0</v>
      </c>
      <c r="N16" s="68" t="b">
        <f t="shared" ca="1" si="3"/>
        <v>0</v>
      </c>
      <c r="O16" s="68" t="str">
        <f t="shared" ca="1" si="4"/>
        <v/>
      </c>
      <c r="P16" s="68"/>
      <c r="Q16" s="68"/>
      <c r="R16" s="68"/>
      <c r="S16" s="68"/>
      <c r="T16" s="68"/>
      <c r="U16" s="68"/>
    </row>
    <row r="17" spans="1:21">
      <c r="A17" s="81">
        <v>15</v>
      </c>
      <c r="B17" s="44"/>
      <c r="C17" s="45"/>
      <c r="D17" s="47"/>
      <c r="E17" s="46">
        <v>0</v>
      </c>
      <c r="F17" s="51"/>
      <c r="G17" s="52"/>
      <c r="H17" s="52"/>
      <c r="I17" s="53"/>
      <c r="J17" s="44"/>
      <c r="K17" s="24">
        <f t="shared" ca="1" si="0"/>
        <v>0</v>
      </c>
      <c r="L17" s="68">
        <f t="shared" ca="1" si="1"/>
        <v>0</v>
      </c>
      <c r="M17" s="68">
        <f t="shared" ca="1" si="2"/>
        <v>0</v>
      </c>
      <c r="N17" s="68" t="b">
        <f t="shared" ca="1" si="3"/>
        <v>0</v>
      </c>
      <c r="O17" s="68" t="str">
        <f t="shared" ca="1" si="4"/>
        <v/>
      </c>
      <c r="P17" s="68"/>
      <c r="Q17" s="68"/>
      <c r="R17" s="68"/>
      <c r="S17" s="68"/>
      <c r="T17" s="68"/>
      <c r="U17" s="68"/>
    </row>
    <row r="18" spans="1:21">
      <c r="A18" s="81">
        <v>16</v>
      </c>
      <c r="B18" s="44"/>
      <c r="C18" s="45"/>
      <c r="D18" s="47"/>
      <c r="E18" s="46">
        <v>0</v>
      </c>
      <c r="F18" s="51"/>
      <c r="G18" s="52"/>
      <c r="H18" s="52"/>
      <c r="I18" s="47"/>
      <c r="J18" s="44"/>
      <c r="K18" s="24">
        <f t="shared" ca="1" si="0"/>
        <v>0</v>
      </c>
      <c r="L18" s="68">
        <f t="shared" ca="1" si="1"/>
        <v>0</v>
      </c>
      <c r="M18" s="68">
        <f t="shared" ca="1" si="2"/>
        <v>0</v>
      </c>
      <c r="N18" s="68" t="b">
        <f t="shared" ca="1" si="3"/>
        <v>0</v>
      </c>
      <c r="O18" s="68" t="str">
        <f t="shared" ca="1" si="4"/>
        <v/>
      </c>
      <c r="P18" s="68"/>
      <c r="Q18" s="68"/>
      <c r="R18" s="68"/>
      <c r="S18" s="68"/>
      <c r="T18" s="68"/>
      <c r="U18" s="68"/>
    </row>
    <row r="19" spans="1:21">
      <c r="A19" s="81">
        <v>17</v>
      </c>
      <c r="B19" s="44"/>
      <c r="C19" s="45"/>
      <c r="D19" s="47"/>
      <c r="E19" s="46">
        <v>0</v>
      </c>
      <c r="F19" s="51"/>
      <c r="G19" s="52"/>
      <c r="H19" s="52"/>
      <c r="I19" s="53"/>
      <c r="J19" s="44"/>
      <c r="K19" s="24">
        <f t="shared" ca="1" si="0"/>
        <v>0</v>
      </c>
      <c r="L19" s="68">
        <f t="shared" ca="1" si="1"/>
        <v>0</v>
      </c>
      <c r="M19" s="68">
        <f t="shared" ca="1" si="2"/>
        <v>0</v>
      </c>
      <c r="N19" s="68" t="b">
        <f t="shared" ca="1" si="3"/>
        <v>0</v>
      </c>
      <c r="O19" s="68" t="str">
        <f t="shared" ca="1" si="4"/>
        <v/>
      </c>
      <c r="P19" s="68"/>
      <c r="Q19" s="68"/>
      <c r="R19" s="68"/>
      <c r="S19" s="68"/>
      <c r="T19" s="68"/>
      <c r="U19" s="68"/>
    </row>
    <row r="20" spans="1:21">
      <c r="A20" s="81">
        <v>18</v>
      </c>
      <c r="B20" s="44"/>
      <c r="C20" s="45"/>
      <c r="D20" s="47"/>
      <c r="E20" s="46">
        <v>0</v>
      </c>
      <c r="F20" s="51"/>
      <c r="G20" s="52"/>
      <c r="H20" s="52"/>
      <c r="I20" s="47"/>
      <c r="J20" s="44"/>
      <c r="K20" s="24">
        <f t="shared" ca="1" si="0"/>
        <v>0</v>
      </c>
      <c r="L20" s="68">
        <f t="shared" ca="1" si="1"/>
        <v>0</v>
      </c>
      <c r="M20" s="68">
        <f t="shared" ca="1" si="2"/>
        <v>0</v>
      </c>
      <c r="N20" s="68" t="b">
        <f t="shared" ca="1" si="3"/>
        <v>0</v>
      </c>
      <c r="O20" s="68" t="str">
        <f t="shared" ca="1" si="4"/>
        <v/>
      </c>
      <c r="P20" s="68"/>
      <c r="Q20" s="68"/>
      <c r="R20" s="68"/>
      <c r="S20" s="68"/>
      <c r="T20" s="68"/>
      <c r="U20" s="68"/>
    </row>
    <row r="21" spans="1:21">
      <c r="A21" s="81">
        <v>19</v>
      </c>
      <c r="B21" s="44"/>
      <c r="C21" s="45"/>
      <c r="D21" s="47"/>
      <c r="E21" s="46">
        <v>0</v>
      </c>
      <c r="F21" s="51"/>
      <c r="G21" s="52"/>
      <c r="H21" s="52"/>
      <c r="I21" s="47"/>
      <c r="J21" s="44"/>
      <c r="K21" s="24">
        <f t="shared" ca="1" si="0"/>
        <v>0</v>
      </c>
      <c r="L21" s="68">
        <f t="shared" ca="1" si="1"/>
        <v>0</v>
      </c>
      <c r="M21" s="68">
        <f t="shared" ca="1" si="2"/>
        <v>0</v>
      </c>
      <c r="N21" s="68" t="b">
        <f t="shared" ca="1" si="3"/>
        <v>0</v>
      </c>
      <c r="O21" s="68" t="str">
        <f t="shared" ca="1" si="4"/>
        <v/>
      </c>
      <c r="P21" s="68"/>
      <c r="Q21" s="68"/>
      <c r="R21" s="68"/>
      <c r="S21" s="68"/>
      <c r="T21" s="68"/>
      <c r="U21" s="68"/>
    </row>
    <row r="22" spans="1:21">
      <c r="A22" s="81">
        <v>20</v>
      </c>
      <c r="B22" s="44"/>
      <c r="C22" s="45"/>
      <c r="D22" s="47"/>
      <c r="E22" s="46">
        <v>0</v>
      </c>
      <c r="F22" s="51"/>
      <c r="G22" s="52"/>
      <c r="H22" s="52"/>
      <c r="I22" s="47"/>
      <c r="J22" s="44"/>
      <c r="K22" s="24">
        <f t="shared" ca="1" si="0"/>
        <v>0</v>
      </c>
      <c r="L22" s="68">
        <f t="shared" ca="1" si="1"/>
        <v>0</v>
      </c>
      <c r="M22" s="68">
        <f t="shared" ca="1" si="2"/>
        <v>0</v>
      </c>
      <c r="N22" s="68" t="b">
        <f t="shared" ca="1" si="3"/>
        <v>0</v>
      </c>
      <c r="O22" s="68" t="str">
        <f t="shared" ca="1" si="4"/>
        <v/>
      </c>
      <c r="P22" s="68"/>
      <c r="Q22" s="68"/>
      <c r="R22" s="68"/>
      <c r="S22" s="68"/>
      <c r="T22" s="68"/>
      <c r="U22" s="68"/>
    </row>
    <row r="23" spans="1:21" ht="15.75">
      <c r="A23" s="82">
        <v>21</v>
      </c>
      <c r="B23" s="44"/>
      <c r="C23" s="45"/>
      <c r="D23" s="47"/>
      <c r="E23" s="46">
        <v>0</v>
      </c>
      <c r="F23" s="51"/>
      <c r="G23" s="52"/>
      <c r="H23" s="52"/>
      <c r="I23" s="47"/>
      <c r="J23" s="44"/>
      <c r="K23" s="24">
        <f t="shared" ca="1" si="0"/>
        <v>0</v>
      </c>
      <c r="L23" s="68">
        <f t="shared" ca="1" si="1"/>
        <v>0</v>
      </c>
      <c r="M23" s="68">
        <f t="shared" ca="1" si="2"/>
        <v>0</v>
      </c>
      <c r="N23" s="68" t="b">
        <f t="shared" ca="1" si="3"/>
        <v>0</v>
      </c>
      <c r="O23" s="68" t="str">
        <f t="shared" ca="1" si="4"/>
        <v/>
      </c>
      <c r="P23" s="68"/>
      <c r="Q23" s="68"/>
      <c r="R23" s="68"/>
      <c r="S23" s="68"/>
      <c r="T23" s="68"/>
      <c r="U23" s="68"/>
    </row>
    <row r="24" spans="1:21" ht="15.75">
      <c r="A24" s="82">
        <v>22</v>
      </c>
      <c r="B24" s="44"/>
      <c r="C24" s="45"/>
      <c r="D24" s="47"/>
      <c r="E24" s="46">
        <v>0</v>
      </c>
      <c r="F24" s="51"/>
      <c r="G24" s="52"/>
      <c r="H24" s="52"/>
      <c r="I24" s="47"/>
      <c r="J24" s="44"/>
      <c r="K24" s="24">
        <f t="shared" ca="1" si="0"/>
        <v>0</v>
      </c>
      <c r="L24" s="68">
        <f t="shared" ca="1" si="1"/>
        <v>0</v>
      </c>
      <c r="M24" s="68">
        <f t="shared" ca="1" si="2"/>
        <v>0</v>
      </c>
      <c r="N24" s="68" t="b">
        <f t="shared" ca="1" si="3"/>
        <v>0</v>
      </c>
      <c r="O24" s="68" t="str">
        <f t="shared" ca="1" si="4"/>
        <v/>
      </c>
      <c r="P24" s="68"/>
      <c r="Q24" s="68"/>
      <c r="R24" s="68"/>
      <c r="S24" s="68"/>
      <c r="T24" s="68"/>
      <c r="U24" s="68"/>
    </row>
    <row r="25" spans="1:21" ht="15.75">
      <c r="A25" s="82">
        <v>23</v>
      </c>
      <c r="B25" s="44"/>
      <c r="C25" s="45"/>
      <c r="D25" s="47"/>
      <c r="E25" s="46">
        <v>0</v>
      </c>
      <c r="F25" s="51"/>
      <c r="G25" s="52"/>
      <c r="H25" s="52"/>
      <c r="I25" s="47"/>
      <c r="J25" s="44"/>
      <c r="K25" s="24">
        <f t="shared" ca="1" si="0"/>
        <v>0</v>
      </c>
      <c r="L25" s="68">
        <f t="shared" ca="1" si="1"/>
        <v>0</v>
      </c>
      <c r="M25" s="68">
        <f t="shared" ca="1" si="2"/>
        <v>0</v>
      </c>
      <c r="N25" s="68" t="b">
        <f t="shared" ca="1" si="3"/>
        <v>0</v>
      </c>
      <c r="O25" s="68" t="str">
        <f t="shared" ca="1" si="4"/>
        <v/>
      </c>
      <c r="P25" s="68"/>
      <c r="Q25" s="68"/>
      <c r="R25" s="68"/>
      <c r="S25" s="68"/>
      <c r="T25" s="68"/>
      <c r="U25" s="68"/>
    </row>
    <row r="26" spans="1:21" ht="15.75">
      <c r="A26" s="82">
        <v>24</v>
      </c>
      <c r="B26" s="44"/>
      <c r="C26" s="45"/>
      <c r="D26" s="54"/>
      <c r="E26" s="46">
        <v>0</v>
      </c>
      <c r="F26" s="51"/>
      <c r="G26" s="52"/>
      <c r="H26" s="52"/>
      <c r="I26" s="47"/>
      <c r="J26" s="44"/>
      <c r="K26" s="24">
        <f t="shared" ca="1" si="0"/>
        <v>0</v>
      </c>
      <c r="L26" s="68">
        <f t="shared" ca="1" si="1"/>
        <v>0</v>
      </c>
      <c r="M26" s="68">
        <f t="shared" ca="1" si="2"/>
        <v>0</v>
      </c>
      <c r="N26" s="68" t="b">
        <f t="shared" ca="1" si="3"/>
        <v>0</v>
      </c>
      <c r="O26" s="68" t="str">
        <f t="shared" ca="1" si="4"/>
        <v/>
      </c>
      <c r="P26" s="68"/>
      <c r="Q26" s="68"/>
      <c r="R26" s="68"/>
      <c r="S26" s="68"/>
      <c r="T26" s="68"/>
      <c r="U26" s="68"/>
    </row>
    <row r="27" spans="1:21" ht="15.75">
      <c r="A27" s="83">
        <v>25</v>
      </c>
      <c r="B27" s="48"/>
      <c r="C27" s="49"/>
      <c r="D27" s="50"/>
      <c r="E27" s="46">
        <v>0</v>
      </c>
      <c r="F27" s="55"/>
      <c r="G27" s="56"/>
      <c r="H27" s="56"/>
      <c r="I27" s="50"/>
      <c r="J27" s="48"/>
      <c r="K27" s="25">
        <f t="shared" ca="1" si="0"/>
        <v>0</v>
      </c>
      <c r="L27" s="68">
        <f t="shared" ca="1" si="1"/>
        <v>0</v>
      </c>
      <c r="M27" s="68">
        <f t="shared" ca="1" si="2"/>
        <v>0</v>
      </c>
      <c r="N27" s="68" t="b">
        <f t="shared" ca="1" si="3"/>
        <v>0</v>
      </c>
      <c r="O27" s="68" t="str">
        <f ca="1">IF(C27="","",DATEDIF($C27,TODAY(),"m"))</f>
        <v/>
      </c>
      <c r="P27" s="68"/>
      <c r="Q27" s="68"/>
      <c r="R27" s="68"/>
      <c r="S27" s="68"/>
      <c r="T27" s="68"/>
      <c r="U27" s="68"/>
    </row>
  </sheetData>
  <sheetProtection algorithmName="SHA-512" hashValue="JAblHZa+kr6M7a3ZWpe8rksLWxAy0GFkGrZvsLnywlnuI3wBPbbVu8q8+jKMIiSAjI25QnmBFJt45iQqTBByTw==" saltValue="9Woe1nOM59ma4kXz9m8wxA==" spinCount="100000" sheet="1" objects="1" scenarios="1" selectLockedCells="1"/>
  <sortState xmlns:xlrd2="http://schemas.microsoft.com/office/spreadsheetml/2017/richdata2" ref="B3:I26">
    <sortCondition ref="B3"/>
  </sortState>
  <mergeCells count="1">
    <mergeCell ref="P4:T4"/>
  </mergeCells>
  <conditionalFormatting sqref="A3:K27">
    <cfRule type="expression" dxfId="255" priority="897">
      <formula>ROW()=CELL("LIN")</formula>
    </cfRule>
    <cfRule type="expression" dxfId="254" priority="898">
      <formula>IF($D3&lt;&gt;"",1,0)</formula>
    </cfRule>
  </conditionalFormatting>
  <conditionalFormatting sqref="O3:O27">
    <cfRule type="cellIs" dxfId="253" priority="947" operator="lessThan">
      <formula>$T$3</formula>
    </cfRule>
  </conditionalFormatting>
  <pageMargins left="1" right="1" top="1" bottom="1" header="0.5" footer="0.5"/>
  <pageSetup paperSize="9" scale="51" fitToHeight="0" orientation="landscape" horizontalDpi="300" verticalDpi="30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D2E43-FD12-419E-BDCC-89EF552F2D1E}">
  <sheetPr codeName="Planilha2"/>
  <dimension ref="A1:AE29"/>
  <sheetViews>
    <sheetView showGridLines="0" showRowColHeaders="0" view="pageBreakPreview" zoomScale="60" zoomScaleNormal="70" workbookViewId="0">
      <pane xSplit="4" topLeftCell="E1" activePane="topRight" state="frozen"/>
      <selection pane="topRight" activeCell="O10" sqref="O10"/>
    </sheetView>
  </sheetViews>
  <sheetFormatPr defaultRowHeight="12.75"/>
  <cols>
    <col min="2" max="2" width="39.28515625" bestFit="1" customWidth="1"/>
    <col min="3" max="3" width="20" customWidth="1"/>
    <col min="4" max="4" width="40.140625" customWidth="1"/>
    <col min="5" max="5" width="15.28515625" customWidth="1"/>
    <col min="6" max="6" width="16.28515625" customWidth="1"/>
    <col min="7" max="7" width="24.7109375" customWidth="1"/>
    <col min="8" max="8" width="15.140625" customWidth="1"/>
    <col min="9" max="9" width="14.5703125" customWidth="1"/>
    <col min="10" max="10" width="24.5703125" customWidth="1"/>
    <col min="12" max="12" width="14.140625" customWidth="1"/>
    <col min="13" max="13" width="15.140625" customWidth="1"/>
    <col min="14" max="14" width="23.5703125" customWidth="1"/>
    <col min="15" max="15" width="14.85546875" customWidth="1"/>
    <col min="16" max="16" width="15.85546875" customWidth="1"/>
    <col min="17" max="17" width="24.28515625" customWidth="1"/>
    <col min="19" max="19" width="15.140625" customWidth="1"/>
    <col min="20" max="20" width="16.140625" customWidth="1"/>
    <col min="21" max="21" width="24.5703125" customWidth="1"/>
    <col min="22" max="22" width="14.7109375" customWidth="1"/>
    <col min="23" max="23" width="15.7109375" customWidth="1"/>
    <col min="24" max="24" width="24.140625" customWidth="1"/>
    <col min="26" max="26" width="15" customWidth="1"/>
    <col min="27" max="27" width="16" customWidth="1"/>
    <col min="28" max="28" width="24.42578125" customWidth="1"/>
    <col min="29" max="29" width="15.140625" customWidth="1"/>
    <col min="30" max="30" width="16.140625" customWidth="1"/>
    <col min="31" max="31" width="24.5703125" customWidth="1"/>
  </cols>
  <sheetData>
    <row r="1" spans="1:31" ht="30" customHeight="1" thickBot="1">
      <c r="A1" s="124" t="str">
        <f>CONCATENATE('1P-A-Turma'!B2&amp;" - ",'1P-A-Turma'!B3)</f>
        <v>1º Período - Único - Tarde</v>
      </c>
      <c r="B1" s="124"/>
      <c r="C1" s="124"/>
      <c r="D1" s="125"/>
      <c r="E1" s="128" t="s">
        <v>41</v>
      </c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  <c r="V1" s="129"/>
      <c r="W1" s="129"/>
      <c r="X1" s="129"/>
      <c r="Y1" s="129"/>
      <c r="Z1" s="129"/>
      <c r="AA1" s="129"/>
      <c r="AB1" s="129"/>
      <c r="AC1" s="129"/>
      <c r="AD1" s="129"/>
      <c r="AE1" s="130"/>
    </row>
    <row r="2" spans="1:31" ht="16.5" customHeight="1" thickBot="1">
      <c r="A2" s="124"/>
      <c r="B2" s="124"/>
      <c r="C2" s="124"/>
      <c r="D2" s="125"/>
      <c r="E2" s="131" t="s">
        <v>37</v>
      </c>
      <c r="F2" s="132"/>
      <c r="G2" s="132"/>
      <c r="H2" s="132"/>
      <c r="I2" s="132"/>
      <c r="J2" s="132"/>
      <c r="K2" s="132"/>
      <c r="L2" s="132"/>
      <c r="M2" s="132"/>
      <c r="N2" s="132"/>
      <c r="O2" s="132"/>
      <c r="P2" s="132"/>
      <c r="Q2" s="133"/>
      <c r="R2" s="64"/>
      <c r="S2" s="131" t="s">
        <v>38</v>
      </c>
      <c r="T2" s="132"/>
      <c r="U2" s="132"/>
      <c r="V2" s="132"/>
      <c r="W2" s="132"/>
      <c r="X2" s="132"/>
      <c r="Y2" s="132"/>
      <c r="Z2" s="132"/>
      <c r="AA2" s="132"/>
      <c r="AB2" s="132"/>
      <c r="AC2" s="132"/>
      <c r="AD2" s="132"/>
      <c r="AE2" s="133"/>
    </row>
    <row r="3" spans="1:31" ht="15" customHeight="1">
      <c r="A3" s="126"/>
      <c r="B3" s="126"/>
      <c r="C3" s="126"/>
      <c r="D3" s="127"/>
      <c r="E3" s="134" t="s">
        <v>33</v>
      </c>
      <c r="F3" s="135"/>
      <c r="G3" s="136"/>
      <c r="H3" s="138" t="s">
        <v>34</v>
      </c>
      <c r="I3" s="139"/>
      <c r="J3" s="140"/>
      <c r="K3" s="64"/>
      <c r="L3" s="134" t="s">
        <v>35</v>
      </c>
      <c r="M3" s="135"/>
      <c r="N3" s="136"/>
      <c r="O3" s="138" t="s">
        <v>36</v>
      </c>
      <c r="P3" s="139"/>
      <c r="Q3" s="140"/>
      <c r="R3" s="64"/>
      <c r="S3" s="137" t="s">
        <v>39</v>
      </c>
      <c r="T3" s="135"/>
      <c r="U3" s="136"/>
      <c r="V3" s="141" t="s">
        <v>40</v>
      </c>
      <c r="W3" s="139"/>
      <c r="X3" s="140"/>
      <c r="Y3" s="64"/>
      <c r="Z3" s="134" t="s">
        <v>31</v>
      </c>
      <c r="AA3" s="135"/>
      <c r="AB3" s="136"/>
      <c r="AC3" s="138" t="s">
        <v>32</v>
      </c>
      <c r="AD3" s="139"/>
      <c r="AE3" s="140"/>
    </row>
    <row r="4" spans="1:31" ht="31.5">
      <c r="A4" s="63" t="s">
        <v>9</v>
      </c>
      <c r="B4" s="57" t="s">
        <v>10</v>
      </c>
      <c r="C4" s="58" t="s">
        <v>13</v>
      </c>
      <c r="D4" s="59" t="s">
        <v>16</v>
      </c>
      <c r="E4" s="31" t="s">
        <v>42</v>
      </c>
      <c r="F4" s="32" t="s">
        <v>43</v>
      </c>
      <c r="G4" s="33" t="s">
        <v>44</v>
      </c>
      <c r="H4" s="34" t="s">
        <v>46</v>
      </c>
      <c r="I4" s="35" t="s">
        <v>45</v>
      </c>
      <c r="J4" s="36" t="s">
        <v>51</v>
      </c>
      <c r="K4" s="65" t="s">
        <v>47</v>
      </c>
      <c r="L4" s="37" t="s">
        <v>48</v>
      </c>
      <c r="M4" s="32" t="s">
        <v>49</v>
      </c>
      <c r="N4" s="33" t="s">
        <v>50</v>
      </c>
      <c r="O4" s="34" t="s">
        <v>52</v>
      </c>
      <c r="P4" s="35" t="s">
        <v>53</v>
      </c>
      <c r="Q4" s="36" t="s">
        <v>54</v>
      </c>
      <c r="R4" s="65" t="s">
        <v>55</v>
      </c>
      <c r="S4" s="37" t="s">
        <v>56</v>
      </c>
      <c r="T4" s="32" t="s">
        <v>57</v>
      </c>
      <c r="U4" s="33" t="s">
        <v>58</v>
      </c>
      <c r="V4" s="34" t="s">
        <v>59</v>
      </c>
      <c r="W4" s="35" t="s">
        <v>60</v>
      </c>
      <c r="X4" s="36" t="s">
        <v>61</v>
      </c>
      <c r="Y4" s="65" t="s">
        <v>62</v>
      </c>
      <c r="Z4" s="37" t="s">
        <v>63</v>
      </c>
      <c r="AA4" s="32" t="s">
        <v>64</v>
      </c>
      <c r="AB4" s="33" t="s">
        <v>65</v>
      </c>
      <c r="AC4" s="34" t="s">
        <v>66</v>
      </c>
      <c r="AD4" s="35" t="s">
        <v>67</v>
      </c>
      <c r="AE4" s="38" t="s">
        <v>68</v>
      </c>
    </row>
    <row r="5" spans="1:31" ht="15">
      <c r="A5" s="72">
        <v>1</v>
      </c>
      <c r="B5" s="60" t="str">
        <f>IF('1P-A'!B3&lt;&gt;0,'1P-A'!B3,"")</f>
        <v/>
      </c>
      <c r="C5" s="61" t="str">
        <f>IF('1P-A'!C3&lt;&gt;0,'1P-A'!C3,"")</f>
        <v/>
      </c>
      <c r="D5" s="62" t="str">
        <f>IF('1P-A'!D3&lt;&gt;0,'1P-A'!D3,"")</f>
        <v/>
      </c>
      <c r="E5" s="43">
        <v>6</v>
      </c>
      <c r="F5" s="42">
        <v>4</v>
      </c>
      <c r="G5" s="28">
        <f t="shared" ref="G5:G29" si="0">ROUND((E5*100)/(E5+F5),0)/100</f>
        <v>0.6</v>
      </c>
      <c r="H5" s="39"/>
      <c r="I5" s="40"/>
      <c r="J5" s="29" t="e">
        <f t="shared" ref="J5:J29" si="1">ROUND((H5*100)/(H5+I5),0)/100</f>
        <v>#DIV/0!</v>
      </c>
      <c r="K5" s="87">
        <f>Tabela27[[#This Row],[Nº]]</f>
        <v>1</v>
      </c>
      <c r="L5" s="41"/>
      <c r="M5" s="42"/>
      <c r="N5" s="28" t="e">
        <f t="shared" ref="N5:N29" si="2">ROUND((L5*100)/(L5+M5),0)/100</f>
        <v>#DIV/0!</v>
      </c>
      <c r="O5" s="39"/>
      <c r="P5" s="40"/>
      <c r="Q5" s="29" t="e">
        <f t="shared" ref="Q5:Q29" si="3">ROUND((O5*100)/(O5+P5),0)/100</f>
        <v>#DIV/0!</v>
      </c>
      <c r="R5" s="87">
        <f>Tabela27[[#This Row],[Nº]]</f>
        <v>1</v>
      </c>
      <c r="S5" s="41"/>
      <c r="T5" s="42"/>
      <c r="U5" s="28" t="e">
        <f t="shared" ref="U5:U29" si="4">ROUND((S5*100)/(S5+T5),0)/100</f>
        <v>#DIV/0!</v>
      </c>
      <c r="V5" s="39"/>
      <c r="W5" s="40"/>
      <c r="X5" s="29" t="e">
        <f t="shared" ref="X5:X29" si="5">ROUND((V5*100)/(V5+W5),0)/100</f>
        <v>#DIV/0!</v>
      </c>
      <c r="Y5" s="87">
        <f>Tabela27[[#This Row],[Nº]]</f>
        <v>1</v>
      </c>
      <c r="Z5" s="41"/>
      <c r="AA5" s="42"/>
      <c r="AB5" s="28" t="e">
        <f t="shared" ref="AB5:AB29" si="6">ROUND((Z5*100)/(Z5+AA5),0)/100</f>
        <v>#DIV/0!</v>
      </c>
      <c r="AC5" s="39"/>
      <c r="AD5" s="40"/>
      <c r="AE5" s="30" t="e">
        <f t="shared" ref="AE5:AE29" si="7">ROUND((AC5*100)/(AC5+AD5),0)/100</f>
        <v>#DIV/0!</v>
      </c>
    </row>
    <row r="6" spans="1:31" ht="15">
      <c r="A6" s="72">
        <v>2</v>
      </c>
      <c r="B6" s="60" t="str">
        <f>IF('1P-A'!B4&lt;&gt;0,'1P-A'!B4,"")</f>
        <v/>
      </c>
      <c r="C6" s="61" t="str">
        <f>IF('1P-A'!C4&lt;&gt;0,'1P-A'!C4,"")</f>
        <v/>
      </c>
      <c r="D6" s="62" t="str">
        <f>IF('1P-A'!D4&lt;&gt;0,'1P-A'!D4,"")</f>
        <v/>
      </c>
      <c r="E6" s="43"/>
      <c r="F6" s="42"/>
      <c r="G6" s="28" t="e">
        <f t="shared" si="0"/>
        <v>#DIV/0!</v>
      </c>
      <c r="H6" s="39"/>
      <c r="I6" s="40"/>
      <c r="J6" s="29" t="e">
        <f t="shared" si="1"/>
        <v>#DIV/0!</v>
      </c>
      <c r="K6" s="87">
        <f>Tabela27[[#This Row],[Nº]]</f>
        <v>2</v>
      </c>
      <c r="L6" s="41"/>
      <c r="M6" s="42"/>
      <c r="N6" s="28" t="e">
        <f t="shared" si="2"/>
        <v>#DIV/0!</v>
      </c>
      <c r="O6" s="39"/>
      <c r="P6" s="40"/>
      <c r="Q6" s="29" t="e">
        <f t="shared" si="3"/>
        <v>#DIV/0!</v>
      </c>
      <c r="R6" s="87">
        <f>Tabela27[[#This Row],[Nº]]</f>
        <v>2</v>
      </c>
      <c r="S6" s="41"/>
      <c r="T6" s="42"/>
      <c r="U6" s="28" t="e">
        <f t="shared" si="4"/>
        <v>#DIV/0!</v>
      </c>
      <c r="V6" s="39"/>
      <c r="W6" s="40"/>
      <c r="X6" s="29" t="e">
        <f t="shared" si="5"/>
        <v>#DIV/0!</v>
      </c>
      <c r="Y6" s="87">
        <f>Tabela27[[#This Row],[Nº]]</f>
        <v>2</v>
      </c>
      <c r="Z6" s="41"/>
      <c r="AA6" s="42"/>
      <c r="AB6" s="28" t="e">
        <f t="shared" si="6"/>
        <v>#DIV/0!</v>
      </c>
      <c r="AC6" s="39"/>
      <c r="AD6" s="40"/>
      <c r="AE6" s="30" t="e">
        <f t="shared" si="7"/>
        <v>#DIV/0!</v>
      </c>
    </row>
    <row r="7" spans="1:31" ht="15">
      <c r="A7" s="72">
        <v>3</v>
      </c>
      <c r="B7" s="60" t="str">
        <f>IF('1P-A'!B5&lt;&gt;0,'1P-A'!B5,"")</f>
        <v/>
      </c>
      <c r="C7" s="61" t="str">
        <f>IF('1P-A'!C5&lt;&gt;0,'1P-A'!C5,"")</f>
        <v/>
      </c>
      <c r="D7" s="62" t="str">
        <f>IF('1P-A'!D5&lt;&gt;0,'1P-A'!D5,"")</f>
        <v/>
      </c>
      <c r="E7" s="43"/>
      <c r="F7" s="42"/>
      <c r="G7" s="28" t="e">
        <f t="shared" si="0"/>
        <v>#DIV/0!</v>
      </c>
      <c r="H7" s="39"/>
      <c r="I7" s="40"/>
      <c r="J7" s="29" t="e">
        <f t="shared" si="1"/>
        <v>#DIV/0!</v>
      </c>
      <c r="K7" s="87">
        <f>Tabela27[[#This Row],[Nº]]</f>
        <v>3</v>
      </c>
      <c r="L7" s="41"/>
      <c r="M7" s="42"/>
      <c r="N7" s="28" t="e">
        <f t="shared" si="2"/>
        <v>#DIV/0!</v>
      </c>
      <c r="O7" s="39"/>
      <c r="P7" s="40"/>
      <c r="Q7" s="29" t="e">
        <f t="shared" si="3"/>
        <v>#DIV/0!</v>
      </c>
      <c r="R7" s="87">
        <f>Tabela27[[#This Row],[Nº]]</f>
        <v>3</v>
      </c>
      <c r="S7" s="41"/>
      <c r="T7" s="42"/>
      <c r="U7" s="28" t="e">
        <f t="shared" si="4"/>
        <v>#DIV/0!</v>
      </c>
      <c r="V7" s="39"/>
      <c r="W7" s="40"/>
      <c r="X7" s="29" t="e">
        <f t="shared" si="5"/>
        <v>#DIV/0!</v>
      </c>
      <c r="Y7" s="87">
        <f>Tabela27[[#This Row],[Nº]]</f>
        <v>3</v>
      </c>
      <c r="Z7" s="41"/>
      <c r="AA7" s="42"/>
      <c r="AB7" s="28" t="e">
        <f t="shared" si="6"/>
        <v>#DIV/0!</v>
      </c>
      <c r="AC7" s="39"/>
      <c r="AD7" s="40"/>
      <c r="AE7" s="30" t="e">
        <f t="shared" si="7"/>
        <v>#DIV/0!</v>
      </c>
    </row>
    <row r="8" spans="1:31" ht="15">
      <c r="A8" s="72">
        <v>4</v>
      </c>
      <c r="B8" s="60" t="str">
        <f>IF('1P-A'!B6&lt;&gt;0,'1P-A'!B6,"")</f>
        <v/>
      </c>
      <c r="C8" s="61" t="str">
        <f>IF('1P-A'!C6&lt;&gt;0,'1P-A'!C6,"")</f>
        <v/>
      </c>
      <c r="D8" s="62" t="str">
        <f>IF('1P-A'!D6&lt;&gt;0,'1P-A'!D6,"")</f>
        <v/>
      </c>
      <c r="E8" s="43"/>
      <c r="F8" s="42"/>
      <c r="G8" s="28" t="e">
        <f t="shared" si="0"/>
        <v>#DIV/0!</v>
      </c>
      <c r="H8" s="39"/>
      <c r="I8" s="40"/>
      <c r="J8" s="29" t="e">
        <f t="shared" si="1"/>
        <v>#DIV/0!</v>
      </c>
      <c r="K8" s="87">
        <f>Tabela27[[#This Row],[Nº]]</f>
        <v>4</v>
      </c>
      <c r="L8" s="41"/>
      <c r="M8" s="42"/>
      <c r="N8" s="28" t="e">
        <f t="shared" si="2"/>
        <v>#DIV/0!</v>
      </c>
      <c r="O8" s="39"/>
      <c r="P8" s="40"/>
      <c r="Q8" s="29" t="e">
        <f t="shared" si="3"/>
        <v>#DIV/0!</v>
      </c>
      <c r="R8" s="87">
        <f>Tabela27[[#This Row],[Nº]]</f>
        <v>4</v>
      </c>
      <c r="S8" s="41"/>
      <c r="T8" s="42"/>
      <c r="U8" s="28" t="e">
        <f t="shared" si="4"/>
        <v>#DIV/0!</v>
      </c>
      <c r="V8" s="39"/>
      <c r="W8" s="40"/>
      <c r="X8" s="29" t="e">
        <f t="shared" si="5"/>
        <v>#DIV/0!</v>
      </c>
      <c r="Y8" s="87">
        <f>Tabela27[[#This Row],[Nº]]</f>
        <v>4</v>
      </c>
      <c r="Z8" s="41"/>
      <c r="AA8" s="42"/>
      <c r="AB8" s="28" t="e">
        <f t="shared" si="6"/>
        <v>#DIV/0!</v>
      </c>
      <c r="AC8" s="39"/>
      <c r="AD8" s="40"/>
      <c r="AE8" s="30" t="e">
        <f t="shared" si="7"/>
        <v>#DIV/0!</v>
      </c>
    </row>
    <row r="9" spans="1:31" ht="15">
      <c r="A9" s="72">
        <v>5</v>
      </c>
      <c r="B9" s="60" t="str">
        <f>IF('1P-A'!B7&lt;&gt;0,'1P-A'!B7,"")</f>
        <v/>
      </c>
      <c r="C9" s="61" t="str">
        <f>IF('1P-A'!C7&lt;&gt;0,'1P-A'!C7,"")</f>
        <v/>
      </c>
      <c r="D9" s="62" t="str">
        <f>IF('1P-A'!D7&lt;&gt;0,'1P-A'!D7,"")</f>
        <v/>
      </c>
      <c r="E9" s="43"/>
      <c r="F9" s="42"/>
      <c r="G9" s="28" t="e">
        <f t="shared" si="0"/>
        <v>#DIV/0!</v>
      </c>
      <c r="H9" s="39"/>
      <c r="I9" s="40"/>
      <c r="J9" s="29" t="e">
        <f t="shared" si="1"/>
        <v>#DIV/0!</v>
      </c>
      <c r="K9" s="87">
        <f>Tabela27[[#This Row],[Nº]]</f>
        <v>5</v>
      </c>
      <c r="L9" s="41"/>
      <c r="M9" s="42"/>
      <c r="N9" s="28" t="e">
        <f t="shared" si="2"/>
        <v>#DIV/0!</v>
      </c>
      <c r="O9" s="39"/>
      <c r="P9" s="40"/>
      <c r="Q9" s="29" t="e">
        <f t="shared" si="3"/>
        <v>#DIV/0!</v>
      </c>
      <c r="R9" s="87">
        <f>Tabela27[[#This Row],[Nº]]</f>
        <v>5</v>
      </c>
      <c r="S9" s="41"/>
      <c r="T9" s="42"/>
      <c r="U9" s="28" t="e">
        <f t="shared" si="4"/>
        <v>#DIV/0!</v>
      </c>
      <c r="V9" s="39"/>
      <c r="W9" s="40"/>
      <c r="X9" s="29" t="e">
        <f t="shared" si="5"/>
        <v>#DIV/0!</v>
      </c>
      <c r="Y9" s="87">
        <f>Tabela27[[#This Row],[Nº]]</f>
        <v>5</v>
      </c>
      <c r="Z9" s="41"/>
      <c r="AA9" s="42"/>
      <c r="AB9" s="28" t="e">
        <f t="shared" si="6"/>
        <v>#DIV/0!</v>
      </c>
      <c r="AC9" s="39"/>
      <c r="AD9" s="40"/>
      <c r="AE9" s="30" t="e">
        <f t="shared" si="7"/>
        <v>#DIV/0!</v>
      </c>
    </row>
    <row r="10" spans="1:31" ht="15">
      <c r="A10" s="72">
        <v>6</v>
      </c>
      <c r="B10" s="60" t="str">
        <f>IF('1P-A'!B8&lt;&gt;0,'1P-A'!B8,"")</f>
        <v/>
      </c>
      <c r="C10" s="61" t="str">
        <f>IF('1P-A'!C8&lt;&gt;0,'1P-A'!C8,"")</f>
        <v/>
      </c>
      <c r="D10" s="62" t="str">
        <f>IF('1P-A'!D8&lt;&gt;0,'1P-A'!D8,"")</f>
        <v/>
      </c>
      <c r="E10" s="43"/>
      <c r="F10" s="42"/>
      <c r="G10" s="28" t="e">
        <f t="shared" si="0"/>
        <v>#DIV/0!</v>
      </c>
      <c r="H10" s="39"/>
      <c r="I10" s="40"/>
      <c r="J10" s="29" t="e">
        <f t="shared" si="1"/>
        <v>#DIV/0!</v>
      </c>
      <c r="K10" s="87">
        <f>Tabela27[[#This Row],[Nº]]</f>
        <v>6</v>
      </c>
      <c r="L10" s="41"/>
      <c r="M10" s="42"/>
      <c r="N10" s="28" t="e">
        <f t="shared" si="2"/>
        <v>#DIV/0!</v>
      </c>
      <c r="O10" s="39"/>
      <c r="P10" s="40"/>
      <c r="Q10" s="29" t="e">
        <f t="shared" si="3"/>
        <v>#DIV/0!</v>
      </c>
      <c r="R10" s="87">
        <f>Tabela27[[#This Row],[Nº]]</f>
        <v>6</v>
      </c>
      <c r="S10" s="41"/>
      <c r="T10" s="42"/>
      <c r="U10" s="28" t="e">
        <f t="shared" si="4"/>
        <v>#DIV/0!</v>
      </c>
      <c r="V10" s="39"/>
      <c r="W10" s="40"/>
      <c r="X10" s="29" t="e">
        <f t="shared" si="5"/>
        <v>#DIV/0!</v>
      </c>
      <c r="Y10" s="87">
        <f>Tabela27[[#This Row],[Nº]]</f>
        <v>6</v>
      </c>
      <c r="Z10" s="41"/>
      <c r="AA10" s="42"/>
      <c r="AB10" s="28" t="e">
        <f t="shared" si="6"/>
        <v>#DIV/0!</v>
      </c>
      <c r="AC10" s="39"/>
      <c r="AD10" s="40"/>
      <c r="AE10" s="30" t="e">
        <f t="shared" si="7"/>
        <v>#DIV/0!</v>
      </c>
    </row>
    <row r="11" spans="1:31" ht="15">
      <c r="A11" s="72">
        <v>7</v>
      </c>
      <c r="B11" s="60" t="str">
        <f>IF('1P-A'!B9&lt;&gt;0,'1P-A'!B9,"")</f>
        <v/>
      </c>
      <c r="C11" s="61" t="str">
        <f>IF('1P-A'!C9&lt;&gt;0,'1P-A'!C9,"")</f>
        <v/>
      </c>
      <c r="D11" s="62" t="str">
        <f>IF('1P-A'!D9&lt;&gt;0,'1P-A'!D9,"")</f>
        <v/>
      </c>
      <c r="E11" s="43"/>
      <c r="F11" s="42"/>
      <c r="G11" s="28" t="e">
        <f t="shared" si="0"/>
        <v>#DIV/0!</v>
      </c>
      <c r="H11" s="39"/>
      <c r="I11" s="40"/>
      <c r="J11" s="29" t="e">
        <f t="shared" si="1"/>
        <v>#DIV/0!</v>
      </c>
      <c r="K11" s="87">
        <f>Tabela27[[#This Row],[Nº]]</f>
        <v>7</v>
      </c>
      <c r="L11" s="41"/>
      <c r="M11" s="42"/>
      <c r="N11" s="28" t="e">
        <f t="shared" si="2"/>
        <v>#DIV/0!</v>
      </c>
      <c r="O11" s="39"/>
      <c r="P11" s="40"/>
      <c r="Q11" s="29" t="e">
        <f t="shared" si="3"/>
        <v>#DIV/0!</v>
      </c>
      <c r="R11" s="87">
        <f>Tabela27[[#This Row],[Nº]]</f>
        <v>7</v>
      </c>
      <c r="S11" s="41"/>
      <c r="T11" s="42"/>
      <c r="U11" s="28" t="e">
        <f t="shared" si="4"/>
        <v>#DIV/0!</v>
      </c>
      <c r="V11" s="39"/>
      <c r="W11" s="40"/>
      <c r="X11" s="29" t="e">
        <f t="shared" si="5"/>
        <v>#DIV/0!</v>
      </c>
      <c r="Y11" s="87">
        <f>Tabela27[[#This Row],[Nº]]</f>
        <v>7</v>
      </c>
      <c r="Z11" s="41"/>
      <c r="AA11" s="42"/>
      <c r="AB11" s="28" t="e">
        <f t="shared" si="6"/>
        <v>#DIV/0!</v>
      </c>
      <c r="AC11" s="39"/>
      <c r="AD11" s="40"/>
      <c r="AE11" s="30" t="e">
        <f t="shared" si="7"/>
        <v>#DIV/0!</v>
      </c>
    </row>
    <row r="12" spans="1:31" ht="15">
      <c r="A12" s="72">
        <v>8</v>
      </c>
      <c r="B12" s="60" t="str">
        <f>IF('1P-A'!B10&lt;&gt;0,'1P-A'!B10,"")</f>
        <v/>
      </c>
      <c r="C12" s="61" t="str">
        <f>IF('1P-A'!C10&lt;&gt;0,'1P-A'!C10,"")</f>
        <v/>
      </c>
      <c r="D12" s="62" t="str">
        <f>IF('1P-A'!D10&lt;&gt;0,'1P-A'!D10,"")</f>
        <v/>
      </c>
      <c r="E12" s="43"/>
      <c r="F12" s="42"/>
      <c r="G12" s="28" t="e">
        <f t="shared" si="0"/>
        <v>#DIV/0!</v>
      </c>
      <c r="H12" s="39"/>
      <c r="I12" s="40"/>
      <c r="J12" s="29" t="e">
        <f t="shared" si="1"/>
        <v>#DIV/0!</v>
      </c>
      <c r="K12" s="87">
        <f>Tabela27[[#This Row],[Nº]]</f>
        <v>8</v>
      </c>
      <c r="L12" s="41"/>
      <c r="M12" s="42"/>
      <c r="N12" s="28" t="e">
        <f t="shared" si="2"/>
        <v>#DIV/0!</v>
      </c>
      <c r="O12" s="39"/>
      <c r="P12" s="40"/>
      <c r="Q12" s="29" t="e">
        <f t="shared" si="3"/>
        <v>#DIV/0!</v>
      </c>
      <c r="R12" s="87">
        <f>Tabela27[[#This Row],[Nº]]</f>
        <v>8</v>
      </c>
      <c r="S12" s="41"/>
      <c r="T12" s="42"/>
      <c r="U12" s="28" t="e">
        <f t="shared" si="4"/>
        <v>#DIV/0!</v>
      </c>
      <c r="V12" s="39"/>
      <c r="W12" s="40"/>
      <c r="X12" s="29" t="e">
        <f t="shared" si="5"/>
        <v>#DIV/0!</v>
      </c>
      <c r="Y12" s="87">
        <f>Tabela27[[#This Row],[Nº]]</f>
        <v>8</v>
      </c>
      <c r="Z12" s="41"/>
      <c r="AA12" s="42"/>
      <c r="AB12" s="28" t="e">
        <f t="shared" si="6"/>
        <v>#DIV/0!</v>
      </c>
      <c r="AC12" s="39"/>
      <c r="AD12" s="40"/>
      <c r="AE12" s="30" t="e">
        <f t="shared" si="7"/>
        <v>#DIV/0!</v>
      </c>
    </row>
    <row r="13" spans="1:31" ht="15">
      <c r="A13" s="72">
        <v>9</v>
      </c>
      <c r="B13" s="60" t="str">
        <f>IF('1P-A'!B11&lt;&gt;0,'1P-A'!B11,"")</f>
        <v/>
      </c>
      <c r="C13" s="61" t="str">
        <f>IF('1P-A'!C11&lt;&gt;0,'1P-A'!C11,"")</f>
        <v/>
      </c>
      <c r="D13" s="62" t="str">
        <f>IF('1P-A'!D11&lt;&gt;0,'1P-A'!D11,"")</f>
        <v/>
      </c>
      <c r="E13" s="43"/>
      <c r="F13" s="42"/>
      <c r="G13" s="28" t="e">
        <f t="shared" si="0"/>
        <v>#DIV/0!</v>
      </c>
      <c r="H13" s="39"/>
      <c r="I13" s="40"/>
      <c r="J13" s="29" t="e">
        <f t="shared" si="1"/>
        <v>#DIV/0!</v>
      </c>
      <c r="K13" s="87">
        <f>Tabela27[[#This Row],[Nº]]</f>
        <v>9</v>
      </c>
      <c r="L13" s="41"/>
      <c r="M13" s="42"/>
      <c r="N13" s="28" t="e">
        <f t="shared" si="2"/>
        <v>#DIV/0!</v>
      </c>
      <c r="O13" s="39"/>
      <c r="P13" s="40"/>
      <c r="Q13" s="29" t="e">
        <f t="shared" si="3"/>
        <v>#DIV/0!</v>
      </c>
      <c r="R13" s="87">
        <f>Tabela27[[#This Row],[Nº]]</f>
        <v>9</v>
      </c>
      <c r="S13" s="41"/>
      <c r="T13" s="42"/>
      <c r="U13" s="28" t="e">
        <f t="shared" si="4"/>
        <v>#DIV/0!</v>
      </c>
      <c r="V13" s="39"/>
      <c r="W13" s="40"/>
      <c r="X13" s="29" t="e">
        <f t="shared" si="5"/>
        <v>#DIV/0!</v>
      </c>
      <c r="Y13" s="87">
        <f>Tabela27[[#This Row],[Nº]]</f>
        <v>9</v>
      </c>
      <c r="Z13" s="41"/>
      <c r="AA13" s="42"/>
      <c r="AB13" s="28" t="e">
        <f t="shared" si="6"/>
        <v>#DIV/0!</v>
      </c>
      <c r="AC13" s="39"/>
      <c r="AD13" s="40"/>
      <c r="AE13" s="30" t="e">
        <f t="shared" si="7"/>
        <v>#DIV/0!</v>
      </c>
    </row>
    <row r="14" spans="1:31" ht="15">
      <c r="A14" s="72">
        <v>10</v>
      </c>
      <c r="B14" s="60" t="str">
        <f>IF('1P-A'!B12&lt;&gt;0,'1P-A'!B12,"")</f>
        <v/>
      </c>
      <c r="C14" s="61" t="str">
        <f>IF('1P-A'!C12&lt;&gt;0,'1P-A'!C12,"")</f>
        <v/>
      </c>
      <c r="D14" s="62" t="str">
        <f>IF('1P-A'!D12&lt;&gt;0,'1P-A'!D12,"")</f>
        <v/>
      </c>
      <c r="E14" s="43"/>
      <c r="F14" s="42"/>
      <c r="G14" s="28" t="e">
        <f t="shared" si="0"/>
        <v>#DIV/0!</v>
      </c>
      <c r="H14" s="39"/>
      <c r="I14" s="40"/>
      <c r="J14" s="29" t="e">
        <f t="shared" si="1"/>
        <v>#DIV/0!</v>
      </c>
      <c r="K14" s="87">
        <f>Tabela27[[#This Row],[Nº]]</f>
        <v>10</v>
      </c>
      <c r="L14" s="41"/>
      <c r="M14" s="42"/>
      <c r="N14" s="28" t="e">
        <f t="shared" si="2"/>
        <v>#DIV/0!</v>
      </c>
      <c r="O14" s="39"/>
      <c r="P14" s="40"/>
      <c r="Q14" s="29" t="e">
        <f t="shared" si="3"/>
        <v>#DIV/0!</v>
      </c>
      <c r="R14" s="87">
        <f>Tabela27[[#This Row],[Nº]]</f>
        <v>10</v>
      </c>
      <c r="S14" s="41"/>
      <c r="T14" s="42"/>
      <c r="U14" s="28" t="e">
        <f t="shared" si="4"/>
        <v>#DIV/0!</v>
      </c>
      <c r="V14" s="39"/>
      <c r="W14" s="40"/>
      <c r="X14" s="29" t="e">
        <f t="shared" si="5"/>
        <v>#DIV/0!</v>
      </c>
      <c r="Y14" s="87">
        <f>Tabela27[[#This Row],[Nº]]</f>
        <v>10</v>
      </c>
      <c r="Z14" s="41"/>
      <c r="AA14" s="42"/>
      <c r="AB14" s="28" t="e">
        <f t="shared" si="6"/>
        <v>#DIV/0!</v>
      </c>
      <c r="AC14" s="39"/>
      <c r="AD14" s="40"/>
      <c r="AE14" s="30" t="e">
        <f t="shared" si="7"/>
        <v>#DIV/0!</v>
      </c>
    </row>
    <row r="15" spans="1:31" ht="15">
      <c r="A15" s="72">
        <v>11</v>
      </c>
      <c r="B15" s="60" t="str">
        <f>IF('1P-A'!B13&lt;&gt;0,'1P-A'!B13,"")</f>
        <v/>
      </c>
      <c r="C15" s="61" t="str">
        <f>IF('1P-A'!C13&lt;&gt;0,'1P-A'!C13,"")</f>
        <v/>
      </c>
      <c r="D15" s="62" t="str">
        <f>IF('1P-A'!D13&lt;&gt;0,'1P-A'!D13,"")</f>
        <v/>
      </c>
      <c r="E15" s="43"/>
      <c r="F15" s="42"/>
      <c r="G15" s="28" t="e">
        <f t="shared" si="0"/>
        <v>#DIV/0!</v>
      </c>
      <c r="H15" s="39"/>
      <c r="I15" s="40"/>
      <c r="J15" s="29" t="e">
        <f t="shared" si="1"/>
        <v>#DIV/0!</v>
      </c>
      <c r="K15" s="87">
        <f>Tabela27[[#This Row],[Nº]]</f>
        <v>11</v>
      </c>
      <c r="L15" s="41"/>
      <c r="M15" s="42"/>
      <c r="N15" s="28" t="e">
        <f t="shared" si="2"/>
        <v>#DIV/0!</v>
      </c>
      <c r="O15" s="39"/>
      <c r="P15" s="40"/>
      <c r="Q15" s="29" t="e">
        <f t="shared" si="3"/>
        <v>#DIV/0!</v>
      </c>
      <c r="R15" s="87">
        <f>Tabela27[[#This Row],[Nº]]</f>
        <v>11</v>
      </c>
      <c r="S15" s="41"/>
      <c r="T15" s="42"/>
      <c r="U15" s="28" t="e">
        <f t="shared" si="4"/>
        <v>#DIV/0!</v>
      </c>
      <c r="V15" s="39"/>
      <c r="W15" s="40"/>
      <c r="X15" s="29" t="e">
        <f t="shared" si="5"/>
        <v>#DIV/0!</v>
      </c>
      <c r="Y15" s="87">
        <f>Tabela27[[#This Row],[Nº]]</f>
        <v>11</v>
      </c>
      <c r="Z15" s="41"/>
      <c r="AA15" s="42"/>
      <c r="AB15" s="28" t="e">
        <f t="shared" si="6"/>
        <v>#DIV/0!</v>
      </c>
      <c r="AC15" s="39"/>
      <c r="AD15" s="40"/>
      <c r="AE15" s="30" t="e">
        <f t="shared" si="7"/>
        <v>#DIV/0!</v>
      </c>
    </row>
    <row r="16" spans="1:31" ht="15">
      <c r="A16" s="72">
        <v>12</v>
      </c>
      <c r="B16" s="60" t="str">
        <f>IF('1P-A'!B14&lt;&gt;0,'1P-A'!B14,"")</f>
        <v/>
      </c>
      <c r="C16" s="61" t="str">
        <f>IF('1P-A'!C14&lt;&gt;0,'1P-A'!C14,"")</f>
        <v/>
      </c>
      <c r="D16" s="62" t="str">
        <f>IF('1P-A'!D14&lt;&gt;0,'1P-A'!D14,"")</f>
        <v/>
      </c>
      <c r="E16" s="43"/>
      <c r="F16" s="42"/>
      <c r="G16" s="28" t="e">
        <f t="shared" si="0"/>
        <v>#DIV/0!</v>
      </c>
      <c r="H16" s="39"/>
      <c r="I16" s="40"/>
      <c r="J16" s="29" t="e">
        <f t="shared" si="1"/>
        <v>#DIV/0!</v>
      </c>
      <c r="K16" s="87">
        <f>Tabela27[[#This Row],[Nº]]</f>
        <v>12</v>
      </c>
      <c r="L16" s="41"/>
      <c r="M16" s="42"/>
      <c r="N16" s="28" t="e">
        <f t="shared" si="2"/>
        <v>#DIV/0!</v>
      </c>
      <c r="O16" s="39"/>
      <c r="P16" s="40"/>
      <c r="Q16" s="29" t="e">
        <f t="shared" si="3"/>
        <v>#DIV/0!</v>
      </c>
      <c r="R16" s="87">
        <f>Tabela27[[#This Row],[Nº]]</f>
        <v>12</v>
      </c>
      <c r="S16" s="41"/>
      <c r="T16" s="42"/>
      <c r="U16" s="28" t="e">
        <f t="shared" si="4"/>
        <v>#DIV/0!</v>
      </c>
      <c r="V16" s="39"/>
      <c r="W16" s="40"/>
      <c r="X16" s="29" t="e">
        <f t="shared" si="5"/>
        <v>#DIV/0!</v>
      </c>
      <c r="Y16" s="87">
        <f>Tabela27[[#This Row],[Nº]]</f>
        <v>12</v>
      </c>
      <c r="Z16" s="41"/>
      <c r="AA16" s="42"/>
      <c r="AB16" s="28" t="e">
        <f t="shared" si="6"/>
        <v>#DIV/0!</v>
      </c>
      <c r="AC16" s="39"/>
      <c r="AD16" s="40"/>
      <c r="AE16" s="30" t="e">
        <f t="shared" si="7"/>
        <v>#DIV/0!</v>
      </c>
    </row>
    <row r="17" spans="1:31" ht="15">
      <c r="A17" s="72">
        <v>13</v>
      </c>
      <c r="B17" s="60" t="str">
        <f>IF('1P-A'!B15&lt;&gt;0,'1P-A'!B15,"")</f>
        <v/>
      </c>
      <c r="C17" s="61" t="str">
        <f>IF('1P-A'!C15&lt;&gt;0,'1P-A'!C15,"")</f>
        <v/>
      </c>
      <c r="D17" s="62" t="str">
        <f>IF('1P-A'!D15&lt;&gt;0,'1P-A'!D15,"")</f>
        <v/>
      </c>
      <c r="E17" s="43"/>
      <c r="F17" s="42"/>
      <c r="G17" s="28" t="e">
        <f t="shared" si="0"/>
        <v>#DIV/0!</v>
      </c>
      <c r="H17" s="39"/>
      <c r="I17" s="40"/>
      <c r="J17" s="29" t="e">
        <f t="shared" si="1"/>
        <v>#DIV/0!</v>
      </c>
      <c r="K17" s="87">
        <f>Tabela27[[#This Row],[Nº]]</f>
        <v>13</v>
      </c>
      <c r="L17" s="41"/>
      <c r="M17" s="42"/>
      <c r="N17" s="28" t="e">
        <f t="shared" si="2"/>
        <v>#DIV/0!</v>
      </c>
      <c r="O17" s="39"/>
      <c r="P17" s="40"/>
      <c r="Q17" s="29" t="e">
        <f t="shared" si="3"/>
        <v>#DIV/0!</v>
      </c>
      <c r="R17" s="87">
        <f>Tabela27[[#This Row],[Nº]]</f>
        <v>13</v>
      </c>
      <c r="S17" s="41"/>
      <c r="T17" s="42"/>
      <c r="U17" s="28" t="e">
        <f t="shared" si="4"/>
        <v>#DIV/0!</v>
      </c>
      <c r="V17" s="39"/>
      <c r="W17" s="40"/>
      <c r="X17" s="29" t="e">
        <f t="shared" si="5"/>
        <v>#DIV/0!</v>
      </c>
      <c r="Y17" s="87">
        <f>Tabela27[[#This Row],[Nº]]</f>
        <v>13</v>
      </c>
      <c r="Z17" s="41"/>
      <c r="AA17" s="42"/>
      <c r="AB17" s="28" t="e">
        <f t="shared" si="6"/>
        <v>#DIV/0!</v>
      </c>
      <c r="AC17" s="39"/>
      <c r="AD17" s="40"/>
      <c r="AE17" s="30" t="e">
        <f t="shared" si="7"/>
        <v>#DIV/0!</v>
      </c>
    </row>
    <row r="18" spans="1:31" ht="15">
      <c r="A18" s="72">
        <v>14</v>
      </c>
      <c r="B18" s="60" t="str">
        <f>IF('1P-A'!B16&lt;&gt;0,'1P-A'!B16,"")</f>
        <v/>
      </c>
      <c r="C18" s="61" t="str">
        <f>IF('1P-A'!C16&lt;&gt;0,'1P-A'!C16,"")</f>
        <v/>
      </c>
      <c r="D18" s="62" t="str">
        <f>IF('1P-A'!D16&lt;&gt;0,'1P-A'!D16,"")</f>
        <v/>
      </c>
      <c r="E18" s="43"/>
      <c r="F18" s="42"/>
      <c r="G18" s="28" t="e">
        <f t="shared" si="0"/>
        <v>#DIV/0!</v>
      </c>
      <c r="H18" s="39"/>
      <c r="I18" s="40"/>
      <c r="J18" s="29" t="e">
        <f t="shared" si="1"/>
        <v>#DIV/0!</v>
      </c>
      <c r="K18" s="87">
        <f>Tabela27[[#This Row],[Nº]]</f>
        <v>14</v>
      </c>
      <c r="L18" s="41"/>
      <c r="M18" s="42"/>
      <c r="N18" s="28" t="e">
        <f t="shared" si="2"/>
        <v>#DIV/0!</v>
      </c>
      <c r="O18" s="39"/>
      <c r="P18" s="40"/>
      <c r="Q18" s="29" t="e">
        <f t="shared" si="3"/>
        <v>#DIV/0!</v>
      </c>
      <c r="R18" s="87">
        <f>Tabela27[[#This Row],[Nº]]</f>
        <v>14</v>
      </c>
      <c r="S18" s="41"/>
      <c r="T18" s="42"/>
      <c r="U18" s="28" t="e">
        <f t="shared" si="4"/>
        <v>#DIV/0!</v>
      </c>
      <c r="V18" s="39"/>
      <c r="W18" s="40"/>
      <c r="X18" s="29" t="e">
        <f t="shared" si="5"/>
        <v>#DIV/0!</v>
      </c>
      <c r="Y18" s="87">
        <f>Tabela27[[#This Row],[Nº]]</f>
        <v>14</v>
      </c>
      <c r="Z18" s="41"/>
      <c r="AA18" s="42"/>
      <c r="AB18" s="28" t="e">
        <f t="shared" si="6"/>
        <v>#DIV/0!</v>
      </c>
      <c r="AC18" s="39"/>
      <c r="AD18" s="40"/>
      <c r="AE18" s="30" t="e">
        <f t="shared" si="7"/>
        <v>#DIV/0!</v>
      </c>
    </row>
    <row r="19" spans="1:31" ht="15">
      <c r="A19" s="72">
        <v>15</v>
      </c>
      <c r="B19" s="60" t="str">
        <f>IF('1P-A'!B17&lt;&gt;0,'1P-A'!B17,"")</f>
        <v/>
      </c>
      <c r="C19" s="61" t="str">
        <f>IF('1P-A'!C17&lt;&gt;0,'1P-A'!C17,"")</f>
        <v/>
      </c>
      <c r="D19" s="62" t="str">
        <f>IF('1P-A'!D17&lt;&gt;0,'1P-A'!D17,"")</f>
        <v/>
      </c>
      <c r="E19" s="43"/>
      <c r="F19" s="42"/>
      <c r="G19" s="28" t="e">
        <f t="shared" si="0"/>
        <v>#DIV/0!</v>
      </c>
      <c r="H19" s="39"/>
      <c r="I19" s="40"/>
      <c r="J19" s="29" t="e">
        <f t="shared" si="1"/>
        <v>#DIV/0!</v>
      </c>
      <c r="K19" s="87">
        <f>Tabela27[[#This Row],[Nº]]</f>
        <v>15</v>
      </c>
      <c r="L19" s="41"/>
      <c r="M19" s="42"/>
      <c r="N19" s="28" t="e">
        <f t="shared" si="2"/>
        <v>#DIV/0!</v>
      </c>
      <c r="O19" s="39"/>
      <c r="P19" s="40"/>
      <c r="Q19" s="29" t="e">
        <f t="shared" si="3"/>
        <v>#DIV/0!</v>
      </c>
      <c r="R19" s="87">
        <f>Tabela27[[#This Row],[Nº]]</f>
        <v>15</v>
      </c>
      <c r="S19" s="41"/>
      <c r="T19" s="42"/>
      <c r="U19" s="28" t="e">
        <f t="shared" si="4"/>
        <v>#DIV/0!</v>
      </c>
      <c r="V19" s="39"/>
      <c r="W19" s="40"/>
      <c r="X19" s="29" t="e">
        <f t="shared" si="5"/>
        <v>#DIV/0!</v>
      </c>
      <c r="Y19" s="87">
        <f>Tabela27[[#This Row],[Nº]]</f>
        <v>15</v>
      </c>
      <c r="Z19" s="41"/>
      <c r="AA19" s="42"/>
      <c r="AB19" s="28" t="e">
        <f t="shared" si="6"/>
        <v>#DIV/0!</v>
      </c>
      <c r="AC19" s="39"/>
      <c r="AD19" s="40"/>
      <c r="AE19" s="30" t="e">
        <f t="shared" si="7"/>
        <v>#DIV/0!</v>
      </c>
    </row>
    <row r="20" spans="1:31" ht="15">
      <c r="A20" s="72">
        <v>16</v>
      </c>
      <c r="B20" s="60" t="str">
        <f>IF('1P-A'!B18&lt;&gt;0,'1P-A'!B18,"")</f>
        <v/>
      </c>
      <c r="C20" s="61" t="str">
        <f>IF('1P-A'!C18&lt;&gt;0,'1P-A'!C18,"")</f>
        <v/>
      </c>
      <c r="D20" s="62" t="str">
        <f>IF('1P-A'!D18&lt;&gt;0,'1P-A'!D18,"")</f>
        <v/>
      </c>
      <c r="E20" s="43"/>
      <c r="F20" s="42"/>
      <c r="G20" s="28" t="e">
        <f t="shared" si="0"/>
        <v>#DIV/0!</v>
      </c>
      <c r="H20" s="39"/>
      <c r="I20" s="40"/>
      <c r="J20" s="29" t="e">
        <f t="shared" si="1"/>
        <v>#DIV/0!</v>
      </c>
      <c r="K20" s="87">
        <f>Tabela27[[#This Row],[Nº]]</f>
        <v>16</v>
      </c>
      <c r="L20" s="41"/>
      <c r="M20" s="42"/>
      <c r="N20" s="28" t="e">
        <f t="shared" si="2"/>
        <v>#DIV/0!</v>
      </c>
      <c r="O20" s="39"/>
      <c r="P20" s="40"/>
      <c r="Q20" s="29" t="e">
        <f t="shared" si="3"/>
        <v>#DIV/0!</v>
      </c>
      <c r="R20" s="87">
        <f>Tabela27[[#This Row],[Nº]]</f>
        <v>16</v>
      </c>
      <c r="S20" s="41"/>
      <c r="T20" s="42"/>
      <c r="U20" s="28" t="e">
        <f t="shared" si="4"/>
        <v>#DIV/0!</v>
      </c>
      <c r="V20" s="39"/>
      <c r="W20" s="40"/>
      <c r="X20" s="29" t="e">
        <f t="shared" si="5"/>
        <v>#DIV/0!</v>
      </c>
      <c r="Y20" s="87">
        <f>Tabela27[[#This Row],[Nº]]</f>
        <v>16</v>
      </c>
      <c r="Z20" s="41"/>
      <c r="AA20" s="42"/>
      <c r="AB20" s="28" t="e">
        <f t="shared" si="6"/>
        <v>#DIV/0!</v>
      </c>
      <c r="AC20" s="39"/>
      <c r="AD20" s="40"/>
      <c r="AE20" s="30" t="e">
        <f t="shared" si="7"/>
        <v>#DIV/0!</v>
      </c>
    </row>
    <row r="21" spans="1:31" ht="15">
      <c r="A21" s="72">
        <v>17</v>
      </c>
      <c r="B21" s="60" t="str">
        <f>IF('1P-A'!B19&lt;&gt;0,'1P-A'!B19,"")</f>
        <v/>
      </c>
      <c r="C21" s="61" t="str">
        <f>IF('1P-A'!C19&lt;&gt;0,'1P-A'!C19,"")</f>
        <v/>
      </c>
      <c r="D21" s="62" t="str">
        <f>IF('1P-A'!D19&lt;&gt;0,'1P-A'!D19,"")</f>
        <v/>
      </c>
      <c r="E21" s="43"/>
      <c r="F21" s="42"/>
      <c r="G21" s="28" t="e">
        <f t="shared" si="0"/>
        <v>#DIV/0!</v>
      </c>
      <c r="H21" s="39"/>
      <c r="I21" s="40"/>
      <c r="J21" s="29" t="e">
        <f t="shared" si="1"/>
        <v>#DIV/0!</v>
      </c>
      <c r="K21" s="87">
        <f>Tabela27[[#This Row],[Nº]]</f>
        <v>17</v>
      </c>
      <c r="L21" s="41"/>
      <c r="M21" s="42"/>
      <c r="N21" s="28" t="e">
        <f t="shared" si="2"/>
        <v>#DIV/0!</v>
      </c>
      <c r="O21" s="39"/>
      <c r="P21" s="40"/>
      <c r="Q21" s="29" t="e">
        <f t="shared" si="3"/>
        <v>#DIV/0!</v>
      </c>
      <c r="R21" s="87">
        <f>Tabela27[[#This Row],[Nº]]</f>
        <v>17</v>
      </c>
      <c r="S21" s="41"/>
      <c r="T21" s="42"/>
      <c r="U21" s="28" t="e">
        <f t="shared" si="4"/>
        <v>#DIV/0!</v>
      </c>
      <c r="V21" s="39"/>
      <c r="W21" s="40"/>
      <c r="X21" s="29" t="e">
        <f t="shared" si="5"/>
        <v>#DIV/0!</v>
      </c>
      <c r="Y21" s="87">
        <f>Tabela27[[#This Row],[Nº]]</f>
        <v>17</v>
      </c>
      <c r="Z21" s="41"/>
      <c r="AA21" s="42"/>
      <c r="AB21" s="28" t="e">
        <f t="shared" si="6"/>
        <v>#DIV/0!</v>
      </c>
      <c r="AC21" s="39"/>
      <c r="AD21" s="40"/>
      <c r="AE21" s="30" t="e">
        <f t="shared" si="7"/>
        <v>#DIV/0!</v>
      </c>
    </row>
    <row r="22" spans="1:31" ht="15">
      <c r="A22" s="72">
        <v>18</v>
      </c>
      <c r="B22" s="60" t="str">
        <f>IF('1P-A'!B20&lt;&gt;0,'1P-A'!B20,"")</f>
        <v/>
      </c>
      <c r="C22" s="61" t="str">
        <f>IF('1P-A'!C20&lt;&gt;0,'1P-A'!C20,"")</f>
        <v/>
      </c>
      <c r="D22" s="62" t="str">
        <f>IF('1P-A'!D20&lt;&gt;0,'1P-A'!D20,"")</f>
        <v/>
      </c>
      <c r="E22" s="43"/>
      <c r="F22" s="42"/>
      <c r="G22" s="28" t="e">
        <f t="shared" si="0"/>
        <v>#DIV/0!</v>
      </c>
      <c r="H22" s="39"/>
      <c r="I22" s="40"/>
      <c r="J22" s="29" t="e">
        <f t="shared" si="1"/>
        <v>#DIV/0!</v>
      </c>
      <c r="K22" s="87">
        <f>Tabela27[[#This Row],[Nº]]</f>
        <v>18</v>
      </c>
      <c r="L22" s="41"/>
      <c r="M22" s="42"/>
      <c r="N22" s="28" t="e">
        <f t="shared" si="2"/>
        <v>#DIV/0!</v>
      </c>
      <c r="O22" s="39"/>
      <c r="P22" s="40"/>
      <c r="Q22" s="29" t="e">
        <f t="shared" si="3"/>
        <v>#DIV/0!</v>
      </c>
      <c r="R22" s="87">
        <f>Tabela27[[#This Row],[Nº]]</f>
        <v>18</v>
      </c>
      <c r="S22" s="41"/>
      <c r="T22" s="42"/>
      <c r="U22" s="28" t="e">
        <f t="shared" si="4"/>
        <v>#DIV/0!</v>
      </c>
      <c r="V22" s="39"/>
      <c r="W22" s="40"/>
      <c r="X22" s="29" t="e">
        <f t="shared" si="5"/>
        <v>#DIV/0!</v>
      </c>
      <c r="Y22" s="87">
        <f>Tabela27[[#This Row],[Nº]]</f>
        <v>18</v>
      </c>
      <c r="Z22" s="41"/>
      <c r="AA22" s="42"/>
      <c r="AB22" s="28" t="e">
        <f t="shared" si="6"/>
        <v>#DIV/0!</v>
      </c>
      <c r="AC22" s="39"/>
      <c r="AD22" s="40"/>
      <c r="AE22" s="30" t="e">
        <f t="shared" si="7"/>
        <v>#DIV/0!</v>
      </c>
    </row>
    <row r="23" spans="1:31" ht="15">
      <c r="A23" s="72">
        <v>19</v>
      </c>
      <c r="B23" s="60" t="str">
        <f>IF('1P-A'!B21&lt;&gt;0,'1P-A'!B21,"")</f>
        <v/>
      </c>
      <c r="C23" s="61" t="str">
        <f>IF('1P-A'!C21&lt;&gt;0,'1P-A'!C21,"")</f>
        <v/>
      </c>
      <c r="D23" s="62" t="str">
        <f>IF('1P-A'!D21&lt;&gt;0,'1P-A'!D21,"")</f>
        <v/>
      </c>
      <c r="E23" s="43"/>
      <c r="F23" s="42"/>
      <c r="G23" s="28" t="e">
        <f t="shared" si="0"/>
        <v>#DIV/0!</v>
      </c>
      <c r="H23" s="39"/>
      <c r="I23" s="40"/>
      <c r="J23" s="29" t="e">
        <f t="shared" si="1"/>
        <v>#DIV/0!</v>
      </c>
      <c r="K23" s="87">
        <f>Tabela27[[#This Row],[Nº]]</f>
        <v>19</v>
      </c>
      <c r="L23" s="41"/>
      <c r="M23" s="42"/>
      <c r="N23" s="28" t="e">
        <f t="shared" si="2"/>
        <v>#DIV/0!</v>
      </c>
      <c r="O23" s="39"/>
      <c r="P23" s="40"/>
      <c r="Q23" s="29" t="e">
        <f t="shared" si="3"/>
        <v>#DIV/0!</v>
      </c>
      <c r="R23" s="87">
        <f>Tabela27[[#This Row],[Nº]]</f>
        <v>19</v>
      </c>
      <c r="S23" s="41"/>
      <c r="T23" s="42"/>
      <c r="U23" s="28" t="e">
        <f t="shared" si="4"/>
        <v>#DIV/0!</v>
      </c>
      <c r="V23" s="39"/>
      <c r="W23" s="40"/>
      <c r="X23" s="29" t="e">
        <f t="shared" si="5"/>
        <v>#DIV/0!</v>
      </c>
      <c r="Y23" s="87">
        <f>Tabela27[[#This Row],[Nº]]</f>
        <v>19</v>
      </c>
      <c r="Z23" s="41"/>
      <c r="AA23" s="42"/>
      <c r="AB23" s="28" t="e">
        <f t="shared" si="6"/>
        <v>#DIV/0!</v>
      </c>
      <c r="AC23" s="39"/>
      <c r="AD23" s="40"/>
      <c r="AE23" s="30" t="e">
        <f t="shared" si="7"/>
        <v>#DIV/0!</v>
      </c>
    </row>
    <row r="24" spans="1:31" ht="15">
      <c r="A24" s="72">
        <v>20</v>
      </c>
      <c r="B24" s="60" t="str">
        <f>IF('1P-A'!B22&lt;&gt;0,'1P-A'!B22,"")</f>
        <v/>
      </c>
      <c r="C24" s="61" t="str">
        <f>IF('1P-A'!C22&lt;&gt;0,'1P-A'!C22,"")</f>
        <v/>
      </c>
      <c r="D24" s="62" t="str">
        <f>IF('1P-A'!D22&lt;&gt;0,'1P-A'!D22,"")</f>
        <v/>
      </c>
      <c r="E24" s="43"/>
      <c r="F24" s="42"/>
      <c r="G24" s="28" t="e">
        <f t="shared" si="0"/>
        <v>#DIV/0!</v>
      </c>
      <c r="H24" s="39"/>
      <c r="I24" s="40"/>
      <c r="J24" s="29" t="e">
        <f t="shared" si="1"/>
        <v>#DIV/0!</v>
      </c>
      <c r="K24" s="87">
        <f>Tabela27[[#This Row],[Nº]]</f>
        <v>20</v>
      </c>
      <c r="L24" s="41"/>
      <c r="M24" s="42"/>
      <c r="N24" s="28" t="e">
        <f t="shared" si="2"/>
        <v>#DIV/0!</v>
      </c>
      <c r="O24" s="39"/>
      <c r="P24" s="40"/>
      <c r="Q24" s="29" t="e">
        <f t="shared" si="3"/>
        <v>#DIV/0!</v>
      </c>
      <c r="R24" s="87">
        <f>Tabela27[[#This Row],[Nº]]</f>
        <v>20</v>
      </c>
      <c r="S24" s="41"/>
      <c r="T24" s="42"/>
      <c r="U24" s="28" t="e">
        <f t="shared" si="4"/>
        <v>#DIV/0!</v>
      </c>
      <c r="V24" s="39"/>
      <c r="W24" s="40"/>
      <c r="X24" s="29" t="e">
        <f t="shared" si="5"/>
        <v>#DIV/0!</v>
      </c>
      <c r="Y24" s="87">
        <f>Tabela27[[#This Row],[Nº]]</f>
        <v>20</v>
      </c>
      <c r="Z24" s="41"/>
      <c r="AA24" s="42"/>
      <c r="AB24" s="28" t="e">
        <f t="shared" si="6"/>
        <v>#DIV/0!</v>
      </c>
      <c r="AC24" s="39"/>
      <c r="AD24" s="40"/>
      <c r="AE24" s="30" t="e">
        <f t="shared" si="7"/>
        <v>#DIV/0!</v>
      </c>
    </row>
    <row r="25" spans="1:31" ht="15">
      <c r="A25" s="72">
        <v>21</v>
      </c>
      <c r="B25" s="60" t="str">
        <f>IF('1P-A'!B23&lt;&gt;0,'1P-A'!B23,"")</f>
        <v/>
      </c>
      <c r="C25" s="61" t="str">
        <f>IF('1P-A'!C23&lt;&gt;0,'1P-A'!C23,"")</f>
        <v/>
      </c>
      <c r="D25" s="62" t="str">
        <f>IF('1P-A'!D23&lt;&gt;0,'1P-A'!D23,"")</f>
        <v/>
      </c>
      <c r="E25" s="43"/>
      <c r="F25" s="42"/>
      <c r="G25" s="28" t="e">
        <f t="shared" si="0"/>
        <v>#DIV/0!</v>
      </c>
      <c r="H25" s="39"/>
      <c r="I25" s="40"/>
      <c r="J25" s="29" t="e">
        <f t="shared" si="1"/>
        <v>#DIV/0!</v>
      </c>
      <c r="K25" s="87">
        <f>Tabela27[[#This Row],[Nº]]</f>
        <v>21</v>
      </c>
      <c r="L25" s="41"/>
      <c r="M25" s="42"/>
      <c r="N25" s="28" t="e">
        <f t="shared" si="2"/>
        <v>#DIV/0!</v>
      </c>
      <c r="O25" s="39"/>
      <c r="P25" s="40"/>
      <c r="Q25" s="29" t="e">
        <f t="shared" si="3"/>
        <v>#DIV/0!</v>
      </c>
      <c r="R25" s="87">
        <f>Tabela27[[#This Row],[Nº]]</f>
        <v>21</v>
      </c>
      <c r="S25" s="41"/>
      <c r="T25" s="42"/>
      <c r="U25" s="28" t="e">
        <f t="shared" si="4"/>
        <v>#DIV/0!</v>
      </c>
      <c r="V25" s="39"/>
      <c r="W25" s="40"/>
      <c r="X25" s="29" t="e">
        <f t="shared" si="5"/>
        <v>#DIV/0!</v>
      </c>
      <c r="Y25" s="87">
        <f>Tabela27[[#This Row],[Nº]]</f>
        <v>21</v>
      </c>
      <c r="Z25" s="41"/>
      <c r="AA25" s="42"/>
      <c r="AB25" s="28" t="e">
        <f t="shared" si="6"/>
        <v>#DIV/0!</v>
      </c>
      <c r="AC25" s="39"/>
      <c r="AD25" s="40"/>
      <c r="AE25" s="30" t="e">
        <f t="shared" si="7"/>
        <v>#DIV/0!</v>
      </c>
    </row>
    <row r="26" spans="1:31" ht="15">
      <c r="A26" s="72">
        <v>22</v>
      </c>
      <c r="B26" s="60" t="str">
        <f>IF('1P-A'!B24&lt;&gt;0,'1P-A'!B24,"")</f>
        <v/>
      </c>
      <c r="C26" s="61" t="str">
        <f>IF('1P-A'!C24&lt;&gt;0,'1P-A'!C24,"")</f>
        <v/>
      </c>
      <c r="D26" s="62" t="str">
        <f>IF('1P-A'!D24&lt;&gt;0,'1P-A'!D24,"")</f>
        <v/>
      </c>
      <c r="E26" s="43"/>
      <c r="F26" s="42"/>
      <c r="G26" s="28" t="e">
        <f t="shared" si="0"/>
        <v>#DIV/0!</v>
      </c>
      <c r="H26" s="39"/>
      <c r="I26" s="40"/>
      <c r="J26" s="29" t="e">
        <f t="shared" si="1"/>
        <v>#DIV/0!</v>
      </c>
      <c r="K26" s="87">
        <f>Tabela27[[#This Row],[Nº]]</f>
        <v>22</v>
      </c>
      <c r="L26" s="41"/>
      <c r="M26" s="42"/>
      <c r="N26" s="28" t="e">
        <f t="shared" si="2"/>
        <v>#DIV/0!</v>
      </c>
      <c r="O26" s="39"/>
      <c r="P26" s="40"/>
      <c r="Q26" s="29" t="e">
        <f t="shared" si="3"/>
        <v>#DIV/0!</v>
      </c>
      <c r="R26" s="87">
        <f>Tabela27[[#This Row],[Nº]]</f>
        <v>22</v>
      </c>
      <c r="S26" s="41"/>
      <c r="T26" s="42"/>
      <c r="U26" s="28" t="e">
        <f t="shared" si="4"/>
        <v>#DIV/0!</v>
      </c>
      <c r="V26" s="39"/>
      <c r="W26" s="40"/>
      <c r="X26" s="29" t="e">
        <f t="shared" si="5"/>
        <v>#DIV/0!</v>
      </c>
      <c r="Y26" s="87">
        <f>Tabela27[[#This Row],[Nº]]</f>
        <v>22</v>
      </c>
      <c r="Z26" s="41"/>
      <c r="AA26" s="42"/>
      <c r="AB26" s="28" t="e">
        <f t="shared" si="6"/>
        <v>#DIV/0!</v>
      </c>
      <c r="AC26" s="39"/>
      <c r="AD26" s="40"/>
      <c r="AE26" s="30" t="e">
        <f t="shared" si="7"/>
        <v>#DIV/0!</v>
      </c>
    </row>
    <row r="27" spans="1:31" ht="15">
      <c r="A27" s="72">
        <v>23</v>
      </c>
      <c r="B27" s="60" t="str">
        <f>IF('1P-A'!B25&lt;&gt;0,'1P-A'!B25,"")</f>
        <v/>
      </c>
      <c r="C27" s="61" t="str">
        <f>IF('1P-A'!C25&lt;&gt;0,'1P-A'!C25,"")</f>
        <v/>
      </c>
      <c r="D27" s="62" t="str">
        <f>IF('1P-A'!D25&lt;&gt;0,'1P-A'!D25,"")</f>
        <v/>
      </c>
      <c r="E27" s="43"/>
      <c r="F27" s="42"/>
      <c r="G27" s="28" t="e">
        <f t="shared" si="0"/>
        <v>#DIV/0!</v>
      </c>
      <c r="H27" s="39"/>
      <c r="I27" s="40"/>
      <c r="J27" s="29" t="e">
        <f t="shared" si="1"/>
        <v>#DIV/0!</v>
      </c>
      <c r="K27" s="87">
        <f>Tabela27[[#This Row],[Nº]]</f>
        <v>23</v>
      </c>
      <c r="L27" s="41"/>
      <c r="M27" s="42"/>
      <c r="N27" s="28" t="e">
        <f t="shared" si="2"/>
        <v>#DIV/0!</v>
      </c>
      <c r="O27" s="39"/>
      <c r="P27" s="40"/>
      <c r="Q27" s="29" t="e">
        <f t="shared" si="3"/>
        <v>#DIV/0!</v>
      </c>
      <c r="R27" s="87">
        <f>Tabela27[[#This Row],[Nº]]</f>
        <v>23</v>
      </c>
      <c r="S27" s="41"/>
      <c r="T27" s="42"/>
      <c r="U27" s="28" t="e">
        <f t="shared" si="4"/>
        <v>#DIV/0!</v>
      </c>
      <c r="V27" s="39"/>
      <c r="W27" s="40"/>
      <c r="X27" s="29" t="e">
        <f t="shared" si="5"/>
        <v>#DIV/0!</v>
      </c>
      <c r="Y27" s="87">
        <f>Tabela27[[#This Row],[Nº]]</f>
        <v>23</v>
      </c>
      <c r="Z27" s="41"/>
      <c r="AA27" s="42"/>
      <c r="AB27" s="28" t="e">
        <f t="shared" si="6"/>
        <v>#DIV/0!</v>
      </c>
      <c r="AC27" s="39"/>
      <c r="AD27" s="40"/>
      <c r="AE27" s="30" t="e">
        <f t="shared" si="7"/>
        <v>#DIV/0!</v>
      </c>
    </row>
    <row r="28" spans="1:31" ht="15">
      <c r="A28" s="72">
        <v>24</v>
      </c>
      <c r="B28" s="60" t="str">
        <f>IF('1P-A'!B26&lt;&gt;0,'1P-A'!B26,"")</f>
        <v/>
      </c>
      <c r="C28" s="61" t="str">
        <f>IF('1P-A'!C26&lt;&gt;0,'1P-A'!C26,"")</f>
        <v/>
      </c>
      <c r="D28" s="62" t="str">
        <f>IF('1P-A'!D26&lt;&gt;0,'1P-A'!D26,"")</f>
        <v/>
      </c>
      <c r="E28" s="43"/>
      <c r="F28" s="42"/>
      <c r="G28" s="28" t="e">
        <f t="shared" si="0"/>
        <v>#DIV/0!</v>
      </c>
      <c r="H28" s="39"/>
      <c r="I28" s="40"/>
      <c r="J28" s="29" t="e">
        <f t="shared" si="1"/>
        <v>#DIV/0!</v>
      </c>
      <c r="K28" s="87">
        <f>Tabela27[[#This Row],[Nº]]</f>
        <v>24</v>
      </c>
      <c r="L28" s="41"/>
      <c r="M28" s="42"/>
      <c r="N28" s="28" t="e">
        <f t="shared" si="2"/>
        <v>#DIV/0!</v>
      </c>
      <c r="O28" s="39"/>
      <c r="P28" s="40"/>
      <c r="Q28" s="29" t="e">
        <f t="shared" si="3"/>
        <v>#DIV/0!</v>
      </c>
      <c r="R28" s="87">
        <f>Tabela27[[#This Row],[Nº]]</f>
        <v>24</v>
      </c>
      <c r="S28" s="41"/>
      <c r="T28" s="42"/>
      <c r="U28" s="28" t="e">
        <f t="shared" si="4"/>
        <v>#DIV/0!</v>
      </c>
      <c r="V28" s="39"/>
      <c r="W28" s="40"/>
      <c r="X28" s="29" t="e">
        <f t="shared" si="5"/>
        <v>#DIV/0!</v>
      </c>
      <c r="Y28" s="87">
        <f>Tabela27[[#This Row],[Nº]]</f>
        <v>24</v>
      </c>
      <c r="Z28" s="41"/>
      <c r="AA28" s="42"/>
      <c r="AB28" s="28" t="e">
        <f t="shared" si="6"/>
        <v>#DIV/0!</v>
      </c>
      <c r="AC28" s="39"/>
      <c r="AD28" s="40"/>
      <c r="AE28" s="30" t="e">
        <f t="shared" si="7"/>
        <v>#DIV/0!</v>
      </c>
    </row>
    <row r="29" spans="1:31" ht="15">
      <c r="A29" s="72">
        <v>25</v>
      </c>
      <c r="B29" s="60" t="str">
        <f>IF('1P-A'!B27&lt;&gt;0,'1P-A'!B27,"")</f>
        <v/>
      </c>
      <c r="C29" s="61" t="str">
        <f>IF('1P-A'!C27&lt;&gt;0,'1P-A'!C27,"")</f>
        <v/>
      </c>
      <c r="D29" s="62" t="str">
        <f>IF('1P-A'!D27&lt;&gt;0,'1P-A'!D27,"")</f>
        <v/>
      </c>
      <c r="E29" s="43"/>
      <c r="F29" s="42"/>
      <c r="G29" s="28" t="e">
        <f t="shared" si="0"/>
        <v>#DIV/0!</v>
      </c>
      <c r="H29" s="39"/>
      <c r="I29" s="40"/>
      <c r="J29" s="29" t="e">
        <f t="shared" si="1"/>
        <v>#DIV/0!</v>
      </c>
      <c r="K29" s="87">
        <f>Tabela27[[#This Row],[Nº]]</f>
        <v>25</v>
      </c>
      <c r="L29" s="41"/>
      <c r="M29" s="42"/>
      <c r="N29" s="28" t="e">
        <f t="shared" si="2"/>
        <v>#DIV/0!</v>
      </c>
      <c r="O29" s="39"/>
      <c r="P29" s="40"/>
      <c r="Q29" s="29" t="e">
        <f t="shared" si="3"/>
        <v>#DIV/0!</v>
      </c>
      <c r="R29" s="87">
        <f>Tabela27[[#This Row],[Nº]]</f>
        <v>25</v>
      </c>
      <c r="S29" s="41"/>
      <c r="T29" s="42"/>
      <c r="U29" s="28" t="e">
        <f t="shared" si="4"/>
        <v>#DIV/0!</v>
      </c>
      <c r="V29" s="39"/>
      <c r="W29" s="40"/>
      <c r="X29" s="29" t="e">
        <f t="shared" si="5"/>
        <v>#DIV/0!</v>
      </c>
      <c r="Y29" s="87">
        <f>Tabela27[[#This Row],[Nº]]</f>
        <v>25</v>
      </c>
      <c r="Z29" s="41"/>
      <c r="AA29" s="42"/>
      <c r="AB29" s="28" t="e">
        <f t="shared" si="6"/>
        <v>#DIV/0!</v>
      </c>
      <c r="AC29" s="39"/>
      <c r="AD29" s="40"/>
      <c r="AE29" s="30" t="e">
        <f t="shared" si="7"/>
        <v>#DIV/0!</v>
      </c>
    </row>
  </sheetData>
  <sheetProtection algorithmName="SHA-512" hashValue="yDFyc7mxVb9LSvoeQ8TJMIIKOUvt/oP5kU/k5W62l9nI8oKRf1flJG7tAQutbmSV68rxCB3mjBPxS4GuvOucgw==" saltValue="M+MYjeIlDkCKsXrb/VrFfg==" spinCount="100000" sheet="1" objects="1" scenarios="1" selectLockedCells="1"/>
  <mergeCells count="12">
    <mergeCell ref="A1:D3"/>
    <mergeCell ref="E1:AE1"/>
    <mergeCell ref="E2:Q2"/>
    <mergeCell ref="S2:AE2"/>
    <mergeCell ref="E3:G3"/>
    <mergeCell ref="L3:N3"/>
    <mergeCell ref="S3:U3"/>
    <mergeCell ref="Z3:AB3"/>
    <mergeCell ref="AC3:AE3"/>
    <mergeCell ref="H3:J3"/>
    <mergeCell ref="O3:Q3"/>
    <mergeCell ref="V3:X3"/>
  </mergeCells>
  <conditionalFormatting sqref="A5:D29">
    <cfRule type="expression" dxfId="252" priority="11">
      <formula>ROW()=CELL("LIN")</formula>
    </cfRule>
    <cfRule type="expression" dxfId="251" priority="12">
      <formula>IF($D5&lt;&gt;"",1,0)</formula>
    </cfRule>
  </conditionalFormatting>
  <conditionalFormatting sqref="G5:G29">
    <cfRule type="iconSet" priority="8">
      <iconSet iconSet="3Symbols">
        <cfvo type="percent" val="0"/>
        <cfvo type="num" val="0.6"/>
        <cfvo type="num" val="0.75"/>
      </iconSet>
    </cfRule>
  </conditionalFormatting>
  <conditionalFormatting sqref="J5:J29">
    <cfRule type="iconSet" priority="7">
      <iconSet iconSet="3Symbols">
        <cfvo type="percent" val="0"/>
        <cfvo type="num" val="0.6"/>
        <cfvo type="num" val="0.75"/>
      </iconSet>
    </cfRule>
  </conditionalFormatting>
  <conditionalFormatting sqref="N5:N29">
    <cfRule type="iconSet" priority="6">
      <iconSet iconSet="3Symbols">
        <cfvo type="percent" val="0"/>
        <cfvo type="num" val="0.6"/>
        <cfvo type="num" val="0.75"/>
      </iconSet>
    </cfRule>
  </conditionalFormatting>
  <conditionalFormatting sqref="Q5:Q29">
    <cfRule type="iconSet" priority="5">
      <iconSet iconSet="3Symbols">
        <cfvo type="percent" val="0"/>
        <cfvo type="num" val="0.6"/>
        <cfvo type="num" val="0.75"/>
      </iconSet>
    </cfRule>
  </conditionalFormatting>
  <conditionalFormatting sqref="U5:U29">
    <cfRule type="iconSet" priority="4">
      <iconSet iconSet="3Symbols">
        <cfvo type="percent" val="0"/>
        <cfvo type="num" val="0.6"/>
        <cfvo type="num" val="0.75"/>
      </iconSet>
    </cfRule>
  </conditionalFormatting>
  <conditionalFormatting sqref="X5:X29">
    <cfRule type="iconSet" priority="3">
      <iconSet iconSet="3Symbols">
        <cfvo type="percent" val="0"/>
        <cfvo type="num" val="0.6"/>
        <cfvo type="num" val="0.75"/>
      </iconSet>
    </cfRule>
  </conditionalFormatting>
  <conditionalFormatting sqref="AB5:AB29">
    <cfRule type="iconSet" priority="2">
      <iconSet iconSet="3Symbols">
        <cfvo type="percent" val="0"/>
        <cfvo type="num" val="0.6"/>
        <cfvo type="num" val="0.75"/>
      </iconSet>
    </cfRule>
  </conditionalFormatting>
  <conditionalFormatting sqref="AE5:AE29">
    <cfRule type="iconSet" priority="1">
      <iconSet iconSet="3Symbols">
        <cfvo type="percent" val="0"/>
        <cfvo type="num" val="0.6"/>
        <cfvo type="num" val="0.75"/>
      </iconSet>
    </cfRule>
  </conditionalFormatting>
  <conditionalFormatting sqref="E5:AE29">
    <cfRule type="expression" dxfId="250" priority="9">
      <formula>ROW()=CELL("LIN")</formula>
    </cfRule>
    <cfRule type="expression" dxfId="249" priority="10">
      <formula>IF($D5&lt;&gt;"",1,0)</formula>
    </cfRule>
  </conditionalFormatting>
  <pageMargins left="0.25" right="0.25" top="0.75" bottom="0.75" header="0.3" footer="0.3"/>
  <pageSetup paperSize="9" scale="67" orientation="landscape" r:id="rId1"/>
  <colBreaks count="2" manualBreakCount="2">
    <brk id="10" max="1048575" man="1"/>
    <brk id="24" max="1048575" man="1"/>
  </colBreaks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A86C3-FFFB-413D-A426-4C38345D1004}">
  <sheetPr codeName="Plan17">
    <pageSetUpPr fitToPage="1"/>
  </sheetPr>
  <dimension ref="A1:K48"/>
  <sheetViews>
    <sheetView showGridLines="0" showRowColHeaders="0" view="pageBreakPreview" zoomScaleNormal="60" zoomScaleSheetLayoutView="100" zoomScalePageLayoutView="91" workbookViewId="0">
      <selection activeCell="B3" sqref="B3:K3"/>
    </sheetView>
  </sheetViews>
  <sheetFormatPr defaultColWidth="9.140625" defaultRowHeight="15"/>
  <cols>
    <col min="1" max="1" width="19.85546875" style="17" customWidth="1"/>
    <col min="2" max="16384" width="9.140625" style="17"/>
  </cols>
  <sheetData>
    <row r="1" spans="1:11" ht="15.75">
      <c r="A1" s="73" t="s">
        <v>69</v>
      </c>
      <c r="B1" s="92" t="str">
        <f>MENU!C2</f>
        <v>E.M.E.I.E.F. Ficticio</v>
      </c>
      <c r="C1" s="92"/>
      <c r="D1" s="92"/>
      <c r="E1" s="92"/>
      <c r="F1" s="92"/>
      <c r="G1" s="92"/>
      <c r="H1" s="92"/>
      <c r="I1" s="92"/>
      <c r="J1" s="92"/>
      <c r="K1" s="93"/>
    </row>
    <row r="2" spans="1:11" ht="15.75">
      <c r="A2" s="74" t="s">
        <v>71</v>
      </c>
      <c r="B2" s="156" t="s">
        <v>85</v>
      </c>
      <c r="C2" s="95"/>
      <c r="D2" s="95"/>
      <c r="E2" s="95"/>
      <c r="F2" s="95"/>
      <c r="G2" s="95"/>
      <c r="H2" s="95"/>
      <c r="I2" s="95"/>
      <c r="J2" s="95"/>
      <c r="K2" s="96"/>
    </row>
    <row r="3" spans="1:11" ht="15.75">
      <c r="A3" s="74" t="s">
        <v>70</v>
      </c>
      <c r="B3" s="94" t="s">
        <v>88</v>
      </c>
      <c r="C3" s="95"/>
      <c r="D3" s="95"/>
      <c r="E3" s="95"/>
      <c r="F3" s="95"/>
      <c r="G3" s="95"/>
      <c r="H3" s="95"/>
      <c r="I3" s="95"/>
      <c r="J3" s="95"/>
      <c r="K3" s="96"/>
    </row>
    <row r="4" spans="1:11" ht="15.75">
      <c r="A4" s="74" t="s">
        <v>5</v>
      </c>
      <c r="B4" s="94"/>
      <c r="C4" s="95"/>
      <c r="D4" s="95"/>
      <c r="E4" s="95"/>
      <c r="F4" s="95"/>
      <c r="G4" s="95"/>
      <c r="H4" s="95"/>
      <c r="I4" s="95"/>
      <c r="J4" s="95"/>
      <c r="K4" s="96"/>
    </row>
    <row r="5" spans="1:11" ht="15.75">
      <c r="A5" s="74" t="s">
        <v>73</v>
      </c>
      <c r="B5" s="95"/>
      <c r="C5" s="95"/>
      <c r="D5" s="95"/>
      <c r="E5" s="95"/>
      <c r="F5" s="95"/>
      <c r="G5" s="95"/>
      <c r="H5" s="95"/>
      <c r="I5" s="95"/>
      <c r="J5" s="95"/>
      <c r="K5" s="96"/>
    </row>
    <row r="6" spans="1:11" ht="15.75">
      <c r="A6" s="99" t="s">
        <v>74</v>
      </c>
      <c r="B6" s="100"/>
      <c r="C6" s="100"/>
      <c r="D6" s="95"/>
      <c r="E6" s="95"/>
      <c r="F6" s="95"/>
      <c r="G6" s="95"/>
      <c r="H6" s="95"/>
      <c r="I6" s="95"/>
      <c r="J6" s="95"/>
      <c r="K6" s="96"/>
    </row>
    <row r="7" spans="1:11" ht="16.5" thickBot="1">
      <c r="A7" s="75" t="s">
        <v>72</v>
      </c>
      <c r="B7" s="97">
        <f>MENU!D10</f>
        <v>2022</v>
      </c>
      <c r="C7" s="97"/>
      <c r="D7" s="97"/>
      <c r="E7" s="97"/>
      <c r="F7" s="97"/>
      <c r="G7" s="97"/>
      <c r="H7" s="97"/>
      <c r="I7" s="97"/>
      <c r="J7" s="97"/>
      <c r="K7" s="98"/>
    </row>
    <row r="8" spans="1:11" ht="15.75" thickBot="1"/>
    <row r="9" spans="1:11">
      <c r="A9" s="107" t="s">
        <v>77</v>
      </c>
      <c r="B9" s="108"/>
      <c r="C9" s="108"/>
      <c r="D9" s="108"/>
      <c r="E9" s="108"/>
      <c r="F9" s="108"/>
      <c r="G9" s="108"/>
      <c r="H9" s="108"/>
      <c r="I9" s="108"/>
      <c r="J9" s="108"/>
      <c r="K9" s="109"/>
    </row>
    <row r="10" spans="1:11" ht="15.75" thickBot="1">
      <c r="A10" s="110"/>
      <c r="B10" s="111"/>
      <c r="C10" s="111"/>
      <c r="D10" s="111"/>
      <c r="E10" s="111"/>
      <c r="F10" s="111"/>
      <c r="G10" s="111"/>
      <c r="H10" s="111"/>
      <c r="I10" s="111"/>
      <c r="J10" s="111"/>
      <c r="K10" s="112"/>
    </row>
    <row r="11" spans="1:11" ht="15.75">
      <c r="A11" s="79" t="s">
        <v>9</v>
      </c>
      <c r="B11" s="107" t="s">
        <v>78</v>
      </c>
      <c r="C11" s="108"/>
      <c r="D11" s="108"/>
      <c r="E11" s="109"/>
      <c r="F11" s="107" t="s">
        <v>79</v>
      </c>
      <c r="G11" s="109"/>
      <c r="H11" s="107" t="s">
        <v>80</v>
      </c>
      <c r="I11" s="109"/>
      <c r="J11" s="107" t="s">
        <v>99</v>
      </c>
      <c r="K11" s="109"/>
    </row>
    <row r="12" spans="1:11">
      <c r="A12" s="78">
        <f>IF('1P-B'!A3&lt;&gt;0,'1P-B'!A3,"")</f>
        <v>1</v>
      </c>
      <c r="B12" s="149" t="str">
        <f>IF('1P-B'!B3&lt;&gt;0,'1P-B'!B3,"")</f>
        <v/>
      </c>
      <c r="C12" s="150"/>
      <c r="D12" s="150"/>
      <c r="E12" s="151"/>
      <c r="F12" s="152" t="str">
        <f>IF('1P-B'!G3&lt;&gt;0,'1P-B'!G3,"")</f>
        <v/>
      </c>
      <c r="G12" s="153"/>
      <c r="H12" s="154" t="str">
        <f>IF('1P-B'!C3&lt;&gt;0,'1P-B'!C3,"")</f>
        <v/>
      </c>
      <c r="I12" s="155"/>
      <c r="J12" s="152" t="str">
        <f>IF('1P-B'!D3&lt;&gt;0,'1P-B'!D3,"")</f>
        <v/>
      </c>
      <c r="K12" s="155"/>
    </row>
    <row r="13" spans="1:11">
      <c r="A13" s="78">
        <f>IF('1P-B'!A4&lt;&gt;0,'1P-B'!A4,"")</f>
        <v>2</v>
      </c>
      <c r="B13" s="149" t="str">
        <f>IF('1P-B'!B4&lt;&gt;0,'1P-B'!B4,"")</f>
        <v/>
      </c>
      <c r="C13" s="150"/>
      <c r="D13" s="150"/>
      <c r="E13" s="151"/>
      <c r="F13" s="152" t="str">
        <f>IF('1P-B'!G4&lt;&gt;0,'1P-B'!G4,"")</f>
        <v/>
      </c>
      <c r="G13" s="153"/>
      <c r="H13" s="154" t="str">
        <f>IF('1P-B'!C4&lt;&gt;0,'1P-B'!C4,"")</f>
        <v/>
      </c>
      <c r="I13" s="155"/>
      <c r="J13" s="152" t="str">
        <f>IF('1P-B'!D4&lt;&gt;0,'1P-B'!D4,"")</f>
        <v/>
      </c>
      <c r="K13" s="155"/>
    </row>
    <row r="14" spans="1:11">
      <c r="A14" s="78">
        <f>IF('1P-B'!A5&lt;&gt;0,'1P-B'!A5,"")</f>
        <v>3</v>
      </c>
      <c r="B14" s="149" t="str">
        <f>IF('1P-B'!B5&lt;&gt;0,'1P-B'!B5,"")</f>
        <v/>
      </c>
      <c r="C14" s="150"/>
      <c r="D14" s="150"/>
      <c r="E14" s="151"/>
      <c r="F14" s="152" t="str">
        <f>IF('1P-B'!G5&lt;&gt;0,'1P-B'!G5,"")</f>
        <v/>
      </c>
      <c r="G14" s="153"/>
      <c r="H14" s="154" t="str">
        <f>IF('1P-B'!C5&lt;&gt;0,'1P-B'!C5,"")</f>
        <v/>
      </c>
      <c r="I14" s="155"/>
      <c r="J14" s="152" t="str">
        <f>IF('1P-B'!D5&lt;&gt;0,'1P-B'!D5,"")</f>
        <v/>
      </c>
      <c r="K14" s="155"/>
    </row>
    <row r="15" spans="1:11">
      <c r="A15" s="78">
        <f>IF('1P-B'!A6&lt;&gt;0,'1P-B'!A6,"")</f>
        <v>4</v>
      </c>
      <c r="B15" s="149" t="str">
        <f>IF('1P-B'!B6&lt;&gt;0,'1P-B'!B6,"")</f>
        <v/>
      </c>
      <c r="C15" s="150"/>
      <c r="D15" s="150"/>
      <c r="E15" s="151"/>
      <c r="F15" s="152" t="str">
        <f>IF('1P-B'!G6&lt;&gt;0,'1P-B'!G6,"")</f>
        <v/>
      </c>
      <c r="G15" s="153"/>
      <c r="H15" s="154" t="str">
        <f>IF('1P-B'!C6&lt;&gt;0,'1P-B'!C6,"")</f>
        <v/>
      </c>
      <c r="I15" s="155"/>
      <c r="J15" s="152" t="str">
        <f>IF('1P-B'!D6&lt;&gt;0,'1P-B'!D6,"")</f>
        <v/>
      </c>
      <c r="K15" s="155"/>
    </row>
    <row r="16" spans="1:11">
      <c r="A16" s="78">
        <f>IF('1P-B'!A7&lt;&gt;0,'1P-B'!A7,"")</f>
        <v>5</v>
      </c>
      <c r="B16" s="149" t="str">
        <f>IF('1P-B'!B7&lt;&gt;0,'1P-B'!B7,"")</f>
        <v/>
      </c>
      <c r="C16" s="150"/>
      <c r="D16" s="150"/>
      <c r="E16" s="151"/>
      <c r="F16" s="152" t="str">
        <f>IF('1P-B'!G7&lt;&gt;0,'1P-B'!G7,"")</f>
        <v/>
      </c>
      <c r="G16" s="153"/>
      <c r="H16" s="154" t="str">
        <f>IF('1P-B'!C7&lt;&gt;0,'1P-B'!C7,"")</f>
        <v/>
      </c>
      <c r="I16" s="155"/>
      <c r="J16" s="152" t="str">
        <f>IF('1P-B'!D7&lt;&gt;0,'1P-B'!D7,"")</f>
        <v/>
      </c>
      <c r="K16" s="155"/>
    </row>
    <row r="17" spans="1:11">
      <c r="A17" s="78">
        <f>IF('1P-B'!A8&lt;&gt;0,'1P-B'!A8,"")</f>
        <v>6</v>
      </c>
      <c r="B17" s="149" t="str">
        <f>IF('1P-B'!B8&lt;&gt;0,'1P-B'!B8,"")</f>
        <v/>
      </c>
      <c r="C17" s="150"/>
      <c r="D17" s="150"/>
      <c r="E17" s="151"/>
      <c r="F17" s="152" t="str">
        <f>IF('1P-B'!G8&lt;&gt;0,'1P-B'!G8,"")</f>
        <v/>
      </c>
      <c r="G17" s="153"/>
      <c r="H17" s="154" t="str">
        <f>IF('1P-B'!C8&lt;&gt;0,'1P-B'!C8,"")</f>
        <v/>
      </c>
      <c r="I17" s="155"/>
      <c r="J17" s="152" t="str">
        <f>IF('1P-B'!D8&lt;&gt;0,'1P-B'!D8,"")</f>
        <v/>
      </c>
      <c r="K17" s="155"/>
    </row>
    <row r="18" spans="1:11">
      <c r="A18" s="78">
        <f>IF('1P-B'!A9&lt;&gt;0,'1P-B'!A9,"")</f>
        <v>7</v>
      </c>
      <c r="B18" s="149" t="str">
        <f>IF('1P-B'!B9&lt;&gt;0,'1P-B'!B9,"")</f>
        <v/>
      </c>
      <c r="C18" s="150"/>
      <c r="D18" s="150"/>
      <c r="E18" s="151"/>
      <c r="F18" s="152" t="str">
        <f>IF('1P-B'!G9&lt;&gt;0,'1P-B'!G9,"")</f>
        <v/>
      </c>
      <c r="G18" s="153"/>
      <c r="H18" s="154" t="str">
        <f>IF('1P-B'!C9&lt;&gt;0,'1P-B'!C9,"")</f>
        <v/>
      </c>
      <c r="I18" s="155"/>
      <c r="J18" s="152" t="str">
        <f>IF('1P-B'!D9&lt;&gt;0,'1P-B'!D9,"")</f>
        <v/>
      </c>
      <c r="K18" s="155"/>
    </row>
    <row r="19" spans="1:11">
      <c r="A19" s="78">
        <f>IF('1P-B'!A10&lt;&gt;0,'1P-B'!A10,"")</f>
        <v>8</v>
      </c>
      <c r="B19" s="149" t="str">
        <f>IF('1P-B'!B10&lt;&gt;0,'1P-B'!B10,"")</f>
        <v/>
      </c>
      <c r="C19" s="150"/>
      <c r="D19" s="150"/>
      <c r="E19" s="151"/>
      <c r="F19" s="152" t="str">
        <f>IF('1P-B'!G10&lt;&gt;0,'1P-B'!G10,"")</f>
        <v/>
      </c>
      <c r="G19" s="153"/>
      <c r="H19" s="154" t="str">
        <f>IF('1P-B'!C10&lt;&gt;0,'1P-B'!C10,"")</f>
        <v/>
      </c>
      <c r="I19" s="155"/>
      <c r="J19" s="152" t="str">
        <f>IF('1P-B'!D10&lt;&gt;0,'1P-B'!D10,"")</f>
        <v/>
      </c>
      <c r="K19" s="155"/>
    </row>
    <row r="20" spans="1:11">
      <c r="A20" s="78">
        <f>IF('1P-B'!A11&lt;&gt;0,'1P-B'!A11,"")</f>
        <v>9</v>
      </c>
      <c r="B20" s="149" t="str">
        <f>IF('1P-B'!B11&lt;&gt;0,'1P-B'!B11,"")</f>
        <v/>
      </c>
      <c r="C20" s="150"/>
      <c r="D20" s="150"/>
      <c r="E20" s="151"/>
      <c r="F20" s="152" t="str">
        <f>IF('1P-B'!G11&lt;&gt;0,'1P-B'!G11,"")</f>
        <v/>
      </c>
      <c r="G20" s="153"/>
      <c r="H20" s="154" t="str">
        <f>IF('1P-B'!C11&lt;&gt;0,'1P-B'!C11,"")</f>
        <v/>
      </c>
      <c r="I20" s="155"/>
      <c r="J20" s="152" t="str">
        <f>IF('1P-B'!D11&lt;&gt;0,'1P-B'!D11,"")</f>
        <v/>
      </c>
      <c r="K20" s="155"/>
    </row>
    <row r="21" spans="1:11">
      <c r="A21" s="78">
        <f>IF('1P-B'!A12&lt;&gt;0,'1P-B'!A12,"")</f>
        <v>10</v>
      </c>
      <c r="B21" s="149" t="str">
        <f>IF('1P-B'!B12&lt;&gt;0,'1P-B'!B12,"")</f>
        <v/>
      </c>
      <c r="C21" s="150"/>
      <c r="D21" s="150"/>
      <c r="E21" s="151"/>
      <c r="F21" s="152" t="str">
        <f>IF('1P-B'!G12&lt;&gt;0,'1P-B'!G12,"")</f>
        <v/>
      </c>
      <c r="G21" s="153"/>
      <c r="H21" s="154" t="str">
        <f>IF('1P-B'!C12&lt;&gt;0,'1P-B'!C12,"")</f>
        <v/>
      </c>
      <c r="I21" s="155"/>
      <c r="J21" s="152" t="str">
        <f>IF('1P-B'!D12&lt;&gt;0,'1P-B'!D12,"")</f>
        <v/>
      </c>
      <c r="K21" s="155"/>
    </row>
    <row r="22" spans="1:11">
      <c r="A22" s="78">
        <f>IF('1P-B'!A13&lt;&gt;0,'1P-B'!A13,"")</f>
        <v>11</v>
      </c>
      <c r="B22" s="149" t="str">
        <f>IF('1P-B'!B13&lt;&gt;0,'1P-B'!B13,"")</f>
        <v/>
      </c>
      <c r="C22" s="150"/>
      <c r="D22" s="150"/>
      <c r="E22" s="151"/>
      <c r="F22" s="152" t="str">
        <f>IF('1P-B'!G13&lt;&gt;0,'1P-B'!G13,"")</f>
        <v/>
      </c>
      <c r="G22" s="153"/>
      <c r="H22" s="154" t="str">
        <f>IF('1P-B'!C13&lt;&gt;0,'1P-B'!C13,"")</f>
        <v/>
      </c>
      <c r="I22" s="155"/>
      <c r="J22" s="152" t="str">
        <f>IF('1P-B'!D13&lt;&gt;0,'1P-B'!D13,"")</f>
        <v/>
      </c>
      <c r="K22" s="155"/>
    </row>
    <row r="23" spans="1:11">
      <c r="A23" s="78">
        <f>IF('1P-B'!A14&lt;&gt;0,'1P-B'!A14,"")</f>
        <v>12</v>
      </c>
      <c r="B23" s="149" t="str">
        <f>IF('1P-B'!B14&lt;&gt;0,'1P-B'!B14,"")</f>
        <v/>
      </c>
      <c r="C23" s="150"/>
      <c r="D23" s="150"/>
      <c r="E23" s="151"/>
      <c r="F23" s="152" t="str">
        <f>IF('1P-B'!G14&lt;&gt;0,'1P-B'!G14,"")</f>
        <v/>
      </c>
      <c r="G23" s="153"/>
      <c r="H23" s="154" t="str">
        <f>IF('1P-B'!C14&lt;&gt;0,'1P-B'!C14,"")</f>
        <v/>
      </c>
      <c r="I23" s="155"/>
      <c r="J23" s="152" t="str">
        <f>IF('1P-B'!D14&lt;&gt;0,'1P-B'!D14,"")</f>
        <v/>
      </c>
      <c r="K23" s="155"/>
    </row>
    <row r="24" spans="1:11">
      <c r="A24" s="78">
        <f>IF('1P-B'!A15&lt;&gt;0,'1P-B'!A15,"")</f>
        <v>13</v>
      </c>
      <c r="B24" s="149" t="str">
        <f>IF('1P-B'!B15&lt;&gt;0,'1P-B'!B15,"")</f>
        <v/>
      </c>
      <c r="C24" s="150"/>
      <c r="D24" s="150"/>
      <c r="E24" s="151"/>
      <c r="F24" s="152" t="str">
        <f>IF('1P-B'!G15&lt;&gt;0,'1P-B'!G15,"")</f>
        <v/>
      </c>
      <c r="G24" s="153"/>
      <c r="H24" s="154" t="str">
        <f>IF('1P-B'!C15&lt;&gt;0,'1P-B'!C15,"")</f>
        <v/>
      </c>
      <c r="I24" s="155"/>
      <c r="J24" s="152" t="str">
        <f>IF('1P-B'!D15&lt;&gt;0,'1P-B'!D15,"")</f>
        <v/>
      </c>
      <c r="K24" s="155"/>
    </row>
    <row r="25" spans="1:11">
      <c r="A25" s="78">
        <f>IF('1P-B'!A16&lt;&gt;0,'1P-B'!A16,"")</f>
        <v>14</v>
      </c>
      <c r="B25" s="149" t="str">
        <f>IF('1P-B'!B16&lt;&gt;0,'1P-B'!B16,"")</f>
        <v/>
      </c>
      <c r="C25" s="150"/>
      <c r="D25" s="150"/>
      <c r="E25" s="151"/>
      <c r="F25" s="152" t="str">
        <f>IF('1P-B'!G16&lt;&gt;0,'1P-B'!G16,"")</f>
        <v/>
      </c>
      <c r="G25" s="153"/>
      <c r="H25" s="154" t="str">
        <f>IF('1P-B'!C16&lt;&gt;0,'1P-B'!C16,"")</f>
        <v/>
      </c>
      <c r="I25" s="155"/>
      <c r="J25" s="152" t="str">
        <f>IF('1P-B'!D16&lt;&gt;0,'1P-B'!D16,"")</f>
        <v/>
      </c>
      <c r="K25" s="155"/>
    </row>
    <row r="26" spans="1:11">
      <c r="A26" s="78">
        <f>IF('1P-B'!A17&lt;&gt;0,'1P-B'!A17,"")</f>
        <v>15</v>
      </c>
      <c r="B26" s="149" t="str">
        <f>IF('1P-B'!B17&lt;&gt;0,'1P-B'!B17,"")</f>
        <v/>
      </c>
      <c r="C26" s="150"/>
      <c r="D26" s="150"/>
      <c r="E26" s="151"/>
      <c r="F26" s="152" t="str">
        <f>IF('1P-B'!G17&lt;&gt;0,'1P-B'!G17,"")</f>
        <v/>
      </c>
      <c r="G26" s="153"/>
      <c r="H26" s="154" t="str">
        <f>IF('1P-B'!C17&lt;&gt;0,'1P-B'!C17,"")</f>
        <v/>
      </c>
      <c r="I26" s="155"/>
      <c r="J26" s="152" t="str">
        <f>IF('1P-B'!D17&lt;&gt;0,'1P-B'!D17,"")</f>
        <v/>
      </c>
      <c r="K26" s="155"/>
    </row>
    <row r="27" spans="1:11">
      <c r="A27" s="78">
        <f>IF('1P-B'!A18&lt;&gt;0,'1P-B'!A18,"")</f>
        <v>16</v>
      </c>
      <c r="B27" s="149" t="str">
        <f>IF('1P-B'!B18&lt;&gt;0,'1P-B'!B18,"")</f>
        <v/>
      </c>
      <c r="C27" s="150"/>
      <c r="D27" s="150"/>
      <c r="E27" s="151"/>
      <c r="F27" s="152" t="str">
        <f>IF('1P-B'!G18&lt;&gt;0,'1P-B'!G18,"")</f>
        <v/>
      </c>
      <c r="G27" s="153"/>
      <c r="H27" s="154" t="str">
        <f>IF('1P-B'!C18&lt;&gt;0,'1P-B'!C18,"")</f>
        <v/>
      </c>
      <c r="I27" s="155"/>
      <c r="J27" s="152" t="str">
        <f>IF('1P-B'!D18&lt;&gt;0,'1P-B'!D18,"")</f>
        <v/>
      </c>
      <c r="K27" s="155"/>
    </row>
    <row r="28" spans="1:11">
      <c r="A28" s="78">
        <f>IF('1P-B'!A19&lt;&gt;0,'1P-B'!A19,"")</f>
        <v>17</v>
      </c>
      <c r="B28" s="149" t="str">
        <f>IF('1P-B'!B19&lt;&gt;0,'1P-B'!B19,"")</f>
        <v/>
      </c>
      <c r="C28" s="150"/>
      <c r="D28" s="150"/>
      <c r="E28" s="151"/>
      <c r="F28" s="152" t="str">
        <f>IF('1P-B'!G19&lt;&gt;0,'1P-B'!G19,"")</f>
        <v/>
      </c>
      <c r="G28" s="153"/>
      <c r="H28" s="154" t="str">
        <f>IF('1P-B'!C19&lt;&gt;0,'1P-B'!C19,"")</f>
        <v/>
      </c>
      <c r="I28" s="155"/>
      <c r="J28" s="152" t="str">
        <f>IF('1P-B'!D19&lt;&gt;0,'1P-B'!D19,"")</f>
        <v/>
      </c>
      <c r="K28" s="155"/>
    </row>
    <row r="29" spans="1:11">
      <c r="A29" s="78">
        <f>IF('1P-B'!A20&lt;&gt;0,'1P-B'!A20,"")</f>
        <v>18</v>
      </c>
      <c r="B29" s="149" t="str">
        <f>IF('1P-B'!B20&lt;&gt;0,'1P-B'!B20,"")</f>
        <v/>
      </c>
      <c r="C29" s="150"/>
      <c r="D29" s="150"/>
      <c r="E29" s="151"/>
      <c r="F29" s="152" t="str">
        <f>IF('1P-B'!G20&lt;&gt;0,'1P-B'!G20,"")</f>
        <v/>
      </c>
      <c r="G29" s="153"/>
      <c r="H29" s="154" t="str">
        <f>IF('1P-B'!C20&lt;&gt;0,'1P-B'!C20,"")</f>
        <v/>
      </c>
      <c r="I29" s="155"/>
      <c r="J29" s="152" t="str">
        <f>IF('1P-B'!D20&lt;&gt;0,'1P-B'!D20,"")</f>
        <v/>
      </c>
      <c r="K29" s="155"/>
    </row>
    <row r="30" spans="1:11">
      <c r="A30" s="78">
        <f>IF('1P-B'!A21&lt;&gt;0,'1P-B'!A21,"")</f>
        <v>19</v>
      </c>
      <c r="B30" s="149" t="str">
        <f>IF('1P-B'!B21&lt;&gt;0,'1P-B'!B21,"")</f>
        <v/>
      </c>
      <c r="C30" s="150"/>
      <c r="D30" s="150"/>
      <c r="E30" s="151"/>
      <c r="F30" s="152" t="str">
        <f>IF('1P-B'!G21&lt;&gt;0,'1P-B'!G21,"")</f>
        <v/>
      </c>
      <c r="G30" s="153"/>
      <c r="H30" s="154" t="str">
        <f>IF('1P-B'!C21&lt;&gt;0,'1P-B'!C21,"")</f>
        <v/>
      </c>
      <c r="I30" s="155"/>
      <c r="J30" s="152" t="str">
        <f>IF('1P-B'!D21&lt;&gt;0,'1P-B'!D21,"")</f>
        <v/>
      </c>
      <c r="K30" s="155"/>
    </row>
    <row r="31" spans="1:11">
      <c r="A31" s="78">
        <f>IF('1P-B'!A22&lt;&gt;0,'1P-B'!A22,"")</f>
        <v>20</v>
      </c>
      <c r="B31" s="149" t="str">
        <f>IF('1P-B'!B22&lt;&gt;0,'1P-B'!B22,"")</f>
        <v/>
      </c>
      <c r="C31" s="150"/>
      <c r="D31" s="150"/>
      <c r="E31" s="151"/>
      <c r="F31" s="152" t="str">
        <f>IF('1P-B'!G22&lt;&gt;0,'1P-B'!G22,"")</f>
        <v/>
      </c>
      <c r="G31" s="153"/>
      <c r="H31" s="154" t="str">
        <f>IF('1P-B'!C22&lt;&gt;0,'1P-B'!C22,"")</f>
        <v/>
      </c>
      <c r="I31" s="155"/>
      <c r="J31" s="152" t="str">
        <f>IF('1P-B'!D22&lt;&gt;0,'1P-B'!D22,"")</f>
        <v/>
      </c>
      <c r="K31" s="155"/>
    </row>
    <row r="32" spans="1:11">
      <c r="A32" s="78">
        <f>IF('1P-B'!A23&lt;&gt;0,'1P-B'!A23,"")</f>
        <v>21</v>
      </c>
      <c r="B32" s="149" t="str">
        <f>IF('1P-B'!B23&lt;&gt;0,'1P-B'!B23,"")</f>
        <v/>
      </c>
      <c r="C32" s="150"/>
      <c r="D32" s="150"/>
      <c r="E32" s="151"/>
      <c r="F32" s="152" t="str">
        <f>IF('1P-B'!G23&lt;&gt;0,'1P-B'!G23,"")</f>
        <v/>
      </c>
      <c r="G32" s="153"/>
      <c r="H32" s="154" t="str">
        <f>IF('1P-B'!C23&lt;&gt;0,'1P-B'!C23,"")</f>
        <v/>
      </c>
      <c r="I32" s="155"/>
      <c r="J32" s="152" t="str">
        <f>IF('1P-B'!D23&lt;&gt;0,'1P-B'!D23,"")</f>
        <v/>
      </c>
      <c r="K32" s="155"/>
    </row>
    <row r="33" spans="1:11">
      <c r="A33" s="78">
        <f>IF('1P-B'!A24&lt;&gt;0,'1P-B'!A24,"")</f>
        <v>22</v>
      </c>
      <c r="B33" s="149" t="str">
        <f>IF('1P-B'!B24&lt;&gt;0,'1P-B'!B24,"")</f>
        <v/>
      </c>
      <c r="C33" s="150"/>
      <c r="D33" s="150"/>
      <c r="E33" s="151"/>
      <c r="F33" s="152" t="str">
        <f>IF('1P-B'!G24&lt;&gt;0,'1P-B'!G24,"")</f>
        <v/>
      </c>
      <c r="G33" s="153"/>
      <c r="H33" s="154" t="str">
        <f>IF('1P-B'!C24&lt;&gt;0,'1P-B'!C24,"")</f>
        <v/>
      </c>
      <c r="I33" s="155"/>
      <c r="J33" s="152" t="str">
        <f>IF('1P-B'!D24&lt;&gt;0,'1P-B'!D24,"")</f>
        <v/>
      </c>
      <c r="K33" s="155"/>
    </row>
    <row r="34" spans="1:11">
      <c r="A34" s="78">
        <f>IF('1P-B'!A25&lt;&gt;0,'1P-B'!A25,"")</f>
        <v>23</v>
      </c>
      <c r="B34" s="149" t="str">
        <f>IF('1P-B'!B25&lt;&gt;0,'1P-B'!B25,"")</f>
        <v/>
      </c>
      <c r="C34" s="150"/>
      <c r="D34" s="150"/>
      <c r="E34" s="151"/>
      <c r="F34" s="152" t="str">
        <f>IF('1P-B'!G25&lt;&gt;0,'1P-B'!G25,"")</f>
        <v/>
      </c>
      <c r="G34" s="153"/>
      <c r="H34" s="154" t="str">
        <f>IF('1P-B'!C25&lt;&gt;0,'1P-B'!C25,"")</f>
        <v/>
      </c>
      <c r="I34" s="155"/>
      <c r="J34" s="152" t="str">
        <f>IF('1P-B'!D25&lt;&gt;0,'1P-B'!D25,"")</f>
        <v/>
      </c>
      <c r="K34" s="155"/>
    </row>
    <row r="35" spans="1:11">
      <c r="A35" s="78">
        <f>IF('1P-B'!A26&lt;&gt;0,'1P-B'!A26,"")</f>
        <v>24</v>
      </c>
      <c r="B35" s="149" t="str">
        <f>IF('1P-B'!B26&lt;&gt;0,'1P-B'!B26,"")</f>
        <v/>
      </c>
      <c r="C35" s="150"/>
      <c r="D35" s="150"/>
      <c r="E35" s="151"/>
      <c r="F35" s="152" t="str">
        <f>IF('1P-B'!G26&lt;&gt;0,'1P-B'!G26,"")</f>
        <v/>
      </c>
      <c r="G35" s="153"/>
      <c r="H35" s="154" t="str">
        <f>IF('1P-B'!C26&lt;&gt;0,'1P-B'!C26,"")</f>
        <v/>
      </c>
      <c r="I35" s="155"/>
      <c r="J35" s="152" t="str">
        <f>IF('1P-B'!D26&lt;&gt;0,'1P-B'!D26,"")</f>
        <v/>
      </c>
      <c r="K35" s="155"/>
    </row>
    <row r="36" spans="1:11" ht="15.75" thickBot="1">
      <c r="A36" s="80">
        <f>IF('1P-B'!A27&lt;&gt;0,'1P-B'!A27,"")</f>
        <v>25</v>
      </c>
      <c r="B36" s="142" t="str">
        <f>IF('1P-B'!B27&lt;&gt;0,'1P-B'!B27,"")</f>
        <v/>
      </c>
      <c r="C36" s="143"/>
      <c r="D36" s="143"/>
      <c r="E36" s="144"/>
      <c r="F36" s="145" t="str">
        <f>IF('1P-B'!G27&lt;&gt;0,'1P-B'!G27,"")</f>
        <v/>
      </c>
      <c r="G36" s="146"/>
      <c r="H36" s="147" t="str">
        <f>IF('1P-B'!C27&lt;&gt;0,'1P-B'!C27,"")</f>
        <v/>
      </c>
      <c r="I36" s="148"/>
      <c r="J36" s="145" t="str">
        <f>IF('1P-B'!D27&lt;&gt;0,'1P-B'!D27,"")</f>
        <v/>
      </c>
      <c r="K36" s="148"/>
    </row>
    <row r="38" spans="1:11" ht="15.75">
      <c r="A38" s="119" t="s">
        <v>81</v>
      </c>
      <c r="B38" s="119"/>
      <c r="C38" s="119"/>
      <c r="D38" s="119"/>
      <c r="E38" s="120">
        <f>'1P-B'!U4</f>
        <v>0</v>
      </c>
      <c r="F38" s="120"/>
    </row>
    <row r="39" spans="1:11">
      <c r="A39" s="66" t="s">
        <v>82</v>
      </c>
      <c r="E39" s="122">
        <f ca="1">'1P-B'!Q3</f>
        <v>0</v>
      </c>
      <c r="F39" s="122"/>
    </row>
    <row r="40" spans="1:11">
      <c r="A40" s="66" t="s">
        <v>83</v>
      </c>
      <c r="E40" s="122">
        <f ca="1">'1P-B'!R3</f>
        <v>0</v>
      </c>
      <c r="F40" s="122"/>
    </row>
    <row r="48" spans="1:11">
      <c r="A48" s="66" t="s">
        <v>84</v>
      </c>
      <c r="C48" s="121">
        <f ca="1">TODAY()</f>
        <v>44871</v>
      </c>
      <c r="D48" s="122"/>
      <c r="E48" s="122"/>
    </row>
  </sheetData>
  <sheetProtection algorithmName="SHA-512" hashValue="ewlSn2R3QSY6uy47hh5w5KHcuzybGuSws7p0j4S6OQDMcWdM7hiDnF6Cl4eisK6K+mbgn/Byxidl058q4Kt/Xw==" saltValue="TllPZx5TBYHNrw8sbXE72Q==" spinCount="100000" sheet="1" objects="1" scenarios="1" selectLockedCells="1"/>
  <mergeCells count="118">
    <mergeCell ref="B7:K7"/>
    <mergeCell ref="A9:K10"/>
    <mergeCell ref="B11:E11"/>
    <mergeCell ref="F11:G11"/>
    <mergeCell ref="H11:I11"/>
    <mergeCell ref="J11:K11"/>
    <mergeCell ref="B1:K1"/>
    <mergeCell ref="B2:K2"/>
    <mergeCell ref="B3:K3"/>
    <mergeCell ref="B4:K4"/>
    <mergeCell ref="B5:K5"/>
    <mergeCell ref="A6:C6"/>
    <mergeCell ref="D6:K6"/>
    <mergeCell ref="B14:E14"/>
    <mergeCell ref="F14:G14"/>
    <mergeCell ref="H14:I14"/>
    <mergeCell ref="J14:K14"/>
    <mergeCell ref="B15:E15"/>
    <mergeCell ref="F15:G15"/>
    <mergeCell ref="H15:I15"/>
    <mergeCell ref="J15:K15"/>
    <mergeCell ref="B12:E12"/>
    <mergeCell ref="F12:G12"/>
    <mergeCell ref="H12:I12"/>
    <mergeCell ref="J12:K12"/>
    <mergeCell ref="B13:E13"/>
    <mergeCell ref="F13:G13"/>
    <mergeCell ref="H13:I13"/>
    <mergeCell ref="J13:K13"/>
    <mergeCell ref="B18:E18"/>
    <mergeCell ref="F18:G18"/>
    <mergeCell ref="H18:I18"/>
    <mergeCell ref="J18:K18"/>
    <mergeCell ref="B19:E19"/>
    <mergeCell ref="F19:G19"/>
    <mergeCell ref="H19:I19"/>
    <mergeCell ref="J19:K19"/>
    <mergeCell ref="B16:E16"/>
    <mergeCell ref="F16:G16"/>
    <mergeCell ref="H16:I16"/>
    <mergeCell ref="J16:K16"/>
    <mergeCell ref="B17:E17"/>
    <mergeCell ref="F17:G17"/>
    <mergeCell ref="H17:I17"/>
    <mergeCell ref="J17:K17"/>
    <mergeCell ref="B22:E22"/>
    <mergeCell ref="F22:G22"/>
    <mergeCell ref="H22:I22"/>
    <mergeCell ref="J22:K22"/>
    <mergeCell ref="B23:E23"/>
    <mergeCell ref="F23:G23"/>
    <mergeCell ref="H23:I23"/>
    <mergeCell ref="J23:K23"/>
    <mergeCell ref="B20:E20"/>
    <mergeCell ref="F20:G20"/>
    <mergeCell ref="H20:I20"/>
    <mergeCell ref="J20:K20"/>
    <mergeCell ref="B21:E21"/>
    <mergeCell ref="F21:G21"/>
    <mergeCell ref="H21:I21"/>
    <mergeCell ref="J21:K21"/>
    <mergeCell ref="B26:E26"/>
    <mergeCell ref="F26:G26"/>
    <mergeCell ref="H26:I26"/>
    <mergeCell ref="J26:K26"/>
    <mergeCell ref="B27:E27"/>
    <mergeCell ref="F27:G27"/>
    <mergeCell ref="H27:I27"/>
    <mergeCell ref="J27:K27"/>
    <mergeCell ref="B24:E24"/>
    <mergeCell ref="F24:G24"/>
    <mergeCell ref="H24:I24"/>
    <mergeCell ref="J24:K24"/>
    <mergeCell ref="B25:E25"/>
    <mergeCell ref="F25:G25"/>
    <mergeCell ref="H25:I25"/>
    <mergeCell ref="J25:K25"/>
    <mergeCell ref="B30:E30"/>
    <mergeCell ref="F30:G30"/>
    <mergeCell ref="H30:I30"/>
    <mergeCell ref="J30:K30"/>
    <mergeCell ref="B31:E31"/>
    <mergeCell ref="F31:G31"/>
    <mergeCell ref="H31:I31"/>
    <mergeCell ref="J31:K31"/>
    <mergeCell ref="B28:E28"/>
    <mergeCell ref="F28:G28"/>
    <mergeCell ref="H28:I28"/>
    <mergeCell ref="J28:K28"/>
    <mergeCell ref="B29:E29"/>
    <mergeCell ref="F29:G29"/>
    <mergeCell ref="H29:I29"/>
    <mergeCell ref="J29:K29"/>
    <mergeCell ref="B34:E34"/>
    <mergeCell ref="F34:G34"/>
    <mergeCell ref="H34:I34"/>
    <mergeCell ref="J34:K34"/>
    <mergeCell ref="B35:E35"/>
    <mergeCell ref="F35:G35"/>
    <mergeCell ref="H35:I35"/>
    <mergeCell ref="J35:K35"/>
    <mergeCell ref="B32:E32"/>
    <mergeCell ref="F32:G32"/>
    <mergeCell ref="H32:I32"/>
    <mergeCell ref="J32:K32"/>
    <mergeCell ref="B33:E33"/>
    <mergeCell ref="F33:G33"/>
    <mergeCell ref="H33:I33"/>
    <mergeCell ref="J33:K33"/>
    <mergeCell ref="E39:F39"/>
    <mergeCell ref="E40:F40"/>
    <mergeCell ref="C48:E48"/>
    <mergeCell ref="B36:E36"/>
    <mergeCell ref="F36:G36"/>
    <mergeCell ref="H36:I36"/>
    <mergeCell ref="J36:K36"/>
    <mergeCell ref="A38:D38"/>
    <mergeCell ref="E38:F38"/>
  </mergeCells>
  <conditionalFormatting sqref="A12:K36">
    <cfRule type="expression" dxfId="248" priority="1">
      <formula>IF($J12&lt;&gt;"",1,0)</formula>
    </cfRule>
  </conditionalFormatting>
  <conditionalFormatting sqref="B2 B3:B5 D6">
    <cfRule type="expression" dxfId="247" priority="2">
      <formula>ROW()=CELL("LIN")</formula>
    </cfRule>
  </conditionalFormatting>
  <pageMargins left="0.39370078740157483" right="0.3543307086614173" top="1.1417322834645669" bottom="0.39370078740157483" header="0.31496062992125984" footer="0.31496062992125984"/>
  <pageSetup paperSize="9" scale="96" fitToHeight="0"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40E5C-6C68-4DB3-B478-5417F3DD2FEB}">
  <sheetPr codeName="Plan2">
    <pageSetUpPr fitToPage="1"/>
  </sheetPr>
  <dimension ref="A1:U27"/>
  <sheetViews>
    <sheetView showGridLines="0" showRowColHeaders="0" view="pageBreakPreview" zoomScale="60" zoomScaleNormal="60" zoomScalePageLayoutView="40" workbookViewId="0">
      <pane ySplit="1" topLeftCell="A2" activePane="bottomLeft" state="frozen"/>
      <selection pane="bottomLeft" activeCell="D3" sqref="D3"/>
    </sheetView>
  </sheetViews>
  <sheetFormatPr defaultColWidth="9.140625" defaultRowHeight="15"/>
  <cols>
    <col min="1" max="1" width="8.5703125" style="17" customWidth="1"/>
    <col min="2" max="2" width="42" style="17" customWidth="1"/>
    <col min="3" max="3" width="17" style="18" bestFit="1" customWidth="1"/>
    <col min="4" max="4" width="23.85546875" style="19" customWidth="1"/>
    <col min="5" max="5" width="28.5703125" style="17" customWidth="1"/>
    <col min="6" max="6" width="30.5703125" style="27" bestFit="1" customWidth="1"/>
    <col min="7" max="7" width="25.7109375" style="27" customWidth="1"/>
    <col min="8" max="8" width="21.140625" style="17" customWidth="1"/>
    <col min="9" max="9" width="17.5703125" style="17" customWidth="1"/>
    <col min="10" max="10" width="44.42578125" style="17" customWidth="1"/>
    <col min="11" max="11" width="9.7109375" style="17" customWidth="1"/>
    <col min="12" max="12" width="9.28515625" style="17" customWidth="1"/>
    <col min="13" max="13" width="9.140625" style="17"/>
    <col min="14" max="14" width="16.140625" style="17" customWidth="1"/>
    <col min="15" max="15" width="12.7109375" style="17" customWidth="1"/>
    <col min="16" max="16384" width="9.140625" style="17"/>
  </cols>
  <sheetData>
    <row r="1" spans="1:21" ht="75" customHeight="1"/>
    <row r="2" spans="1:21" ht="60">
      <c r="A2" s="20" t="s">
        <v>9</v>
      </c>
      <c r="B2" s="21" t="s">
        <v>10</v>
      </c>
      <c r="C2" s="22" t="s">
        <v>13</v>
      </c>
      <c r="D2" s="23" t="s">
        <v>16</v>
      </c>
      <c r="E2" s="22" t="s">
        <v>11</v>
      </c>
      <c r="F2" s="22" t="s">
        <v>12</v>
      </c>
      <c r="G2" s="22" t="s">
        <v>14</v>
      </c>
      <c r="H2" s="22" t="s">
        <v>15</v>
      </c>
      <c r="I2" s="22" t="s">
        <v>17</v>
      </c>
      <c r="J2" s="21" t="s">
        <v>18</v>
      </c>
      <c r="K2" s="26" t="s">
        <v>19</v>
      </c>
      <c r="L2" s="67"/>
      <c r="M2" s="68"/>
      <c r="N2" s="68"/>
      <c r="O2" s="68"/>
      <c r="P2" s="69" t="s">
        <v>0</v>
      </c>
      <c r="Q2" s="70" t="s">
        <v>1</v>
      </c>
      <c r="R2" s="70" t="s">
        <v>2</v>
      </c>
      <c r="S2" s="71" t="s">
        <v>3</v>
      </c>
      <c r="T2" s="70" t="s">
        <v>4</v>
      </c>
      <c r="U2" s="68"/>
    </row>
    <row r="3" spans="1:21">
      <c r="A3" s="81">
        <v>1</v>
      </c>
      <c r="B3" s="44"/>
      <c r="C3" s="45"/>
      <c r="D3" s="47"/>
      <c r="E3" s="46">
        <v>0</v>
      </c>
      <c r="F3" s="51"/>
      <c r="G3" s="52"/>
      <c r="H3" s="52"/>
      <c r="I3" s="47"/>
      <c r="J3" s="44"/>
      <c r="K3" s="24">
        <f t="shared" ref="K3:K27" ca="1" si="0">QUOTIENT(IF(DATEDIF(C3,TODAY(),"y")&gt;90,0,DATEDIF(C3,TODAY(),"m")),12)</f>
        <v>0</v>
      </c>
      <c r="L3" s="68">
        <f t="shared" ref="L3:L27" ca="1" si="1">IF($K3=0,0,IF($K3&lt;($P$3),1,0))</f>
        <v>0</v>
      </c>
      <c r="M3" s="68">
        <f t="shared" ref="M3:M27" ca="1" si="2">IF($K3&gt;($P$3),1,0)</f>
        <v>0</v>
      </c>
      <c r="N3" s="68" t="b">
        <f ca="1">IF(IF(DATEDIF(C3,TODAY(),"y")&gt;90,0,DATEDIF(C3,TODAY(),"m"))&gt;0,CONCATENATE(QUOTIENT(IF(DATEDIF(C3,TODAY(),"y")&gt;90,0,DATEDIF(C3,TODAY(),"m")),12)," anos e ",MOD(IF(DATEDIF(C3,TODAY(),"y")&gt;90,0,DATEDIF(C3,TODAY(),"m")),12)," mês"))</f>
        <v>0</v>
      </c>
      <c r="O3" s="68" t="str">
        <f ca="1">IF(C3="","",DATEDIF($C3,TODAY(),"m"))</f>
        <v/>
      </c>
      <c r="P3" s="68">
        <v>4</v>
      </c>
      <c r="Q3" s="68">
        <f ca="1">SUM(L3:L27)</f>
        <v>0</v>
      </c>
      <c r="R3" s="68">
        <f ca="1">SUM(M3:M27)</f>
        <v>0</v>
      </c>
      <c r="S3" s="71" t="s">
        <v>7</v>
      </c>
      <c r="T3" s="68">
        <f>($P$3*12)</f>
        <v>48</v>
      </c>
      <c r="U3" s="68"/>
    </row>
    <row r="4" spans="1:21" ht="15.75">
      <c r="A4" s="81">
        <v>2</v>
      </c>
      <c r="B4" s="44"/>
      <c r="C4" s="45"/>
      <c r="D4" s="47"/>
      <c r="E4" s="46">
        <v>0</v>
      </c>
      <c r="F4" s="51"/>
      <c r="G4" s="52"/>
      <c r="H4" s="52"/>
      <c r="I4" s="47"/>
      <c r="J4" s="44"/>
      <c r="K4" s="24">
        <f t="shared" ca="1" si="0"/>
        <v>0</v>
      </c>
      <c r="L4" s="68">
        <f t="shared" ca="1" si="1"/>
        <v>0</v>
      </c>
      <c r="M4" s="68">
        <f t="shared" ca="1" si="2"/>
        <v>0</v>
      </c>
      <c r="N4" s="68" t="b">
        <f t="shared" ref="N4:N27" ca="1" si="3">IF(IF(DATEDIF(C4,TODAY(),"y")&gt;90,0,DATEDIF(C4,TODAY(),"m"))&gt;0,CONCATENATE(QUOTIENT(IF(DATEDIF(C4,TODAY(),"y")&gt;90,0,DATEDIF(C4,TODAY(),"m")),12)," anos e ",MOD(IF(DATEDIF(C4,TODAY(),"y")&gt;90,0,DATEDIF(C4,TODAY(),"m")),12)," mês"))</f>
        <v>0</v>
      </c>
      <c r="O4" s="68" t="str">
        <f ca="1">IF(C4="","",DATEDIF($C4,TODAY(),"m"))</f>
        <v/>
      </c>
      <c r="P4" s="123" t="s">
        <v>6</v>
      </c>
      <c r="Q4" s="123"/>
      <c r="R4" s="123"/>
      <c r="S4" s="123"/>
      <c r="T4" s="123"/>
      <c r="U4" s="68">
        <f>COUNTA(B3:B27)-COUNTA(D3:D27)</f>
        <v>0</v>
      </c>
    </row>
    <row r="5" spans="1:21">
      <c r="A5" s="81">
        <v>3</v>
      </c>
      <c r="B5" s="44"/>
      <c r="C5" s="45"/>
      <c r="D5" s="47"/>
      <c r="E5" s="46">
        <v>0</v>
      </c>
      <c r="F5" s="51"/>
      <c r="G5" s="52"/>
      <c r="H5" s="52"/>
      <c r="I5" s="47"/>
      <c r="J5" s="44"/>
      <c r="K5" s="24">
        <f t="shared" ca="1" si="0"/>
        <v>0</v>
      </c>
      <c r="L5" s="68">
        <f t="shared" ca="1" si="1"/>
        <v>0</v>
      </c>
      <c r="M5" s="68">
        <f t="shared" ca="1" si="2"/>
        <v>0</v>
      </c>
      <c r="N5" s="68" t="b">
        <f t="shared" ca="1" si="3"/>
        <v>0</v>
      </c>
      <c r="O5" s="68" t="str">
        <f ca="1">IF(C5="","",DATEDIF($C5,TODAY(),"m"))</f>
        <v/>
      </c>
      <c r="P5" s="68"/>
      <c r="Q5" s="68"/>
      <c r="R5" s="68"/>
      <c r="S5" s="68"/>
      <c r="T5" s="68"/>
      <c r="U5" s="68"/>
    </row>
    <row r="6" spans="1:21">
      <c r="A6" s="81">
        <v>4</v>
      </c>
      <c r="B6" s="44"/>
      <c r="C6" s="45"/>
      <c r="D6" s="47"/>
      <c r="E6" s="46">
        <v>0</v>
      </c>
      <c r="F6" s="51"/>
      <c r="G6" s="52"/>
      <c r="H6" s="52"/>
      <c r="I6" s="47"/>
      <c r="J6" s="44"/>
      <c r="K6" s="24">
        <f t="shared" ca="1" si="0"/>
        <v>0</v>
      </c>
      <c r="L6" s="68">
        <f t="shared" ca="1" si="1"/>
        <v>0</v>
      </c>
      <c r="M6" s="68">
        <f t="shared" ca="1" si="2"/>
        <v>0</v>
      </c>
      <c r="N6" s="68" t="b">
        <f t="shared" ca="1" si="3"/>
        <v>0</v>
      </c>
      <c r="O6" s="68" t="str">
        <f t="shared" ref="O6:O26" ca="1" si="4">IF(C5="","",DATEDIF($C5,TODAY(),"m"))</f>
        <v/>
      </c>
      <c r="P6" s="68"/>
      <c r="Q6" s="68"/>
      <c r="R6" s="68"/>
      <c r="S6" s="68"/>
      <c r="T6" s="68"/>
      <c r="U6" s="68"/>
    </row>
    <row r="7" spans="1:21">
      <c r="A7" s="81">
        <v>5</v>
      </c>
      <c r="B7" s="44"/>
      <c r="C7" s="45"/>
      <c r="D7" s="47"/>
      <c r="E7" s="46">
        <v>0</v>
      </c>
      <c r="F7" s="51"/>
      <c r="G7" s="52"/>
      <c r="H7" s="52"/>
      <c r="I7" s="47"/>
      <c r="J7" s="44"/>
      <c r="K7" s="24">
        <f t="shared" ca="1" si="0"/>
        <v>0</v>
      </c>
      <c r="L7" s="68">
        <f t="shared" ca="1" si="1"/>
        <v>0</v>
      </c>
      <c r="M7" s="68">
        <f t="shared" ca="1" si="2"/>
        <v>0</v>
      </c>
      <c r="N7" s="68" t="b">
        <f t="shared" ca="1" si="3"/>
        <v>0</v>
      </c>
      <c r="O7" s="68" t="str">
        <f t="shared" ca="1" si="4"/>
        <v/>
      </c>
      <c r="P7" s="68"/>
      <c r="Q7" s="68"/>
      <c r="R7" s="68"/>
      <c r="S7" s="68"/>
      <c r="T7" s="68"/>
      <c r="U7" s="68"/>
    </row>
    <row r="8" spans="1:21">
      <c r="A8" s="81">
        <v>6</v>
      </c>
      <c r="B8" s="44"/>
      <c r="C8" s="45"/>
      <c r="D8" s="47"/>
      <c r="E8" s="46">
        <v>0</v>
      </c>
      <c r="F8" s="51"/>
      <c r="G8" s="52"/>
      <c r="H8" s="52"/>
      <c r="I8" s="47"/>
      <c r="J8" s="44"/>
      <c r="K8" s="24">
        <f t="shared" ca="1" si="0"/>
        <v>0</v>
      </c>
      <c r="L8" s="68">
        <f t="shared" ca="1" si="1"/>
        <v>0</v>
      </c>
      <c r="M8" s="68">
        <f t="shared" ca="1" si="2"/>
        <v>0</v>
      </c>
      <c r="N8" s="68" t="b">
        <f t="shared" ca="1" si="3"/>
        <v>0</v>
      </c>
      <c r="O8" s="68" t="str">
        <f t="shared" ca="1" si="4"/>
        <v/>
      </c>
      <c r="P8" s="68"/>
      <c r="Q8" s="68"/>
      <c r="R8" s="68"/>
      <c r="S8" s="68"/>
      <c r="T8" s="68"/>
      <c r="U8" s="68"/>
    </row>
    <row r="9" spans="1:21">
      <c r="A9" s="81">
        <v>7</v>
      </c>
      <c r="B9" s="44"/>
      <c r="C9" s="45"/>
      <c r="D9" s="47"/>
      <c r="E9" s="46">
        <v>0</v>
      </c>
      <c r="F9" s="51"/>
      <c r="G9" s="52"/>
      <c r="H9" s="52"/>
      <c r="I9" s="47"/>
      <c r="J9" s="44"/>
      <c r="K9" s="24">
        <f t="shared" ca="1" si="0"/>
        <v>0</v>
      </c>
      <c r="L9" s="68">
        <f t="shared" ca="1" si="1"/>
        <v>0</v>
      </c>
      <c r="M9" s="68">
        <f t="shared" ca="1" si="2"/>
        <v>0</v>
      </c>
      <c r="N9" s="68" t="b">
        <f t="shared" ca="1" si="3"/>
        <v>0</v>
      </c>
      <c r="O9" s="68" t="str">
        <f t="shared" ca="1" si="4"/>
        <v/>
      </c>
      <c r="P9" s="68"/>
      <c r="Q9" s="68"/>
      <c r="R9" s="68"/>
      <c r="S9" s="68"/>
      <c r="T9" s="68"/>
      <c r="U9" s="68"/>
    </row>
    <row r="10" spans="1:21">
      <c r="A10" s="81">
        <v>8</v>
      </c>
      <c r="B10" s="44"/>
      <c r="C10" s="45"/>
      <c r="D10" s="47"/>
      <c r="E10" s="46">
        <v>0</v>
      </c>
      <c r="F10" s="51"/>
      <c r="G10" s="52"/>
      <c r="H10" s="52"/>
      <c r="I10" s="47"/>
      <c r="J10" s="44"/>
      <c r="K10" s="24">
        <f t="shared" ca="1" si="0"/>
        <v>0</v>
      </c>
      <c r="L10" s="68">
        <f t="shared" ca="1" si="1"/>
        <v>0</v>
      </c>
      <c r="M10" s="68">
        <f t="shared" ca="1" si="2"/>
        <v>0</v>
      </c>
      <c r="N10" s="68" t="b">
        <f t="shared" ca="1" si="3"/>
        <v>0</v>
      </c>
      <c r="O10" s="68" t="str">
        <f t="shared" ca="1" si="4"/>
        <v/>
      </c>
      <c r="P10" s="68"/>
      <c r="Q10" s="68"/>
      <c r="R10" s="68"/>
      <c r="S10" s="68"/>
      <c r="T10" s="68"/>
      <c r="U10" s="68"/>
    </row>
    <row r="11" spans="1:21">
      <c r="A11" s="81">
        <v>9</v>
      </c>
      <c r="B11" s="44"/>
      <c r="C11" s="45"/>
      <c r="D11" s="47"/>
      <c r="E11" s="46">
        <v>0</v>
      </c>
      <c r="F11" s="51"/>
      <c r="G11" s="52"/>
      <c r="H11" s="52"/>
      <c r="I11" s="47"/>
      <c r="J11" s="44"/>
      <c r="K11" s="24">
        <f t="shared" ca="1" si="0"/>
        <v>0</v>
      </c>
      <c r="L11" s="68">
        <f t="shared" ca="1" si="1"/>
        <v>0</v>
      </c>
      <c r="M11" s="68">
        <f t="shared" ca="1" si="2"/>
        <v>0</v>
      </c>
      <c r="N11" s="68" t="b">
        <f t="shared" ca="1" si="3"/>
        <v>0</v>
      </c>
      <c r="O11" s="68" t="str">
        <f t="shared" ca="1" si="4"/>
        <v/>
      </c>
      <c r="P11" s="68"/>
      <c r="Q11" s="68"/>
      <c r="R11" s="68"/>
      <c r="S11" s="68"/>
      <c r="T11" s="68"/>
      <c r="U11" s="68"/>
    </row>
    <row r="12" spans="1:21">
      <c r="A12" s="81">
        <v>10</v>
      </c>
      <c r="B12" s="44"/>
      <c r="C12" s="45"/>
      <c r="D12" s="47"/>
      <c r="E12" s="46">
        <v>0</v>
      </c>
      <c r="F12" s="51"/>
      <c r="G12" s="52"/>
      <c r="H12" s="52"/>
      <c r="I12" s="47"/>
      <c r="J12" s="44"/>
      <c r="K12" s="24">
        <f t="shared" ca="1" si="0"/>
        <v>0</v>
      </c>
      <c r="L12" s="68">
        <f t="shared" ca="1" si="1"/>
        <v>0</v>
      </c>
      <c r="M12" s="68">
        <f t="shared" ca="1" si="2"/>
        <v>0</v>
      </c>
      <c r="N12" s="68" t="b">
        <f t="shared" ca="1" si="3"/>
        <v>0</v>
      </c>
      <c r="O12" s="68" t="str">
        <f t="shared" ca="1" si="4"/>
        <v/>
      </c>
      <c r="P12" s="68"/>
      <c r="Q12" s="68"/>
      <c r="R12" s="68"/>
      <c r="S12" s="68"/>
      <c r="T12" s="68"/>
      <c r="U12" s="68"/>
    </row>
    <row r="13" spans="1:21">
      <c r="A13" s="81">
        <v>11</v>
      </c>
      <c r="B13" s="44"/>
      <c r="C13" s="45"/>
      <c r="D13" s="47"/>
      <c r="E13" s="46">
        <v>0</v>
      </c>
      <c r="F13" s="51"/>
      <c r="G13" s="52"/>
      <c r="H13" s="52"/>
      <c r="I13" s="47"/>
      <c r="J13" s="44"/>
      <c r="K13" s="24">
        <f t="shared" ca="1" si="0"/>
        <v>0</v>
      </c>
      <c r="L13" s="68">
        <f t="shared" ca="1" si="1"/>
        <v>0</v>
      </c>
      <c r="M13" s="68">
        <f t="shared" ca="1" si="2"/>
        <v>0</v>
      </c>
      <c r="N13" s="68" t="b">
        <f t="shared" ca="1" si="3"/>
        <v>0</v>
      </c>
      <c r="O13" s="68" t="str">
        <f t="shared" ca="1" si="4"/>
        <v/>
      </c>
      <c r="P13" s="68"/>
      <c r="Q13" s="68"/>
      <c r="R13" s="68"/>
      <c r="S13" s="68"/>
      <c r="T13" s="68"/>
      <c r="U13" s="68"/>
    </row>
    <row r="14" spans="1:21">
      <c r="A14" s="81">
        <v>12</v>
      </c>
      <c r="B14" s="44"/>
      <c r="C14" s="45"/>
      <c r="D14" s="47"/>
      <c r="E14" s="46">
        <v>0</v>
      </c>
      <c r="F14" s="51"/>
      <c r="G14" s="52"/>
      <c r="H14" s="52"/>
      <c r="I14" s="47"/>
      <c r="J14" s="44"/>
      <c r="K14" s="24">
        <f t="shared" ca="1" si="0"/>
        <v>0</v>
      </c>
      <c r="L14" s="68">
        <f t="shared" ca="1" si="1"/>
        <v>0</v>
      </c>
      <c r="M14" s="68">
        <f t="shared" ca="1" si="2"/>
        <v>0</v>
      </c>
      <c r="N14" s="68" t="b">
        <f t="shared" ca="1" si="3"/>
        <v>0</v>
      </c>
      <c r="O14" s="68" t="str">
        <f t="shared" ca="1" si="4"/>
        <v/>
      </c>
      <c r="P14" s="68"/>
      <c r="Q14" s="68"/>
      <c r="R14" s="68"/>
      <c r="S14" s="68"/>
      <c r="T14" s="68"/>
      <c r="U14" s="68"/>
    </row>
    <row r="15" spans="1:21">
      <c r="A15" s="81">
        <v>13</v>
      </c>
      <c r="B15" s="44"/>
      <c r="C15" s="45"/>
      <c r="D15" s="47"/>
      <c r="E15" s="46">
        <v>0</v>
      </c>
      <c r="F15" s="51"/>
      <c r="G15" s="52"/>
      <c r="H15" s="52"/>
      <c r="I15" s="47"/>
      <c r="J15" s="44"/>
      <c r="K15" s="24">
        <f t="shared" ca="1" si="0"/>
        <v>0</v>
      </c>
      <c r="L15" s="68">
        <f t="shared" ca="1" si="1"/>
        <v>0</v>
      </c>
      <c r="M15" s="68">
        <f t="shared" ca="1" si="2"/>
        <v>0</v>
      </c>
      <c r="N15" s="68" t="b">
        <f t="shared" ca="1" si="3"/>
        <v>0</v>
      </c>
      <c r="O15" s="68" t="str">
        <f t="shared" ca="1" si="4"/>
        <v/>
      </c>
      <c r="P15" s="68"/>
      <c r="Q15" s="68"/>
      <c r="R15" s="68"/>
      <c r="S15" s="68"/>
      <c r="T15" s="68"/>
      <c r="U15" s="68"/>
    </row>
    <row r="16" spans="1:21">
      <c r="A16" s="81">
        <v>14</v>
      </c>
      <c r="B16" s="44"/>
      <c r="C16" s="45"/>
      <c r="D16" s="47"/>
      <c r="E16" s="46">
        <v>0</v>
      </c>
      <c r="F16" s="51"/>
      <c r="G16" s="52"/>
      <c r="H16" s="52"/>
      <c r="I16" s="47"/>
      <c r="J16" s="44"/>
      <c r="K16" s="24">
        <f t="shared" ca="1" si="0"/>
        <v>0</v>
      </c>
      <c r="L16" s="68">
        <f t="shared" ca="1" si="1"/>
        <v>0</v>
      </c>
      <c r="M16" s="68">
        <f t="shared" ca="1" si="2"/>
        <v>0</v>
      </c>
      <c r="N16" s="68" t="b">
        <f t="shared" ca="1" si="3"/>
        <v>0</v>
      </c>
      <c r="O16" s="68" t="str">
        <f t="shared" ca="1" si="4"/>
        <v/>
      </c>
      <c r="P16" s="68"/>
      <c r="Q16" s="68"/>
      <c r="R16" s="68"/>
      <c r="S16" s="68"/>
      <c r="T16" s="68"/>
      <c r="U16" s="68"/>
    </row>
    <row r="17" spans="1:21">
      <c r="A17" s="81">
        <v>15</v>
      </c>
      <c r="B17" s="44"/>
      <c r="C17" s="45"/>
      <c r="D17" s="47"/>
      <c r="E17" s="46">
        <v>0</v>
      </c>
      <c r="F17" s="51"/>
      <c r="G17" s="52"/>
      <c r="H17" s="52"/>
      <c r="I17" s="53"/>
      <c r="J17" s="44"/>
      <c r="K17" s="24">
        <f t="shared" ca="1" si="0"/>
        <v>0</v>
      </c>
      <c r="L17" s="68">
        <f t="shared" ca="1" si="1"/>
        <v>0</v>
      </c>
      <c r="M17" s="68">
        <f t="shared" ca="1" si="2"/>
        <v>0</v>
      </c>
      <c r="N17" s="68" t="b">
        <f t="shared" ca="1" si="3"/>
        <v>0</v>
      </c>
      <c r="O17" s="68" t="str">
        <f t="shared" ca="1" si="4"/>
        <v/>
      </c>
      <c r="P17" s="68"/>
      <c r="Q17" s="68"/>
      <c r="R17" s="68"/>
      <c r="S17" s="68"/>
      <c r="T17" s="68"/>
      <c r="U17" s="68"/>
    </row>
    <row r="18" spans="1:21">
      <c r="A18" s="81">
        <v>16</v>
      </c>
      <c r="B18" s="44"/>
      <c r="C18" s="45"/>
      <c r="D18" s="47"/>
      <c r="E18" s="46">
        <v>0</v>
      </c>
      <c r="F18" s="51"/>
      <c r="G18" s="52"/>
      <c r="H18" s="52"/>
      <c r="I18" s="47"/>
      <c r="J18" s="44"/>
      <c r="K18" s="24">
        <f t="shared" ca="1" si="0"/>
        <v>0</v>
      </c>
      <c r="L18" s="68">
        <f t="shared" ca="1" si="1"/>
        <v>0</v>
      </c>
      <c r="M18" s="68">
        <f t="shared" ca="1" si="2"/>
        <v>0</v>
      </c>
      <c r="N18" s="68" t="b">
        <f t="shared" ca="1" si="3"/>
        <v>0</v>
      </c>
      <c r="O18" s="68" t="str">
        <f t="shared" ca="1" si="4"/>
        <v/>
      </c>
      <c r="P18" s="68"/>
      <c r="Q18" s="68"/>
      <c r="R18" s="68"/>
      <c r="S18" s="68"/>
      <c r="T18" s="68"/>
      <c r="U18" s="68"/>
    </row>
    <row r="19" spans="1:21">
      <c r="A19" s="81">
        <v>17</v>
      </c>
      <c r="B19" s="44"/>
      <c r="C19" s="45"/>
      <c r="D19" s="47"/>
      <c r="E19" s="46">
        <v>0</v>
      </c>
      <c r="F19" s="51"/>
      <c r="G19" s="52"/>
      <c r="H19" s="52"/>
      <c r="I19" s="53"/>
      <c r="J19" s="44"/>
      <c r="K19" s="24">
        <f t="shared" ca="1" si="0"/>
        <v>0</v>
      </c>
      <c r="L19" s="68">
        <f t="shared" ca="1" si="1"/>
        <v>0</v>
      </c>
      <c r="M19" s="68">
        <f t="shared" ca="1" si="2"/>
        <v>0</v>
      </c>
      <c r="N19" s="68" t="b">
        <f t="shared" ca="1" si="3"/>
        <v>0</v>
      </c>
      <c r="O19" s="68" t="str">
        <f t="shared" ca="1" si="4"/>
        <v/>
      </c>
      <c r="P19" s="68"/>
      <c r="Q19" s="68"/>
      <c r="R19" s="68"/>
      <c r="S19" s="68"/>
      <c r="T19" s="68"/>
      <c r="U19" s="68"/>
    </row>
    <row r="20" spans="1:21">
      <c r="A20" s="81">
        <v>18</v>
      </c>
      <c r="B20" s="44"/>
      <c r="C20" s="45"/>
      <c r="D20" s="47"/>
      <c r="E20" s="46">
        <v>0</v>
      </c>
      <c r="F20" s="51"/>
      <c r="G20" s="52"/>
      <c r="H20" s="52"/>
      <c r="I20" s="47"/>
      <c r="J20" s="44"/>
      <c r="K20" s="24">
        <f t="shared" ca="1" si="0"/>
        <v>0</v>
      </c>
      <c r="L20" s="68">
        <f t="shared" ca="1" si="1"/>
        <v>0</v>
      </c>
      <c r="M20" s="68">
        <f t="shared" ca="1" si="2"/>
        <v>0</v>
      </c>
      <c r="N20" s="68" t="b">
        <f t="shared" ca="1" si="3"/>
        <v>0</v>
      </c>
      <c r="O20" s="68" t="str">
        <f t="shared" ca="1" si="4"/>
        <v/>
      </c>
      <c r="P20" s="68"/>
      <c r="Q20" s="68"/>
      <c r="R20" s="68"/>
      <c r="S20" s="68"/>
      <c r="T20" s="68"/>
      <c r="U20" s="68"/>
    </row>
    <row r="21" spans="1:21">
      <c r="A21" s="81">
        <v>19</v>
      </c>
      <c r="B21" s="44"/>
      <c r="C21" s="45"/>
      <c r="D21" s="47"/>
      <c r="E21" s="46">
        <v>0</v>
      </c>
      <c r="F21" s="51"/>
      <c r="G21" s="52"/>
      <c r="H21" s="52"/>
      <c r="I21" s="47"/>
      <c r="J21" s="44"/>
      <c r="K21" s="24">
        <f t="shared" ca="1" si="0"/>
        <v>0</v>
      </c>
      <c r="L21" s="68">
        <f t="shared" ca="1" si="1"/>
        <v>0</v>
      </c>
      <c r="M21" s="68">
        <f t="shared" ca="1" si="2"/>
        <v>0</v>
      </c>
      <c r="N21" s="68" t="b">
        <f t="shared" ca="1" si="3"/>
        <v>0</v>
      </c>
      <c r="O21" s="68" t="str">
        <f t="shared" ca="1" si="4"/>
        <v/>
      </c>
      <c r="P21" s="68"/>
      <c r="Q21" s="68"/>
      <c r="R21" s="68"/>
      <c r="S21" s="68"/>
      <c r="T21" s="68"/>
      <c r="U21" s="68"/>
    </row>
    <row r="22" spans="1:21">
      <c r="A22" s="81">
        <v>20</v>
      </c>
      <c r="B22" s="44"/>
      <c r="C22" s="45"/>
      <c r="D22" s="47"/>
      <c r="E22" s="46">
        <v>0</v>
      </c>
      <c r="F22" s="51"/>
      <c r="G22" s="52"/>
      <c r="H22" s="52"/>
      <c r="I22" s="47"/>
      <c r="J22" s="44"/>
      <c r="K22" s="24">
        <f t="shared" ca="1" si="0"/>
        <v>0</v>
      </c>
      <c r="L22" s="68">
        <f t="shared" ca="1" si="1"/>
        <v>0</v>
      </c>
      <c r="M22" s="68">
        <f t="shared" ca="1" si="2"/>
        <v>0</v>
      </c>
      <c r="N22" s="68" t="b">
        <f t="shared" ca="1" si="3"/>
        <v>0</v>
      </c>
      <c r="O22" s="68" t="str">
        <f t="shared" ca="1" si="4"/>
        <v/>
      </c>
      <c r="P22" s="68"/>
      <c r="Q22" s="68"/>
      <c r="R22" s="68"/>
      <c r="S22" s="68"/>
      <c r="T22" s="68"/>
      <c r="U22" s="68"/>
    </row>
    <row r="23" spans="1:21" ht="15.75">
      <c r="A23" s="82">
        <v>21</v>
      </c>
      <c r="B23" s="44"/>
      <c r="C23" s="45"/>
      <c r="D23" s="47"/>
      <c r="E23" s="46">
        <v>0</v>
      </c>
      <c r="F23" s="51"/>
      <c r="G23" s="52"/>
      <c r="H23" s="52"/>
      <c r="I23" s="47"/>
      <c r="J23" s="44"/>
      <c r="K23" s="24">
        <f t="shared" ca="1" si="0"/>
        <v>0</v>
      </c>
      <c r="L23" s="68">
        <f t="shared" ca="1" si="1"/>
        <v>0</v>
      </c>
      <c r="M23" s="68">
        <f t="shared" ca="1" si="2"/>
        <v>0</v>
      </c>
      <c r="N23" s="68" t="b">
        <f t="shared" ca="1" si="3"/>
        <v>0</v>
      </c>
      <c r="O23" s="68" t="str">
        <f t="shared" ca="1" si="4"/>
        <v/>
      </c>
      <c r="P23" s="68"/>
      <c r="Q23" s="68"/>
      <c r="R23" s="68"/>
      <c r="S23" s="68"/>
      <c r="T23" s="68"/>
      <c r="U23" s="68"/>
    </row>
    <row r="24" spans="1:21" ht="15.75">
      <c r="A24" s="82">
        <v>22</v>
      </c>
      <c r="B24" s="44"/>
      <c r="C24" s="45"/>
      <c r="D24" s="47"/>
      <c r="E24" s="46">
        <v>0</v>
      </c>
      <c r="F24" s="51"/>
      <c r="G24" s="52"/>
      <c r="H24" s="52"/>
      <c r="I24" s="47"/>
      <c r="J24" s="44"/>
      <c r="K24" s="24">
        <f t="shared" ca="1" si="0"/>
        <v>0</v>
      </c>
      <c r="L24" s="68">
        <f t="shared" ca="1" si="1"/>
        <v>0</v>
      </c>
      <c r="M24" s="68">
        <f t="shared" ca="1" si="2"/>
        <v>0</v>
      </c>
      <c r="N24" s="68" t="b">
        <f t="shared" ca="1" si="3"/>
        <v>0</v>
      </c>
      <c r="O24" s="68" t="str">
        <f t="shared" ca="1" si="4"/>
        <v/>
      </c>
      <c r="P24" s="68"/>
      <c r="Q24" s="68"/>
      <c r="R24" s="68"/>
      <c r="S24" s="68"/>
      <c r="T24" s="68"/>
      <c r="U24" s="68"/>
    </row>
    <row r="25" spans="1:21" ht="15.75">
      <c r="A25" s="82">
        <v>23</v>
      </c>
      <c r="B25" s="44"/>
      <c r="C25" s="45"/>
      <c r="D25" s="47"/>
      <c r="E25" s="46">
        <v>0</v>
      </c>
      <c r="F25" s="51"/>
      <c r="G25" s="52"/>
      <c r="H25" s="52"/>
      <c r="I25" s="47"/>
      <c r="J25" s="44"/>
      <c r="K25" s="24">
        <f t="shared" ca="1" si="0"/>
        <v>0</v>
      </c>
      <c r="L25" s="68">
        <f t="shared" ca="1" si="1"/>
        <v>0</v>
      </c>
      <c r="M25" s="68">
        <f t="shared" ca="1" si="2"/>
        <v>0</v>
      </c>
      <c r="N25" s="68" t="b">
        <f t="shared" ca="1" si="3"/>
        <v>0</v>
      </c>
      <c r="O25" s="68" t="str">
        <f t="shared" ca="1" si="4"/>
        <v/>
      </c>
      <c r="P25" s="68"/>
      <c r="Q25" s="68"/>
      <c r="R25" s="68"/>
      <c r="S25" s="68"/>
      <c r="T25" s="68"/>
      <c r="U25" s="68"/>
    </row>
    <row r="26" spans="1:21" ht="15.75">
      <c r="A26" s="82">
        <v>24</v>
      </c>
      <c r="B26" s="44"/>
      <c r="C26" s="45"/>
      <c r="D26" s="54"/>
      <c r="E26" s="46">
        <v>0</v>
      </c>
      <c r="F26" s="51"/>
      <c r="G26" s="52"/>
      <c r="H26" s="52"/>
      <c r="I26" s="47"/>
      <c r="J26" s="44"/>
      <c r="K26" s="24">
        <f t="shared" ca="1" si="0"/>
        <v>0</v>
      </c>
      <c r="L26" s="68">
        <f t="shared" ca="1" si="1"/>
        <v>0</v>
      </c>
      <c r="M26" s="68">
        <f t="shared" ca="1" si="2"/>
        <v>0</v>
      </c>
      <c r="N26" s="68" t="b">
        <f t="shared" ca="1" si="3"/>
        <v>0</v>
      </c>
      <c r="O26" s="68" t="str">
        <f t="shared" ca="1" si="4"/>
        <v/>
      </c>
      <c r="P26" s="68"/>
      <c r="Q26" s="68"/>
      <c r="R26" s="68"/>
      <c r="S26" s="68"/>
      <c r="T26" s="68"/>
      <c r="U26" s="68"/>
    </row>
    <row r="27" spans="1:21" ht="15.75">
      <c r="A27" s="83">
        <v>25</v>
      </c>
      <c r="B27" s="48"/>
      <c r="C27" s="49"/>
      <c r="D27" s="50"/>
      <c r="E27" s="46">
        <v>0</v>
      </c>
      <c r="F27" s="55"/>
      <c r="G27" s="56"/>
      <c r="H27" s="56"/>
      <c r="I27" s="50"/>
      <c r="J27" s="48"/>
      <c r="K27" s="25">
        <f t="shared" ca="1" si="0"/>
        <v>0</v>
      </c>
      <c r="L27" s="68">
        <f t="shared" ca="1" si="1"/>
        <v>0</v>
      </c>
      <c r="M27" s="68">
        <f t="shared" ca="1" si="2"/>
        <v>0</v>
      </c>
      <c r="N27" s="68" t="b">
        <f t="shared" ca="1" si="3"/>
        <v>0</v>
      </c>
      <c r="O27" s="68" t="str">
        <f ca="1">IF(C27="","",DATEDIF($C27,TODAY(),"m"))</f>
        <v/>
      </c>
      <c r="P27" s="68"/>
      <c r="Q27" s="68"/>
      <c r="R27" s="68"/>
      <c r="S27" s="68"/>
      <c r="T27" s="68"/>
      <c r="U27" s="68"/>
    </row>
  </sheetData>
  <sheetProtection algorithmName="SHA-512" hashValue="nqStj2bMRBnMni1qbCCqV8MISCcaylnbSBpAUGQEML+pnXsdMxr6nw0ieEOFSayQbtjY9APJ1uYRdgwDwaFpaw==" saltValue="CcLC91MKcLnLM/7fBFIqfg==" spinCount="100000" sheet="1" objects="1" scenarios="1" selectLockedCells="1"/>
  <mergeCells count="1">
    <mergeCell ref="P4:T4"/>
  </mergeCells>
  <conditionalFormatting sqref="A3:K27">
    <cfRule type="expression" dxfId="246" priority="1">
      <formula>ROW()=CELL("LIN")</formula>
    </cfRule>
    <cfRule type="expression" dxfId="245" priority="2">
      <formula>IF($D3&lt;&gt;"",1,0)</formula>
    </cfRule>
  </conditionalFormatting>
  <conditionalFormatting sqref="O3:O27">
    <cfRule type="cellIs" dxfId="244" priority="3" operator="lessThan">
      <formula>$T$3</formula>
    </cfRule>
  </conditionalFormatting>
  <pageMargins left="1" right="1" top="1" bottom="1" header="0.5" footer="0.5"/>
  <pageSetup paperSize="9" scale="51" fitToHeight="0" orientation="landscape" horizontalDpi="300" verticalDpi="3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731CC-597D-4EDD-AB57-444A45E441B5}">
  <sheetPr codeName="Planilha3"/>
  <dimension ref="A1:AE29"/>
  <sheetViews>
    <sheetView showGridLines="0" showRowColHeaders="0" view="pageBreakPreview" zoomScale="60" zoomScaleNormal="70" workbookViewId="0">
      <pane xSplit="4" topLeftCell="Y1" activePane="topRight" state="frozen"/>
      <selection sqref="A1:D3"/>
      <selection pane="topRight" activeCell="Z6" sqref="Z6"/>
    </sheetView>
  </sheetViews>
  <sheetFormatPr defaultRowHeight="12.75"/>
  <cols>
    <col min="2" max="2" width="39.28515625" bestFit="1" customWidth="1"/>
    <col min="3" max="3" width="14.28515625" customWidth="1"/>
    <col min="4" max="4" width="40.140625" customWidth="1"/>
    <col min="5" max="5" width="15.28515625" customWidth="1"/>
    <col min="6" max="6" width="16.28515625" customWidth="1"/>
    <col min="7" max="7" width="24.7109375" customWidth="1"/>
    <col min="8" max="8" width="15.140625" customWidth="1"/>
    <col min="9" max="9" width="14.5703125" customWidth="1"/>
    <col min="10" max="10" width="24.5703125" customWidth="1"/>
    <col min="12" max="12" width="14.140625" customWidth="1"/>
    <col min="13" max="13" width="15.140625" customWidth="1"/>
    <col min="14" max="14" width="23.5703125" customWidth="1"/>
    <col min="15" max="15" width="14.85546875" customWidth="1"/>
    <col min="16" max="16" width="15.85546875" customWidth="1"/>
    <col min="17" max="17" width="24.28515625" customWidth="1"/>
    <col min="19" max="19" width="15.140625" customWidth="1"/>
    <col min="20" max="20" width="16.140625" customWidth="1"/>
    <col min="21" max="21" width="24.5703125" customWidth="1"/>
    <col min="22" max="22" width="14.7109375" customWidth="1"/>
    <col min="23" max="23" width="15.7109375" customWidth="1"/>
    <col min="24" max="24" width="24.140625" customWidth="1"/>
    <col min="26" max="26" width="15" customWidth="1"/>
    <col min="27" max="27" width="16" customWidth="1"/>
    <col min="28" max="28" width="24.42578125" customWidth="1"/>
    <col min="29" max="29" width="15.140625" customWidth="1"/>
    <col min="30" max="30" width="16.140625" customWidth="1"/>
    <col min="31" max="31" width="24.5703125" customWidth="1"/>
  </cols>
  <sheetData>
    <row r="1" spans="1:31" ht="30" customHeight="1" thickBot="1">
      <c r="A1" s="124" t="str">
        <f>CONCATENATE('1P-B-Turma'!B2&amp;" - ",'1P-B-Turma'!B3)</f>
        <v>1º Periodo - B - SEM</v>
      </c>
      <c r="B1" s="124"/>
      <c r="C1" s="124"/>
      <c r="D1" s="125"/>
      <c r="E1" s="128" t="s">
        <v>41</v>
      </c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  <c r="V1" s="129"/>
      <c r="W1" s="129"/>
      <c r="X1" s="129"/>
      <c r="Y1" s="129"/>
      <c r="Z1" s="129"/>
      <c r="AA1" s="129"/>
      <c r="AB1" s="129"/>
      <c r="AC1" s="129"/>
      <c r="AD1" s="129"/>
      <c r="AE1" s="130"/>
    </row>
    <row r="2" spans="1:31" ht="16.5" thickBot="1">
      <c r="A2" s="124"/>
      <c r="B2" s="124"/>
      <c r="C2" s="124"/>
      <c r="D2" s="125"/>
      <c r="E2" s="131" t="s">
        <v>37</v>
      </c>
      <c r="F2" s="132"/>
      <c r="G2" s="132"/>
      <c r="H2" s="132"/>
      <c r="I2" s="132"/>
      <c r="J2" s="132"/>
      <c r="K2" s="132"/>
      <c r="L2" s="132"/>
      <c r="M2" s="132"/>
      <c r="N2" s="132"/>
      <c r="O2" s="132"/>
      <c r="P2" s="132"/>
      <c r="Q2" s="133"/>
      <c r="R2" s="64"/>
      <c r="S2" s="131" t="s">
        <v>38</v>
      </c>
      <c r="T2" s="132"/>
      <c r="U2" s="132"/>
      <c r="V2" s="132"/>
      <c r="W2" s="132"/>
      <c r="X2" s="132"/>
      <c r="Y2" s="132"/>
      <c r="Z2" s="132"/>
      <c r="AA2" s="132"/>
      <c r="AB2" s="132"/>
      <c r="AC2" s="132"/>
      <c r="AD2" s="132"/>
      <c r="AE2" s="133"/>
    </row>
    <row r="3" spans="1:31" ht="15">
      <c r="A3" s="126"/>
      <c r="B3" s="126"/>
      <c r="C3" s="126"/>
      <c r="D3" s="127"/>
      <c r="E3" s="134" t="s">
        <v>33</v>
      </c>
      <c r="F3" s="135"/>
      <c r="G3" s="136"/>
      <c r="H3" s="138" t="s">
        <v>34</v>
      </c>
      <c r="I3" s="139"/>
      <c r="J3" s="140"/>
      <c r="K3" s="64"/>
      <c r="L3" s="134" t="s">
        <v>35</v>
      </c>
      <c r="M3" s="135"/>
      <c r="N3" s="136"/>
      <c r="O3" s="138" t="s">
        <v>36</v>
      </c>
      <c r="P3" s="139"/>
      <c r="Q3" s="140"/>
      <c r="R3" s="64"/>
      <c r="S3" s="137" t="s">
        <v>39</v>
      </c>
      <c r="T3" s="135"/>
      <c r="U3" s="136"/>
      <c r="V3" s="141" t="s">
        <v>40</v>
      </c>
      <c r="W3" s="139"/>
      <c r="X3" s="140"/>
      <c r="Y3" s="64"/>
      <c r="Z3" s="134" t="s">
        <v>31</v>
      </c>
      <c r="AA3" s="135"/>
      <c r="AB3" s="136"/>
      <c r="AC3" s="138" t="s">
        <v>32</v>
      </c>
      <c r="AD3" s="139"/>
      <c r="AE3" s="140"/>
    </row>
    <row r="4" spans="1:31" ht="31.5">
      <c r="A4" s="63" t="s">
        <v>9</v>
      </c>
      <c r="B4" s="57" t="s">
        <v>10</v>
      </c>
      <c r="C4" s="58" t="s">
        <v>13</v>
      </c>
      <c r="D4" s="59" t="s">
        <v>16</v>
      </c>
      <c r="E4" s="31" t="s">
        <v>42</v>
      </c>
      <c r="F4" s="32" t="s">
        <v>43</v>
      </c>
      <c r="G4" s="33" t="s">
        <v>44</v>
      </c>
      <c r="H4" s="34" t="s">
        <v>46</v>
      </c>
      <c r="I4" s="35" t="s">
        <v>45</v>
      </c>
      <c r="J4" s="36" t="s">
        <v>51</v>
      </c>
      <c r="K4" s="65" t="s">
        <v>47</v>
      </c>
      <c r="L4" s="37" t="s">
        <v>48</v>
      </c>
      <c r="M4" s="32" t="s">
        <v>49</v>
      </c>
      <c r="N4" s="33" t="s">
        <v>50</v>
      </c>
      <c r="O4" s="34" t="s">
        <v>52</v>
      </c>
      <c r="P4" s="35" t="s">
        <v>53</v>
      </c>
      <c r="Q4" s="36" t="s">
        <v>54</v>
      </c>
      <c r="R4" s="65" t="s">
        <v>55</v>
      </c>
      <c r="S4" s="37" t="s">
        <v>56</v>
      </c>
      <c r="T4" s="32" t="s">
        <v>57</v>
      </c>
      <c r="U4" s="33" t="s">
        <v>58</v>
      </c>
      <c r="V4" s="34" t="s">
        <v>59</v>
      </c>
      <c r="W4" s="35" t="s">
        <v>60</v>
      </c>
      <c r="X4" s="36" t="s">
        <v>61</v>
      </c>
      <c r="Y4" s="65" t="s">
        <v>62</v>
      </c>
      <c r="Z4" s="37" t="s">
        <v>63</v>
      </c>
      <c r="AA4" s="32" t="s">
        <v>64</v>
      </c>
      <c r="AB4" s="33" t="s">
        <v>65</v>
      </c>
      <c r="AC4" s="34" t="s">
        <v>66</v>
      </c>
      <c r="AD4" s="35" t="s">
        <v>67</v>
      </c>
      <c r="AE4" s="38" t="s">
        <v>68</v>
      </c>
    </row>
    <row r="5" spans="1:31" ht="15">
      <c r="A5" s="72">
        <v>1</v>
      </c>
      <c r="B5" s="60" t="str">
        <f>IF('1P-B'!B3&lt;&gt;0,'1P-B'!B3,"")</f>
        <v/>
      </c>
      <c r="C5" s="61" t="str">
        <f>IF('1P-B'!C3&lt;&gt;0,'1P-B'!C3,"")</f>
        <v/>
      </c>
      <c r="D5" s="62" t="str">
        <f>IF('1P-B'!D3&lt;&gt;0,'1P-B'!D3,"")</f>
        <v/>
      </c>
      <c r="E5" s="43">
        <v>6</v>
      </c>
      <c r="F5" s="42">
        <v>4</v>
      </c>
      <c r="G5" s="28">
        <f t="shared" ref="G5:G29" si="0">ROUND((E5*100)/(E5+F5),0)/100</f>
        <v>0.6</v>
      </c>
      <c r="H5" s="39"/>
      <c r="I5" s="40"/>
      <c r="J5" s="29" t="e">
        <f t="shared" ref="J5:J29" si="1">ROUND((H5*100)/(H5+I5),0)/100</f>
        <v>#DIV/0!</v>
      </c>
      <c r="K5" s="87">
        <f>Tabela273[[#This Row],[Nº]]</f>
        <v>1</v>
      </c>
      <c r="L5" s="41"/>
      <c r="M5" s="42"/>
      <c r="N5" s="28" t="e">
        <f t="shared" ref="N5:N29" si="2">ROUND((L5*100)/(L5+M5),0)/100</f>
        <v>#DIV/0!</v>
      </c>
      <c r="O5" s="39"/>
      <c r="P5" s="40"/>
      <c r="Q5" s="29" t="e">
        <f t="shared" ref="Q5:Q29" si="3">ROUND((O5*100)/(O5+P5),0)/100</f>
        <v>#DIV/0!</v>
      </c>
      <c r="R5" s="87">
        <f>Tabela273[[#This Row],[Nº]]</f>
        <v>1</v>
      </c>
      <c r="S5" s="41"/>
      <c r="T5" s="42"/>
      <c r="U5" s="28" t="e">
        <f t="shared" ref="U5:U29" si="4">ROUND((S5*100)/(S5+T5),0)/100</f>
        <v>#DIV/0!</v>
      </c>
      <c r="V5" s="39"/>
      <c r="W5" s="40"/>
      <c r="X5" s="29" t="e">
        <f t="shared" ref="X5:X29" si="5">ROUND((V5*100)/(V5+W5),0)/100</f>
        <v>#DIV/0!</v>
      </c>
      <c r="Y5" s="87">
        <f>Tabela273[[#This Row],[Nº]]</f>
        <v>1</v>
      </c>
      <c r="Z5" s="41"/>
      <c r="AA5" s="42"/>
      <c r="AB5" s="28" t="e">
        <f t="shared" ref="AB5:AB29" si="6">ROUND((Z5*100)/(Z5+AA5),0)/100</f>
        <v>#DIV/0!</v>
      </c>
      <c r="AC5" s="39"/>
      <c r="AD5" s="40"/>
      <c r="AE5" s="30" t="e">
        <f t="shared" ref="AE5:AE29" si="7">ROUND((AC5*100)/(AC5+AD5),0)/100</f>
        <v>#DIV/0!</v>
      </c>
    </row>
    <row r="6" spans="1:31" ht="15">
      <c r="A6" s="72">
        <v>2</v>
      </c>
      <c r="B6" s="60" t="str">
        <f>IF('1P-B'!B4&lt;&gt;0,'1P-B'!B4,"")</f>
        <v/>
      </c>
      <c r="C6" s="61" t="str">
        <f>IF('1P-B'!C4&lt;&gt;0,'1P-B'!C4,"")</f>
        <v/>
      </c>
      <c r="D6" s="62" t="str">
        <f>IF('1P-B'!D4&lt;&gt;0,'1P-B'!D4,"")</f>
        <v/>
      </c>
      <c r="E6" s="43"/>
      <c r="F6" s="42"/>
      <c r="G6" s="28" t="e">
        <f t="shared" si="0"/>
        <v>#DIV/0!</v>
      </c>
      <c r="H6" s="39"/>
      <c r="I6" s="40"/>
      <c r="J6" s="29" t="e">
        <f t="shared" si="1"/>
        <v>#DIV/0!</v>
      </c>
      <c r="K6" s="87">
        <f>Tabela273[[#This Row],[Nº]]</f>
        <v>2</v>
      </c>
      <c r="L6" s="41"/>
      <c r="M6" s="42"/>
      <c r="N6" s="28" t="e">
        <f t="shared" si="2"/>
        <v>#DIV/0!</v>
      </c>
      <c r="O6" s="39"/>
      <c r="P6" s="40"/>
      <c r="Q6" s="29" t="e">
        <f t="shared" si="3"/>
        <v>#DIV/0!</v>
      </c>
      <c r="R6" s="87">
        <f>Tabela273[[#This Row],[Nº]]</f>
        <v>2</v>
      </c>
      <c r="S6" s="41"/>
      <c r="T6" s="42"/>
      <c r="U6" s="28" t="e">
        <f t="shared" si="4"/>
        <v>#DIV/0!</v>
      </c>
      <c r="V6" s="39"/>
      <c r="W6" s="40"/>
      <c r="X6" s="29" t="e">
        <f t="shared" si="5"/>
        <v>#DIV/0!</v>
      </c>
      <c r="Y6" s="87">
        <f>Tabela273[[#This Row],[Nº]]</f>
        <v>2</v>
      </c>
      <c r="Z6" s="41"/>
      <c r="AA6" s="42"/>
      <c r="AB6" s="28" t="e">
        <f t="shared" si="6"/>
        <v>#DIV/0!</v>
      </c>
      <c r="AC6" s="39"/>
      <c r="AD6" s="40"/>
      <c r="AE6" s="30" t="e">
        <f t="shared" si="7"/>
        <v>#DIV/0!</v>
      </c>
    </row>
    <row r="7" spans="1:31" ht="15">
      <c r="A7" s="72">
        <v>3</v>
      </c>
      <c r="B7" s="60" t="str">
        <f>IF('1P-B'!B5&lt;&gt;0,'1P-B'!B5,"")</f>
        <v/>
      </c>
      <c r="C7" s="61" t="str">
        <f>IF('1P-B'!C5&lt;&gt;0,'1P-B'!C5,"")</f>
        <v/>
      </c>
      <c r="D7" s="62" t="str">
        <f>IF('1P-B'!D5&lt;&gt;0,'1P-B'!D5,"")</f>
        <v/>
      </c>
      <c r="E7" s="43"/>
      <c r="F7" s="42"/>
      <c r="G7" s="28" t="e">
        <f t="shared" si="0"/>
        <v>#DIV/0!</v>
      </c>
      <c r="H7" s="39"/>
      <c r="I7" s="40"/>
      <c r="J7" s="29" t="e">
        <f t="shared" si="1"/>
        <v>#DIV/0!</v>
      </c>
      <c r="K7" s="87">
        <f>Tabela273[[#This Row],[Nº]]</f>
        <v>3</v>
      </c>
      <c r="L7" s="41"/>
      <c r="M7" s="42"/>
      <c r="N7" s="28" t="e">
        <f t="shared" si="2"/>
        <v>#DIV/0!</v>
      </c>
      <c r="O7" s="39"/>
      <c r="P7" s="40"/>
      <c r="Q7" s="29" t="e">
        <f t="shared" si="3"/>
        <v>#DIV/0!</v>
      </c>
      <c r="R7" s="87">
        <f>Tabela273[[#This Row],[Nº]]</f>
        <v>3</v>
      </c>
      <c r="S7" s="41"/>
      <c r="T7" s="42"/>
      <c r="U7" s="28" t="e">
        <f t="shared" si="4"/>
        <v>#DIV/0!</v>
      </c>
      <c r="V7" s="39"/>
      <c r="W7" s="40"/>
      <c r="X7" s="29" t="e">
        <f t="shared" si="5"/>
        <v>#DIV/0!</v>
      </c>
      <c r="Y7" s="87">
        <f>Tabela273[[#This Row],[Nº]]</f>
        <v>3</v>
      </c>
      <c r="Z7" s="41"/>
      <c r="AA7" s="42"/>
      <c r="AB7" s="28" t="e">
        <f t="shared" si="6"/>
        <v>#DIV/0!</v>
      </c>
      <c r="AC7" s="39"/>
      <c r="AD7" s="40"/>
      <c r="AE7" s="30" t="e">
        <f t="shared" si="7"/>
        <v>#DIV/0!</v>
      </c>
    </row>
    <row r="8" spans="1:31" ht="15">
      <c r="A8" s="72">
        <v>4</v>
      </c>
      <c r="B8" s="60" t="str">
        <f>IF('1P-B'!B6&lt;&gt;0,'1P-B'!B6,"")</f>
        <v/>
      </c>
      <c r="C8" s="61" t="str">
        <f>IF('1P-B'!C6&lt;&gt;0,'1P-B'!C6,"")</f>
        <v/>
      </c>
      <c r="D8" s="62" t="str">
        <f>IF('1P-B'!D6&lt;&gt;0,'1P-B'!D6,"")</f>
        <v/>
      </c>
      <c r="E8" s="43"/>
      <c r="F8" s="42"/>
      <c r="G8" s="28" t="e">
        <f t="shared" si="0"/>
        <v>#DIV/0!</v>
      </c>
      <c r="H8" s="39"/>
      <c r="I8" s="40"/>
      <c r="J8" s="29" t="e">
        <f t="shared" si="1"/>
        <v>#DIV/0!</v>
      </c>
      <c r="K8" s="87">
        <f>Tabela273[[#This Row],[Nº]]</f>
        <v>4</v>
      </c>
      <c r="L8" s="41"/>
      <c r="M8" s="42"/>
      <c r="N8" s="28" t="e">
        <f t="shared" si="2"/>
        <v>#DIV/0!</v>
      </c>
      <c r="O8" s="39"/>
      <c r="P8" s="40"/>
      <c r="Q8" s="29" t="e">
        <f t="shared" si="3"/>
        <v>#DIV/0!</v>
      </c>
      <c r="R8" s="87">
        <f>Tabela273[[#This Row],[Nº]]</f>
        <v>4</v>
      </c>
      <c r="S8" s="41"/>
      <c r="T8" s="42"/>
      <c r="U8" s="28" t="e">
        <f t="shared" si="4"/>
        <v>#DIV/0!</v>
      </c>
      <c r="V8" s="39"/>
      <c r="W8" s="40"/>
      <c r="X8" s="29" t="e">
        <f t="shared" si="5"/>
        <v>#DIV/0!</v>
      </c>
      <c r="Y8" s="87">
        <f>Tabela273[[#This Row],[Nº]]</f>
        <v>4</v>
      </c>
      <c r="Z8" s="41"/>
      <c r="AA8" s="42"/>
      <c r="AB8" s="28" t="e">
        <f t="shared" si="6"/>
        <v>#DIV/0!</v>
      </c>
      <c r="AC8" s="39"/>
      <c r="AD8" s="40"/>
      <c r="AE8" s="30" t="e">
        <f t="shared" si="7"/>
        <v>#DIV/0!</v>
      </c>
    </row>
    <row r="9" spans="1:31" ht="15">
      <c r="A9" s="72">
        <v>5</v>
      </c>
      <c r="B9" s="60" t="str">
        <f>IF('1P-B'!B7&lt;&gt;0,'1P-B'!B7,"")</f>
        <v/>
      </c>
      <c r="C9" s="61" t="str">
        <f>IF('1P-B'!C7&lt;&gt;0,'1P-B'!C7,"")</f>
        <v/>
      </c>
      <c r="D9" s="62" t="str">
        <f>IF('1P-B'!D7&lt;&gt;0,'1P-B'!D7,"")</f>
        <v/>
      </c>
      <c r="E9" s="43"/>
      <c r="F9" s="42"/>
      <c r="G9" s="28" t="e">
        <f t="shared" si="0"/>
        <v>#DIV/0!</v>
      </c>
      <c r="H9" s="39"/>
      <c r="I9" s="40"/>
      <c r="J9" s="29" t="e">
        <f t="shared" si="1"/>
        <v>#DIV/0!</v>
      </c>
      <c r="K9" s="87">
        <f>Tabela273[[#This Row],[Nº]]</f>
        <v>5</v>
      </c>
      <c r="L9" s="41"/>
      <c r="M9" s="42"/>
      <c r="N9" s="28" t="e">
        <f t="shared" si="2"/>
        <v>#DIV/0!</v>
      </c>
      <c r="O9" s="39"/>
      <c r="P9" s="40"/>
      <c r="Q9" s="29" t="e">
        <f t="shared" si="3"/>
        <v>#DIV/0!</v>
      </c>
      <c r="R9" s="87">
        <f>Tabela273[[#This Row],[Nº]]</f>
        <v>5</v>
      </c>
      <c r="S9" s="41"/>
      <c r="T9" s="42"/>
      <c r="U9" s="28" t="e">
        <f t="shared" si="4"/>
        <v>#DIV/0!</v>
      </c>
      <c r="V9" s="39"/>
      <c r="W9" s="40"/>
      <c r="X9" s="29" t="e">
        <f t="shared" si="5"/>
        <v>#DIV/0!</v>
      </c>
      <c r="Y9" s="87">
        <f>Tabela273[[#This Row],[Nº]]</f>
        <v>5</v>
      </c>
      <c r="Z9" s="41"/>
      <c r="AA9" s="42"/>
      <c r="AB9" s="28" t="e">
        <f t="shared" si="6"/>
        <v>#DIV/0!</v>
      </c>
      <c r="AC9" s="39"/>
      <c r="AD9" s="40"/>
      <c r="AE9" s="30" t="e">
        <f t="shared" si="7"/>
        <v>#DIV/0!</v>
      </c>
    </row>
    <row r="10" spans="1:31" ht="15">
      <c r="A10" s="72">
        <v>6</v>
      </c>
      <c r="B10" s="60" t="str">
        <f>IF('1P-B'!B8&lt;&gt;0,'1P-B'!B8,"")</f>
        <v/>
      </c>
      <c r="C10" s="61" t="str">
        <f>IF('1P-B'!C8&lt;&gt;0,'1P-B'!C8,"")</f>
        <v/>
      </c>
      <c r="D10" s="62" t="str">
        <f>IF('1P-B'!D8&lt;&gt;0,'1P-B'!D8,"")</f>
        <v/>
      </c>
      <c r="E10" s="43"/>
      <c r="F10" s="42"/>
      <c r="G10" s="28" t="e">
        <f t="shared" si="0"/>
        <v>#DIV/0!</v>
      </c>
      <c r="H10" s="39"/>
      <c r="I10" s="40"/>
      <c r="J10" s="29" t="e">
        <f t="shared" si="1"/>
        <v>#DIV/0!</v>
      </c>
      <c r="K10" s="87">
        <f>Tabela273[[#This Row],[Nº]]</f>
        <v>6</v>
      </c>
      <c r="L10" s="41"/>
      <c r="M10" s="42"/>
      <c r="N10" s="28" t="e">
        <f t="shared" si="2"/>
        <v>#DIV/0!</v>
      </c>
      <c r="O10" s="39"/>
      <c r="P10" s="40"/>
      <c r="Q10" s="29" t="e">
        <f t="shared" si="3"/>
        <v>#DIV/0!</v>
      </c>
      <c r="R10" s="87">
        <f>Tabela273[[#This Row],[Nº]]</f>
        <v>6</v>
      </c>
      <c r="S10" s="41"/>
      <c r="T10" s="42"/>
      <c r="U10" s="28" t="e">
        <f t="shared" si="4"/>
        <v>#DIV/0!</v>
      </c>
      <c r="V10" s="39"/>
      <c r="W10" s="40"/>
      <c r="X10" s="29" t="e">
        <f t="shared" si="5"/>
        <v>#DIV/0!</v>
      </c>
      <c r="Y10" s="87">
        <f>Tabela273[[#This Row],[Nº]]</f>
        <v>6</v>
      </c>
      <c r="Z10" s="41"/>
      <c r="AA10" s="42"/>
      <c r="AB10" s="28" t="e">
        <f t="shared" si="6"/>
        <v>#DIV/0!</v>
      </c>
      <c r="AC10" s="39"/>
      <c r="AD10" s="40"/>
      <c r="AE10" s="30" t="e">
        <f t="shared" si="7"/>
        <v>#DIV/0!</v>
      </c>
    </row>
    <row r="11" spans="1:31" ht="15">
      <c r="A11" s="72">
        <v>7</v>
      </c>
      <c r="B11" s="60" t="str">
        <f>IF('1P-B'!B9&lt;&gt;0,'1P-B'!B9,"")</f>
        <v/>
      </c>
      <c r="C11" s="61" t="str">
        <f>IF('1P-B'!C9&lt;&gt;0,'1P-B'!C9,"")</f>
        <v/>
      </c>
      <c r="D11" s="62" t="str">
        <f>IF('1P-B'!D9&lt;&gt;0,'1P-B'!D9,"")</f>
        <v/>
      </c>
      <c r="E11" s="43"/>
      <c r="F11" s="42"/>
      <c r="G11" s="28" t="e">
        <f t="shared" si="0"/>
        <v>#DIV/0!</v>
      </c>
      <c r="H11" s="39"/>
      <c r="I11" s="40"/>
      <c r="J11" s="29" t="e">
        <f t="shared" si="1"/>
        <v>#DIV/0!</v>
      </c>
      <c r="K11" s="87">
        <f>Tabela273[[#This Row],[Nº]]</f>
        <v>7</v>
      </c>
      <c r="L11" s="41"/>
      <c r="M11" s="42"/>
      <c r="N11" s="28" t="e">
        <f t="shared" si="2"/>
        <v>#DIV/0!</v>
      </c>
      <c r="O11" s="39"/>
      <c r="P11" s="40"/>
      <c r="Q11" s="29" t="e">
        <f t="shared" si="3"/>
        <v>#DIV/0!</v>
      </c>
      <c r="R11" s="87">
        <f>Tabela273[[#This Row],[Nº]]</f>
        <v>7</v>
      </c>
      <c r="S11" s="41"/>
      <c r="T11" s="42"/>
      <c r="U11" s="28" t="e">
        <f t="shared" si="4"/>
        <v>#DIV/0!</v>
      </c>
      <c r="V11" s="39"/>
      <c r="W11" s="40"/>
      <c r="X11" s="29" t="e">
        <f t="shared" si="5"/>
        <v>#DIV/0!</v>
      </c>
      <c r="Y11" s="87">
        <f>Tabela273[[#This Row],[Nº]]</f>
        <v>7</v>
      </c>
      <c r="Z11" s="41"/>
      <c r="AA11" s="42"/>
      <c r="AB11" s="28" t="e">
        <f t="shared" si="6"/>
        <v>#DIV/0!</v>
      </c>
      <c r="AC11" s="39"/>
      <c r="AD11" s="40"/>
      <c r="AE11" s="30" t="e">
        <f t="shared" si="7"/>
        <v>#DIV/0!</v>
      </c>
    </row>
    <row r="12" spans="1:31" ht="15">
      <c r="A12" s="72">
        <v>8</v>
      </c>
      <c r="B12" s="60" t="str">
        <f>IF('1P-B'!B10&lt;&gt;0,'1P-B'!B10,"")</f>
        <v/>
      </c>
      <c r="C12" s="61" t="str">
        <f>IF('1P-B'!C10&lt;&gt;0,'1P-B'!C10,"")</f>
        <v/>
      </c>
      <c r="D12" s="62" t="str">
        <f>IF('1P-B'!D10&lt;&gt;0,'1P-B'!D10,"")</f>
        <v/>
      </c>
      <c r="E12" s="43"/>
      <c r="F12" s="42"/>
      <c r="G12" s="28" t="e">
        <f t="shared" si="0"/>
        <v>#DIV/0!</v>
      </c>
      <c r="H12" s="39"/>
      <c r="I12" s="40"/>
      <c r="J12" s="29" t="e">
        <f t="shared" si="1"/>
        <v>#DIV/0!</v>
      </c>
      <c r="K12" s="87">
        <f>Tabela273[[#This Row],[Nº]]</f>
        <v>8</v>
      </c>
      <c r="L12" s="41"/>
      <c r="M12" s="42"/>
      <c r="N12" s="28" t="e">
        <f t="shared" si="2"/>
        <v>#DIV/0!</v>
      </c>
      <c r="O12" s="39"/>
      <c r="P12" s="40"/>
      <c r="Q12" s="29" t="e">
        <f t="shared" si="3"/>
        <v>#DIV/0!</v>
      </c>
      <c r="R12" s="87">
        <f>Tabela273[[#This Row],[Nº]]</f>
        <v>8</v>
      </c>
      <c r="S12" s="41"/>
      <c r="T12" s="42"/>
      <c r="U12" s="28" t="e">
        <f t="shared" si="4"/>
        <v>#DIV/0!</v>
      </c>
      <c r="V12" s="39"/>
      <c r="W12" s="40"/>
      <c r="X12" s="29" t="e">
        <f t="shared" si="5"/>
        <v>#DIV/0!</v>
      </c>
      <c r="Y12" s="87">
        <f>Tabela273[[#This Row],[Nº]]</f>
        <v>8</v>
      </c>
      <c r="Z12" s="41"/>
      <c r="AA12" s="42"/>
      <c r="AB12" s="28" t="e">
        <f t="shared" si="6"/>
        <v>#DIV/0!</v>
      </c>
      <c r="AC12" s="39"/>
      <c r="AD12" s="40"/>
      <c r="AE12" s="30" t="e">
        <f t="shared" si="7"/>
        <v>#DIV/0!</v>
      </c>
    </row>
    <row r="13" spans="1:31" ht="15">
      <c r="A13" s="72">
        <v>9</v>
      </c>
      <c r="B13" s="60" t="str">
        <f>IF('1P-B'!B11&lt;&gt;0,'1P-B'!B11,"")</f>
        <v/>
      </c>
      <c r="C13" s="61" t="str">
        <f>IF('1P-B'!C11&lt;&gt;0,'1P-B'!C11,"")</f>
        <v/>
      </c>
      <c r="D13" s="62" t="str">
        <f>IF('1P-B'!D11&lt;&gt;0,'1P-B'!D11,"")</f>
        <v/>
      </c>
      <c r="E13" s="43"/>
      <c r="F13" s="42"/>
      <c r="G13" s="28" t="e">
        <f t="shared" si="0"/>
        <v>#DIV/0!</v>
      </c>
      <c r="H13" s="39"/>
      <c r="I13" s="40"/>
      <c r="J13" s="29" t="e">
        <f t="shared" si="1"/>
        <v>#DIV/0!</v>
      </c>
      <c r="K13" s="87">
        <f>Tabela273[[#This Row],[Nº]]</f>
        <v>9</v>
      </c>
      <c r="L13" s="41"/>
      <c r="M13" s="42"/>
      <c r="N13" s="28" t="e">
        <f t="shared" si="2"/>
        <v>#DIV/0!</v>
      </c>
      <c r="O13" s="39"/>
      <c r="P13" s="40"/>
      <c r="Q13" s="29" t="e">
        <f t="shared" si="3"/>
        <v>#DIV/0!</v>
      </c>
      <c r="R13" s="87">
        <f>Tabela273[[#This Row],[Nº]]</f>
        <v>9</v>
      </c>
      <c r="S13" s="41"/>
      <c r="T13" s="42"/>
      <c r="U13" s="28" t="e">
        <f t="shared" si="4"/>
        <v>#DIV/0!</v>
      </c>
      <c r="V13" s="39"/>
      <c r="W13" s="40"/>
      <c r="X13" s="29" t="e">
        <f t="shared" si="5"/>
        <v>#DIV/0!</v>
      </c>
      <c r="Y13" s="87">
        <f>Tabela273[[#This Row],[Nº]]</f>
        <v>9</v>
      </c>
      <c r="Z13" s="41"/>
      <c r="AA13" s="42"/>
      <c r="AB13" s="28" t="e">
        <f t="shared" si="6"/>
        <v>#DIV/0!</v>
      </c>
      <c r="AC13" s="39"/>
      <c r="AD13" s="40"/>
      <c r="AE13" s="30" t="e">
        <f t="shared" si="7"/>
        <v>#DIV/0!</v>
      </c>
    </row>
    <row r="14" spans="1:31" ht="15">
      <c r="A14" s="72">
        <v>10</v>
      </c>
      <c r="B14" s="60" t="str">
        <f>IF('1P-B'!B12&lt;&gt;0,'1P-B'!B12,"")</f>
        <v/>
      </c>
      <c r="C14" s="61" t="str">
        <f>IF('1P-B'!C12&lt;&gt;0,'1P-B'!C12,"")</f>
        <v/>
      </c>
      <c r="D14" s="62" t="str">
        <f>IF('1P-B'!D12&lt;&gt;0,'1P-B'!D12,"")</f>
        <v/>
      </c>
      <c r="E14" s="43"/>
      <c r="F14" s="42"/>
      <c r="G14" s="28" t="e">
        <f t="shared" si="0"/>
        <v>#DIV/0!</v>
      </c>
      <c r="H14" s="39"/>
      <c r="I14" s="40"/>
      <c r="J14" s="29" t="e">
        <f t="shared" si="1"/>
        <v>#DIV/0!</v>
      </c>
      <c r="K14" s="87">
        <f>Tabela273[[#This Row],[Nº]]</f>
        <v>10</v>
      </c>
      <c r="L14" s="41"/>
      <c r="M14" s="42"/>
      <c r="N14" s="28" t="e">
        <f t="shared" si="2"/>
        <v>#DIV/0!</v>
      </c>
      <c r="O14" s="39"/>
      <c r="P14" s="40"/>
      <c r="Q14" s="29" t="e">
        <f t="shared" si="3"/>
        <v>#DIV/0!</v>
      </c>
      <c r="R14" s="87">
        <f>Tabela273[[#This Row],[Nº]]</f>
        <v>10</v>
      </c>
      <c r="S14" s="41"/>
      <c r="T14" s="42"/>
      <c r="U14" s="28" t="e">
        <f t="shared" si="4"/>
        <v>#DIV/0!</v>
      </c>
      <c r="V14" s="39"/>
      <c r="W14" s="40"/>
      <c r="X14" s="29" t="e">
        <f t="shared" si="5"/>
        <v>#DIV/0!</v>
      </c>
      <c r="Y14" s="87">
        <f>Tabela273[[#This Row],[Nº]]</f>
        <v>10</v>
      </c>
      <c r="Z14" s="41"/>
      <c r="AA14" s="42"/>
      <c r="AB14" s="28" t="e">
        <f t="shared" si="6"/>
        <v>#DIV/0!</v>
      </c>
      <c r="AC14" s="39"/>
      <c r="AD14" s="40"/>
      <c r="AE14" s="30" t="e">
        <f t="shared" si="7"/>
        <v>#DIV/0!</v>
      </c>
    </row>
    <row r="15" spans="1:31" ht="15">
      <c r="A15" s="72">
        <v>11</v>
      </c>
      <c r="B15" s="60" t="str">
        <f>IF('1P-B'!B13&lt;&gt;0,'1P-B'!B13,"")</f>
        <v/>
      </c>
      <c r="C15" s="61" t="str">
        <f>IF('1P-B'!C13&lt;&gt;0,'1P-B'!C13,"")</f>
        <v/>
      </c>
      <c r="D15" s="62" t="str">
        <f>IF('1P-B'!D13&lt;&gt;0,'1P-B'!D13,"")</f>
        <v/>
      </c>
      <c r="E15" s="43"/>
      <c r="F15" s="42"/>
      <c r="G15" s="28" t="e">
        <f t="shared" si="0"/>
        <v>#DIV/0!</v>
      </c>
      <c r="H15" s="39"/>
      <c r="I15" s="40"/>
      <c r="J15" s="29" t="e">
        <f t="shared" si="1"/>
        <v>#DIV/0!</v>
      </c>
      <c r="K15" s="87">
        <f>Tabela273[[#This Row],[Nº]]</f>
        <v>11</v>
      </c>
      <c r="L15" s="41"/>
      <c r="M15" s="42"/>
      <c r="N15" s="28" t="e">
        <f t="shared" si="2"/>
        <v>#DIV/0!</v>
      </c>
      <c r="O15" s="39"/>
      <c r="P15" s="40"/>
      <c r="Q15" s="29" t="e">
        <f t="shared" si="3"/>
        <v>#DIV/0!</v>
      </c>
      <c r="R15" s="87">
        <f>Tabela273[[#This Row],[Nº]]</f>
        <v>11</v>
      </c>
      <c r="S15" s="41"/>
      <c r="T15" s="42"/>
      <c r="U15" s="28" t="e">
        <f t="shared" si="4"/>
        <v>#DIV/0!</v>
      </c>
      <c r="V15" s="39"/>
      <c r="W15" s="40"/>
      <c r="X15" s="29" t="e">
        <f t="shared" si="5"/>
        <v>#DIV/0!</v>
      </c>
      <c r="Y15" s="87">
        <f>Tabela273[[#This Row],[Nº]]</f>
        <v>11</v>
      </c>
      <c r="Z15" s="41"/>
      <c r="AA15" s="42"/>
      <c r="AB15" s="28" t="e">
        <f t="shared" si="6"/>
        <v>#DIV/0!</v>
      </c>
      <c r="AC15" s="39"/>
      <c r="AD15" s="40"/>
      <c r="AE15" s="30" t="e">
        <f t="shared" si="7"/>
        <v>#DIV/0!</v>
      </c>
    </row>
    <row r="16" spans="1:31" ht="15">
      <c r="A16" s="72">
        <v>12</v>
      </c>
      <c r="B16" s="60" t="str">
        <f>IF('1P-B'!B14&lt;&gt;0,'1P-B'!B14,"")</f>
        <v/>
      </c>
      <c r="C16" s="61" t="str">
        <f>IF('1P-B'!C14&lt;&gt;0,'1P-B'!C14,"")</f>
        <v/>
      </c>
      <c r="D16" s="62" t="str">
        <f>IF('1P-B'!D14&lt;&gt;0,'1P-B'!D14,"")</f>
        <v/>
      </c>
      <c r="E16" s="43"/>
      <c r="F16" s="42"/>
      <c r="G16" s="28" t="e">
        <f t="shared" si="0"/>
        <v>#DIV/0!</v>
      </c>
      <c r="H16" s="39"/>
      <c r="I16" s="40"/>
      <c r="J16" s="29" t="e">
        <f t="shared" si="1"/>
        <v>#DIV/0!</v>
      </c>
      <c r="K16" s="87">
        <f>Tabela273[[#This Row],[Nº]]</f>
        <v>12</v>
      </c>
      <c r="L16" s="41"/>
      <c r="M16" s="42"/>
      <c r="N16" s="28" t="e">
        <f t="shared" si="2"/>
        <v>#DIV/0!</v>
      </c>
      <c r="O16" s="39"/>
      <c r="P16" s="40"/>
      <c r="Q16" s="29" t="e">
        <f t="shared" si="3"/>
        <v>#DIV/0!</v>
      </c>
      <c r="R16" s="87">
        <f>Tabela273[[#This Row],[Nº]]</f>
        <v>12</v>
      </c>
      <c r="S16" s="41"/>
      <c r="T16" s="42"/>
      <c r="U16" s="28" t="e">
        <f t="shared" si="4"/>
        <v>#DIV/0!</v>
      </c>
      <c r="V16" s="39"/>
      <c r="W16" s="40"/>
      <c r="X16" s="29" t="e">
        <f t="shared" si="5"/>
        <v>#DIV/0!</v>
      </c>
      <c r="Y16" s="87">
        <f>Tabela273[[#This Row],[Nº]]</f>
        <v>12</v>
      </c>
      <c r="Z16" s="41"/>
      <c r="AA16" s="42"/>
      <c r="AB16" s="28" t="e">
        <f t="shared" si="6"/>
        <v>#DIV/0!</v>
      </c>
      <c r="AC16" s="39"/>
      <c r="AD16" s="40"/>
      <c r="AE16" s="30" t="e">
        <f t="shared" si="7"/>
        <v>#DIV/0!</v>
      </c>
    </row>
    <row r="17" spans="1:31" ht="15">
      <c r="A17" s="72">
        <v>13</v>
      </c>
      <c r="B17" s="60" t="str">
        <f>IF('1P-B'!B15&lt;&gt;0,'1P-B'!B15,"")</f>
        <v/>
      </c>
      <c r="C17" s="61" t="str">
        <f>IF('1P-B'!C15&lt;&gt;0,'1P-B'!C15,"")</f>
        <v/>
      </c>
      <c r="D17" s="62" t="str">
        <f>IF('1P-B'!D15&lt;&gt;0,'1P-B'!D15,"")</f>
        <v/>
      </c>
      <c r="E17" s="43"/>
      <c r="F17" s="42"/>
      <c r="G17" s="28" t="e">
        <f t="shared" si="0"/>
        <v>#DIV/0!</v>
      </c>
      <c r="H17" s="39"/>
      <c r="I17" s="40"/>
      <c r="J17" s="29" t="e">
        <f t="shared" si="1"/>
        <v>#DIV/0!</v>
      </c>
      <c r="K17" s="87">
        <f>Tabela273[[#This Row],[Nº]]</f>
        <v>13</v>
      </c>
      <c r="L17" s="41"/>
      <c r="M17" s="42"/>
      <c r="N17" s="28" t="e">
        <f t="shared" si="2"/>
        <v>#DIV/0!</v>
      </c>
      <c r="O17" s="39"/>
      <c r="P17" s="40"/>
      <c r="Q17" s="29" t="e">
        <f t="shared" si="3"/>
        <v>#DIV/0!</v>
      </c>
      <c r="R17" s="87">
        <f>Tabela273[[#This Row],[Nº]]</f>
        <v>13</v>
      </c>
      <c r="S17" s="41"/>
      <c r="T17" s="42"/>
      <c r="U17" s="28" t="e">
        <f t="shared" si="4"/>
        <v>#DIV/0!</v>
      </c>
      <c r="V17" s="39"/>
      <c r="W17" s="40"/>
      <c r="X17" s="29" t="e">
        <f t="shared" si="5"/>
        <v>#DIV/0!</v>
      </c>
      <c r="Y17" s="87">
        <f>Tabela273[[#This Row],[Nº]]</f>
        <v>13</v>
      </c>
      <c r="Z17" s="41"/>
      <c r="AA17" s="42"/>
      <c r="AB17" s="28" t="e">
        <f t="shared" si="6"/>
        <v>#DIV/0!</v>
      </c>
      <c r="AC17" s="39"/>
      <c r="AD17" s="40"/>
      <c r="AE17" s="30" t="e">
        <f t="shared" si="7"/>
        <v>#DIV/0!</v>
      </c>
    </row>
    <row r="18" spans="1:31" ht="15">
      <c r="A18" s="72">
        <v>14</v>
      </c>
      <c r="B18" s="60" t="str">
        <f>IF('1P-B'!B16&lt;&gt;0,'1P-B'!B16,"")</f>
        <v/>
      </c>
      <c r="C18" s="61" t="str">
        <f>IF('1P-B'!C16&lt;&gt;0,'1P-B'!C16,"")</f>
        <v/>
      </c>
      <c r="D18" s="62" t="str">
        <f>IF('1P-B'!D16&lt;&gt;0,'1P-B'!D16,"")</f>
        <v/>
      </c>
      <c r="E18" s="43"/>
      <c r="F18" s="42"/>
      <c r="G18" s="28" t="e">
        <f t="shared" si="0"/>
        <v>#DIV/0!</v>
      </c>
      <c r="H18" s="39"/>
      <c r="I18" s="40"/>
      <c r="J18" s="29" t="e">
        <f t="shared" si="1"/>
        <v>#DIV/0!</v>
      </c>
      <c r="K18" s="87">
        <f>Tabela273[[#This Row],[Nº]]</f>
        <v>14</v>
      </c>
      <c r="L18" s="41"/>
      <c r="M18" s="42"/>
      <c r="N18" s="28" t="e">
        <f t="shared" si="2"/>
        <v>#DIV/0!</v>
      </c>
      <c r="O18" s="39"/>
      <c r="P18" s="40"/>
      <c r="Q18" s="29" t="e">
        <f t="shared" si="3"/>
        <v>#DIV/0!</v>
      </c>
      <c r="R18" s="87">
        <f>Tabela273[[#This Row],[Nº]]</f>
        <v>14</v>
      </c>
      <c r="S18" s="41"/>
      <c r="T18" s="42"/>
      <c r="U18" s="28" t="e">
        <f t="shared" si="4"/>
        <v>#DIV/0!</v>
      </c>
      <c r="V18" s="39"/>
      <c r="W18" s="40"/>
      <c r="X18" s="29" t="e">
        <f t="shared" si="5"/>
        <v>#DIV/0!</v>
      </c>
      <c r="Y18" s="87">
        <f>Tabela273[[#This Row],[Nº]]</f>
        <v>14</v>
      </c>
      <c r="Z18" s="41"/>
      <c r="AA18" s="42"/>
      <c r="AB18" s="28" t="e">
        <f t="shared" si="6"/>
        <v>#DIV/0!</v>
      </c>
      <c r="AC18" s="39"/>
      <c r="AD18" s="40"/>
      <c r="AE18" s="30" t="e">
        <f t="shared" si="7"/>
        <v>#DIV/0!</v>
      </c>
    </row>
    <row r="19" spans="1:31" ht="15">
      <c r="A19" s="72">
        <v>15</v>
      </c>
      <c r="B19" s="60" t="str">
        <f>IF('1P-B'!B17&lt;&gt;0,'1P-B'!B17,"")</f>
        <v/>
      </c>
      <c r="C19" s="61" t="str">
        <f>IF('1P-B'!C17&lt;&gt;0,'1P-B'!C17,"")</f>
        <v/>
      </c>
      <c r="D19" s="62" t="str">
        <f>IF('1P-B'!D17&lt;&gt;0,'1P-B'!D17,"")</f>
        <v/>
      </c>
      <c r="E19" s="43"/>
      <c r="F19" s="42"/>
      <c r="G19" s="28" t="e">
        <f t="shared" si="0"/>
        <v>#DIV/0!</v>
      </c>
      <c r="H19" s="39"/>
      <c r="I19" s="40"/>
      <c r="J19" s="29" t="e">
        <f t="shared" si="1"/>
        <v>#DIV/0!</v>
      </c>
      <c r="K19" s="87">
        <f>Tabela273[[#This Row],[Nº]]</f>
        <v>15</v>
      </c>
      <c r="L19" s="41"/>
      <c r="M19" s="42"/>
      <c r="N19" s="28" t="e">
        <f t="shared" si="2"/>
        <v>#DIV/0!</v>
      </c>
      <c r="O19" s="39"/>
      <c r="P19" s="40"/>
      <c r="Q19" s="29" t="e">
        <f t="shared" si="3"/>
        <v>#DIV/0!</v>
      </c>
      <c r="R19" s="87">
        <f>Tabela273[[#This Row],[Nº]]</f>
        <v>15</v>
      </c>
      <c r="S19" s="41"/>
      <c r="T19" s="42"/>
      <c r="U19" s="28" t="e">
        <f t="shared" si="4"/>
        <v>#DIV/0!</v>
      </c>
      <c r="V19" s="39"/>
      <c r="W19" s="40"/>
      <c r="X19" s="29" t="e">
        <f t="shared" si="5"/>
        <v>#DIV/0!</v>
      </c>
      <c r="Y19" s="87">
        <f>Tabela273[[#This Row],[Nº]]</f>
        <v>15</v>
      </c>
      <c r="Z19" s="41"/>
      <c r="AA19" s="42"/>
      <c r="AB19" s="28" t="e">
        <f t="shared" si="6"/>
        <v>#DIV/0!</v>
      </c>
      <c r="AC19" s="39"/>
      <c r="AD19" s="40"/>
      <c r="AE19" s="30" t="e">
        <f t="shared" si="7"/>
        <v>#DIV/0!</v>
      </c>
    </row>
    <row r="20" spans="1:31" ht="15">
      <c r="A20" s="72">
        <v>16</v>
      </c>
      <c r="B20" s="60" t="str">
        <f>IF('1P-B'!B18&lt;&gt;0,'1P-B'!B18,"")</f>
        <v/>
      </c>
      <c r="C20" s="61" t="str">
        <f>IF('1P-B'!C18&lt;&gt;0,'1P-B'!C18,"")</f>
        <v/>
      </c>
      <c r="D20" s="62" t="str">
        <f>IF('1P-B'!D18&lt;&gt;0,'1P-B'!D18,"")</f>
        <v/>
      </c>
      <c r="E20" s="43"/>
      <c r="F20" s="42"/>
      <c r="G20" s="28" t="e">
        <f t="shared" si="0"/>
        <v>#DIV/0!</v>
      </c>
      <c r="H20" s="39"/>
      <c r="I20" s="40"/>
      <c r="J20" s="29" t="e">
        <f t="shared" si="1"/>
        <v>#DIV/0!</v>
      </c>
      <c r="K20" s="87">
        <f>Tabela273[[#This Row],[Nº]]</f>
        <v>16</v>
      </c>
      <c r="L20" s="41"/>
      <c r="M20" s="42"/>
      <c r="N20" s="28" t="e">
        <f t="shared" si="2"/>
        <v>#DIV/0!</v>
      </c>
      <c r="O20" s="39"/>
      <c r="P20" s="40"/>
      <c r="Q20" s="29" t="e">
        <f t="shared" si="3"/>
        <v>#DIV/0!</v>
      </c>
      <c r="R20" s="87">
        <f>Tabela273[[#This Row],[Nº]]</f>
        <v>16</v>
      </c>
      <c r="S20" s="41"/>
      <c r="T20" s="42"/>
      <c r="U20" s="28" t="e">
        <f t="shared" si="4"/>
        <v>#DIV/0!</v>
      </c>
      <c r="V20" s="39"/>
      <c r="W20" s="40"/>
      <c r="X20" s="29" t="e">
        <f t="shared" si="5"/>
        <v>#DIV/0!</v>
      </c>
      <c r="Y20" s="87">
        <f>Tabela273[[#This Row],[Nº]]</f>
        <v>16</v>
      </c>
      <c r="Z20" s="41"/>
      <c r="AA20" s="42"/>
      <c r="AB20" s="28" t="e">
        <f t="shared" si="6"/>
        <v>#DIV/0!</v>
      </c>
      <c r="AC20" s="39"/>
      <c r="AD20" s="40"/>
      <c r="AE20" s="30" t="e">
        <f t="shared" si="7"/>
        <v>#DIV/0!</v>
      </c>
    </row>
    <row r="21" spans="1:31" ht="15">
      <c r="A21" s="72">
        <v>17</v>
      </c>
      <c r="B21" s="60" t="str">
        <f>IF('1P-B'!B19&lt;&gt;0,'1P-B'!B19,"")</f>
        <v/>
      </c>
      <c r="C21" s="61" t="str">
        <f>IF('1P-B'!C19&lt;&gt;0,'1P-B'!C19,"")</f>
        <v/>
      </c>
      <c r="D21" s="62" t="str">
        <f>IF('1P-B'!D19&lt;&gt;0,'1P-B'!D19,"")</f>
        <v/>
      </c>
      <c r="E21" s="43"/>
      <c r="F21" s="42"/>
      <c r="G21" s="28" t="e">
        <f t="shared" si="0"/>
        <v>#DIV/0!</v>
      </c>
      <c r="H21" s="39"/>
      <c r="I21" s="40"/>
      <c r="J21" s="29" t="e">
        <f t="shared" si="1"/>
        <v>#DIV/0!</v>
      </c>
      <c r="K21" s="87">
        <f>Tabela273[[#This Row],[Nº]]</f>
        <v>17</v>
      </c>
      <c r="L21" s="41"/>
      <c r="M21" s="42"/>
      <c r="N21" s="28" t="e">
        <f t="shared" si="2"/>
        <v>#DIV/0!</v>
      </c>
      <c r="O21" s="39"/>
      <c r="P21" s="40"/>
      <c r="Q21" s="29" t="e">
        <f t="shared" si="3"/>
        <v>#DIV/0!</v>
      </c>
      <c r="R21" s="87">
        <f>Tabela273[[#This Row],[Nº]]</f>
        <v>17</v>
      </c>
      <c r="S21" s="41"/>
      <c r="T21" s="42"/>
      <c r="U21" s="28" t="e">
        <f t="shared" si="4"/>
        <v>#DIV/0!</v>
      </c>
      <c r="V21" s="39"/>
      <c r="W21" s="40"/>
      <c r="X21" s="29" t="e">
        <f t="shared" si="5"/>
        <v>#DIV/0!</v>
      </c>
      <c r="Y21" s="87">
        <f>Tabela273[[#This Row],[Nº]]</f>
        <v>17</v>
      </c>
      <c r="Z21" s="41"/>
      <c r="AA21" s="42"/>
      <c r="AB21" s="28" t="e">
        <f t="shared" si="6"/>
        <v>#DIV/0!</v>
      </c>
      <c r="AC21" s="39"/>
      <c r="AD21" s="40"/>
      <c r="AE21" s="30" t="e">
        <f t="shared" si="7"/>
        <v>#DIV/0!</v>
      </c>
    </row>
    <row r="22" spans="1:31" ht="15">
      <c r="A22" s="72">
        <v>18</v>
      </c>
      <c r="B22" s="60" t="str">
        <f>IF('1P-B'!B20&lt;&gt;0,'1P-B'!B20,"")</f>
        <v/>
      </c>
      <c r="C22" s="61" t="str">
        <f>IF('1P-B'!C20&lt;&gt;0,'1P-B'!C20,"")</f>
        <v/>
      </c>
      <c r="D22" s="62" t="str">
        <f>IF('1P-B'!D20&lt;&gt;0,'1P-B'!D20,"")</f>
        <v/>
      </c>
      <c r="E22" s="43"/>
      <c r="F22" s="42"/>
      <c r="G22" s="28" t="e">
        <f t="shared" si="0"/>
        <v>#DIV/0!</v>
      </c>
      <c r="H22" s="39"/>
      <c r="I22" s="40"/>
      <c r="J22" s="29" t="e">
        <f t="shared" si="1"/>
        <v>#DIV/0!</v>
      </c>
      <c r="K22" s="87">
        <f>Tabela273[[#This Row],[Nº]]</f>
        <v>18</v>
      </c>
      <c r="L22" s="41"/>
      <c r="M22" s="42"/>
      <c r="N22" s="28" t="e">
        <f t="shared" si="2"/>
        <v>#DIV/0!</v>
      </c>
      <c r="O22" s="39"/>
      <c r="P22" s="40"/>
      <c r="Q22" s="29" t="e">
        <f t="shared" si="3"/>
        <v>#DIV/0!</v>
      </c>
      <c r="R22" s="87">
        <f>Tabela273[[#This Row],[Nº]]</f>
        <v>18</v>
      </c>
      <c r="S22" s="41"/>
      <c r="T22" s="42"/>
      <c r="U22" s="28" t="e">
        <f t="shared" si="4"/>
        <v>#DIV/0!</v>
      </c>
      <c r="V22" s="39"/>
      <c r="W22" s="40"/>
      <c r="X22" s="29" t="e">
        <f t="shared" si="5"/>
        <v>#DIV/0!</v>
      </c>
      <c r="Y22" s="87">
        <f>Tabela273[[#This Row],[Nº]]</f>
        <v>18</v>
      </c>
      <c r="Z22" s="41"/>
      <c r="AA22" s="42"/>
      <c r="AB22" s="28" t="e">
        <f t="shared" si="6"/>
        <v>#DIV/0!</v>
      </c>
      <c r="AC22" s="39"/>
      <c r="AD22" s="40"/>
      <c r="AE22" s="30" t="e">
        <f t="shared" si="7"/>
        <v>#DIV/0!</v>
      </c>
    </row>
    <row r="23" spans="1:31" ht="15">
      <c r="A23" s="72">
        <v>19</v>
      </c>
      <c r="B23" s="60" t="str">
        <f>IF('1P-B'!B21&lt;&gt;0,'1P-B'!B21,"")</f>
        <v/>
      </c>
      <c r="C23" s="61" t="str">
        <f>IF('1P-B'!C21&lt;&gt;0,'1P-B'!C21,"")</f>
        <v/>
      </c>
      <c r="D23" s="62" t="str">
        <f>IF('1P-B'!D21&lt;&gt;0,'1P-B'!D21,"")</f>
        <v/>
      </c>
      <c r="E23" s="43"/>
      <c r="F23" s="42"/>
      <c r="G23" s="28" t="e">
        <f t="shared" si="0"/>
        <v>#DIV/0!</v>
      </c>
      <c r="H23" s="39"/>
      <c r="I23" s="40"/>
      <c r="J23" s="29" t="e">
        <f t="shared" si="1"/>
        <v>#DIV/0!</v>
      </c>
      <c r="K23" s="87">
        <f>Tabela273[[#This Row],[Nº]]</f>
        <v>19</v>
      </c>
      <c r="L23" s="41"/>
      <c r="M23" s="42"/>
      <c r="N23" s="28" t="e">
        <f t="shared" si="2"/>
        <v>#DIV/0!</v>
      </c>
      <c r="O23" s="39"/>
      <c r="P23" s="40"/>
      <c r="Q23" s="29" t="e">
        <f t="shared" si="3"/>
        <v>#DIV/0!</v>
      </c>
      <c r="R23" s="87">
        <f>Tabela273[[#This Row],[Nº]]</f>
        <v>19</v>
      </c>
      <c r="S23" s="41"/>
      <c r="T23" s="42"/>
      <c r="U23" s="28" t="e">
        <f t="shared" si="4"/>
        <v>#DIV/0!</v>
      </c>
      <c r="V23" s="39"/>
      <c r="W23" s="40"/>
      <c r="X23" s="29" t="e">
        <f t="shared" si="5"/>
        <v>#DIV/0!</v>
      </c>
      <c r="Y23" s="87">
        <f>Tabela273[[#This Row],[Nº]]</f>
        <v>19</v>
      </c>
      <c r="Z23" s="41"/>
      <c r="AA23" s="42"/>
      <c r="AB23" s="28" t="e">
        <f t="shared" si="6"/>
        <v>#DIV/0!</v>
      </c>
      <c r="AC23" s="39"/>
      <c r="AD23" s="40"/>
      <c r="AE23" s="30" t="e">
        <f t="shared" si="7"/>
        <v>#DIV/0!</v>
      </c>
    </row>
    <row r="24" spans="1:31" ht="15">
      <c r="A24" s="72">
        <v>20</v>
      </c>
      <c r="B24" s="60" t="str">
        <f>IF('1P-B'!B22&lt;&gt;0,'1P-B'!B22,"")</f>
        <v/>
      </c>
      <c r="C24" s="61" t="str">
        <f>IF('1P-B'!C22&lt;&gt;0,'1P-B'!C22,"")</f>
        <v/>
      </c>
      <c r="D24" s="62" t="str">
        <f>IF('1P-B'!D22&lt;&gt;0,'1P-B'!D22,"")</f>
        <v/>
      </c>
      <c r="E24" s="43"/>
      <c r="F24" s="42"/>
      <c r="G24" s="28" t="e">
        <f t="shared" si="0"/>
        <v>#DIV/0!</v>
      </c>
      <c r="H24" s="39"/>
      <c r="I24" s="40"/>
      <c r="J24" s="29" t="e">
        <f t="shared" si="1"/>
        <v>#DIV/0!</v>
      </c>
      <c r="K24" s="87">
        <f>Tabela273[[#This Row],[Nº]]</f>
        <v>20</v>
      </c>
      <c r="L24" s="41"/>
      <c r="M24" s="42"/>
      <c r="N24" s="28" t="e">
        <f t="shared" si="2"/>
        <v>#DIV/0!</v>
      </c>
      <c r="O24" s="39"/>
      <c r="P24" s="40"/>
      <c r="Q24" s="29" t="e">
        <f t="shared" si="3"/>
        <v>#DIV/0!</v>
      </c>
      <c r="R24" s="87">
        <f>Tabela273[[#This Row],[Nº]]</f>
        <v>20</v>
      </c>
      <c r="S24" s="41"/>
      <c r="T24" s="42"/>
      <c r="U24" s="28" t="e">
        <f t="shared" si="4"/>
        <v>#DIV/0!</v>
      </c>
      <c r="V24" s="39"/>
      <c r="W24" s="40"/>
      <c r="X24" s="29" t="e">
        <f t="shared" si="5"/>
        <v>#DIV/0!</v>
      </c>
      <c r="Y24" s="87">
        <f>Tabela273[[#This Row],[Nº]]</f>
        <v>20</v>
      </c>
      <c r="Z24" s="41"/>
      <c r="AA24" s="42"/>
      <c r="AB24" s="28" t="e">
        <f t="shared" si="6"/>
        <v>#DIV/0!</v>
      </c>
      <c r="AC24" s="39"/>
      <c r="AD24" s="40"/>
      <c r="AE24" s="30" t="e">
        <f t="shared" si="7"/>
        <v>#DIV/0!</v>
      </c>
    </row>
    <row r="25" spans="1:31" ht="15">
      <c r="A25" s="72">
        <v>21</v>
      </c>
      <c r="B25" s="60" t="str">
        <f>IF('1P-B'!B23&lt;&gt;0,'1P-B'!B23,"")</f>
        <v/>
      </c>
      <c r="C25" s="61" t="str">
        <f>IF('1P-B'!C23&lt;&gt;0,'1P-B'!C23,"")</f>
        <v/>
      </c>
      <c r="D25" s="62" t="str">
        <f>IF('1P-B'!D23&lt;&gt;0,'1P-B'!D23,"")</f>
        <v/>
      </c>
      <c r="E25" s="43"/>
      <c r="F25" s="42"/>
      <c r="G25" s="28" t="e">
        <f t="shared" si="0"/>
        <v>#DIV/0!</v>
      </c>
      <c r="H25" s="39"/>
      <c r="I25" s="40"/>
      <c r="J25" s="29" t="e">
        <f t="shared" si="1"/>
        <v>#DIV/0!</v>
      </c>
      <c r="K25" s="87">
        <f>Tabela273[[#This Row],[Nº]]</f>
        <v>21</v>
      </c>
      <c r="L25" s="41"/>
      <c r="M25" s="42"/>
      <c r="N25" s="28" t="e">
        <f t="shared" si="2"/>
        <v>#DIV/0!</v>
      </c>
      <c r="O25" s="39"/>
      <c r="P25" s="40"/>
      <c r="Q25" s="29" t="e">
        <f t="shared" si="3"/>
        <v>#DIV/0!</v>
      </c>
      <c r="R25" s="87">
        <f>Tabela273[[#This Row],[Nº]]</f>
        <v>21</v>
      </c>
      <c r="S25" s="41"/>
      <c r="T25" s="42"/>
      <c r="U25" s="28" t="e">
        <f t="shared" si="4"/>
        <v>#DIV/0!</v>
      </c>
      <c r="V25" s="39"/>
      <c r="W25" s="40"/>
      <c r="X25" s="29" t="e">
        <f t="shared" si="5"/>
        <v>#DIV/0!</v>
      </c>
      <c r="Y25" s="87">
        <f>Tabela273[[#This Row],[Nº]]</f>
        <v>21</v>
      </c>
      <c r="Z25" s="41"/>
      <c r="AA25" s="42"/>
      <c r="AB25" s="28" t="e">
        <f t="shared" si="6"/>
        <v>#DIV/0!</v>
      </c>
      <c r="AC25" s="39"/>
      <c r="AD25" s="40"/>
      <c r="AE25" s="30" t="e">
        <f t="shared" si="7"/>
        <v>#DIV/0!</v>
      </c>
    </row>
    <row r="26" spans="1:31" ht="15">
      <c r="A26" s="72">
        <v>22</v>
      </c>
      <c r="B26" s="60" t="str">
        <f>IF('1P-B'!B24&lt;&gt;0,'1P-B'!B24,"")</f>
        <v/>
      </c>
      <c r="C26" s="61" t="str">
        <f>IF('1P-B'!C24&lt;&gt;0,'1P-B'!C24,"")</f>
        <v/>
      </c>
      <c r="D26" s="62" t="str">
        <f>IF('1P-B'!D24&lt;&gt;0,'1P-B'!D24,"")</f>
        <v/>
      </c>
      <c r="E26" s="43"/>
      <c r="F26" s="42"/>
      <c r="G26" s="28" t="e">
        <f t="shared" si="0"/>
        <v>#DIV/0!</v>
      </c>
      <c r="H26" s="39"/>
      <c r="I26" s="40"/>
      <c r="J26" s="29" t="e">
        <f t="shared" si="1"/>
        <v>#DIV/0!</v>
      </c>
      <c r="K26" s="87">
        <f>Tabela273[[#This Row],[Nº]]</f>
        <v>22</v>
      </c>
      <c r="L26" s="41"/>
      <c r="M26" s="42"/>
      <c r="N26" s="28" t="e">
        <f t="shared" si="2"/>
        <v>#DIV/0!</v>
      </c>
      <c r="O26" s="39"/>
      <c r="P26" s="40"/>
      <c r="Q26" s="29" t="e">
        <f t="shared" si="3"/>
        <v>#DIV/0!</v>
      </c>
      <c r="R26" s="87">
        <f>Tabela273[[#This Row],[Nº]]</f>
        <v>22</v>
      </c>
      <c r="S26" s="41"/>
      <c r="T26" s="42"/>
      <c r="U26" s="28" t="e">
        <f t="shared" si="4"/>
        <v>#DIV/0!</v>
      </c>
      <c r="V26" s="39"/>
      <c r="W26" s="40"/>
      <c r="X26" s="29" t="e">
        <f t="shared" si="5"/>
        <v>#DIV/0!</v>
      </c>
      <c r="Y26" s="87">
        <f>Tabela273[[#This Row],[Nº]]</f>
        <v>22</v>
      </c>
      <c r="Z26" s="41"/>
      <c r="AA26" s="42"/>
      <c r="AB26" s="28" t="e">
        <f t="shared" si="6"/>
        <v>#DIV/0!</v>
      </c>
      <c r="AC26" s="39"/>
      <c r="AD26" s="40"/>
      <c r="AE26" s="30" t="e">
        <f t="shared" si="7"/>
        <v>#DIV/0!</v>
      </c>
    </row>
    <row r="27" spans="1:31" ht="15">
      <c r="A27" s="72">
        <v>23</v>
      </c>
      <c r="B27" s="60" t="str">
        <f>IF('1P-B'!B25&lt;&gt;0,'1P-B'!B25,"")</f>
        <v/>
      </c>
      <c r="C27" s="61" t="str">
        <f>IF('1P-B'!C25&lt;&gt;0,'1P-B'!C25,"")</f>
        <v/>
      </c>
      <c r="D27" s="62" t="str">
        <f>IF('1P-B'!D25&lt;&gt;0,'1P-B'!D25,"")</f>
        <v/>
      </c>
      <c r="E27" s="43"/>
      <c r="F27" s="42"/>
      <c r="G27" s="28" t="e">
        <f t="shared" si="0"/>
        <v>#DIV/0!</v>
      </c>
      <c r="H27" s="39"/>
      <c r="I27" s="40"/>
      <c r="J27" s="29" t="e">
        <f t="shared" si="1"/>
        <v>#DIV/0!</v>
      </c>
      <c r="K27" s="87">
        <f>Tabela273[[#This Row],[Nº]]</f>
        <v>23</v>
      </c>
      <c r="L27" s="41"/>
      <c r="M27" s="42"/>
      <c r="N27" s="28" t="e">
        <f t="shared" si="2"/>
        <v>#DIV/0!</v>
      </c>
      <c r="O27" s="39"/>
      <c r="P27" s="40"/>
      <c r="Q27" s="29" t="e">
        <f t="shared" si="3"/>
        <v>#DIV/0!</v>
      </c>
      <c r="R27" s="87">
        <f>Tabela273[[#This Row],[Nº]]</f>
        <v>23</v>
      </c>
      <c r="S27" s="41"/>
      <c r="T27" s="42"/>
      <c r="U27" s="28" t="e">
        <f t="shared" si="4"/>
        <v>#DIV/0!</v>
      </c>
      <c r="V27" s="39"/>
      <c r="W27" s="40"/>
      <c r="X27" s="29" t="e">
        <f t="shared" si="5"/>
        <v>#DIV/0!</v>
      </c>
      <c r="Y27" s="87">
        <f>Tabela273[[#This Row],[Nº]]</f>
        <v>23</v>
      </c>
      <c r="Z27" s="41"/>
      <c r="AA27" s="42"/>
      <c r="AB27" s="28" t="e">
        <f t="shared" si="6"/>
        <v>#DIV/0!</v>
      </c>
      <c r="AC27" s="39"/>
      <c r="AD27" s="40"/>
      <c r="AE27" s="30" t="e">
        <f t="shared" si="7"/>
        <v>#DIV/0!</v>
      </c>
    </row>
    <row r="28" spans="1:31" ht="15">
      <c r="A28" s="72">
        <v>24</v>
      </c>
      <c r="B28" s="60" t="str">
        <f>IF('1P-B'!B26&lt;&gt;0,'1P-B'!B26,"")</f>
        <v/>
      </c>
      <c r="C28" s="61" t="str">
        <f>IF('1P-B'!C26&lt;&gt;0,'1P-B'!C26,"")</f>
        <v/>
      </c>
      <c r="D28" s="62" t="str">
        <f>IF('1P-B'!D26&lt;&gt;0,'1P-B'!D26,"")</f>
        <v/>
      </c>
      <c r="E28" s="43"/>
      <c r="F28" s="42"/>
      <c r="G28" s="28" t="e">
        <f t="shared" si="0"/>
        <v>#DIV/0!</v>
      </c>
      <c r="H28" s="39"/>
      <c r="I28" s="40"/>
      <c r="J28" s="29" t="e">
        <f t="shared" si="1"/>
        <v>#DIV/0!</v>
      </c>
      <c r="K28" s="87">
        <f>Tabela273[[#This Row],[Nº]]</f>
        <v>24</v>
      </c>
      <c r="L28" s="41"/>
      <c r="M28" s="42"/>
      <c r="N28" s="28" t="e">
        <f t="shared" si="2"/>
        <v>#DIV/0!</v>
      </c>
      <c r="O28" s="39"/>
      <c r="P28" s="40"/>
      <c r="Q28" s="29" t="e">
        <f t="shared" si="3"/>
        <v>#DIV/0!</v>
      </c>
      <c r="R28" s="87">
        <f>Tabela273[[#This Row],[Nº]]</f>
        <v>24</v>
      </c>
      <c r="S28" s="41"/>
      <c r="T28" s="42"/>
      <c r="U28" s="28" t="e">
        <f t="shared" si="4"/>
        <v>#DIV/0!</v>
      </c>
      <c r="V28" s="39"/>
      <c r="W28" s="40"/>
      <c r="X28" s="29" t="e">
        <f t="shared" si="5"/>
        <v>#DIV/0!</v>
      </c>
      <c r="Y28" s="87">
        <f>Tabela273[[#This Row],[Nº]]</f>
        <v>24</v>
      </c>
      <c r="Z28" s="41"/>
      <c r="AA28" s="42"/>
      <c r="AB28" s="28" t="e">
        <f t="shared" si="6"/>
        <v>#DIV/0!</v>
      </c>
      <c r="AC28" s="39"/>
      <c r="AD28" s="40"/>
      <c r="AE28" s="30" t="e">
        <f t="shared" si="7"/>
        <v>#DIV/0!</v>
      </c>
    </row>
    <row r="29" spans="1:31" ht="15">
      <c r="A29" s="72">
        <v>25</v>
      </c>
      <c r="B29" s="60" t="str">
        <f>IF('1P-B'!B27&lt;&gt;0,'1P-B'!B27,"")</f>
        <v/>
      </c>
      <c r="C29" s="61" t="str">
        <f>IF('1P-B'!C27&lt;&gt;0,'1P-B'!C27,"")</f>
        <v/>
      </c>
      <c r="D29" s="62" t="str">
        <f>IF('1P-B'!D27&lt;&gt;0,'1P-B'!D27,"")</f>
        <v/>
      </c>
      <c r="E29" s="43"/>
      <c r="F29" s="42"/>
      <c r="G29" s="28" t="e">
        <f t="shared" si="0"/>
        <v>#DIV/0!</v>
      </c>
      <c r="H29" s="39"/>
      <c r="I29" s="40"/>
      <c r="J29" s="29" t="e">
        <f t="shared" si="1"/>
        <v>#DIV/0!</v>
      </c>
      <c r="K29" s="87">
        <f>Tabela273[[#This Row],[Nº]]</f>
        <v>25</v>
      </c>
      <c r="L29" s="41"/>
      <c r="M29" s="42"/>
      <c r="N29" s="28" t="e">
        <f t="shared" si="2"/>
        <v>#DIV/0!</v>
      </c>
      <c r="O29" s="39"/>
      <c r="P29" s="40"/>
      <c r="Q29" s="29" t="e">
        <f t="shared" si="3"/>
        <v>#DIV/0!</v>
      </c>
      <c r="R29" s="87">
        <f>Tabela273[[#This Row],[Nº]]</f>
        <v>25</v>
      </c>
      <c r="S29" s="41"/>
      <c r="T29" s="42"/>
      <c r="U29" s="28" t="e">
        <f t="shared" si="4"/>
        <v>#DIV/0!</v>
      </c>
      <c r="V29" s="39"/>
      <c r="W29" s="40"/>
      <c r="X29" s="29" t="e">
        <f t="shared" si="5"/>
        <v>#DIV/0!</v>
      </c>
      <c r="Y29" s="87">
        <f>Tabela273[[#This Row],[Nº]]</f>
        <v>25</v>
      </c>
      <c r="Z29" s="41"/>
      <c r="AA29" s="42"/>
      <c r="AB29" s="28" t="e">
        <f t="shared" si="6"/>
        <v>#DIV/0!</v>
      </c>
      <c r="AC29" s="39"/>
      <c r="AD29" s="40"/>
      <c r="AE29" s="30" t="e">
        <f t="shared" si="7"/>
        <v>#DIV/0!</v>
      </c>
    </row>
  </sheetData>
  <sheetProtection algorithmName="SHA-512" hashValue="qA4+pab5U3my9lE0tGyHJjN3YNv2LYZZw4kkT0cEs4hXQArVxYeifh59szh93lg/X+rjXKnFFR3HMCcQVB1aSA==" saltValue="q0OaJuF0tAzlPgitEhLzeA==" spinCount="100000" sheet="1" objects="1" scenarios="1" selectLockedCells="1"/>
  <mergeCells count="12">
    <mergeCell ref="Z3:AB3"/>
    <mergeCell ref="AC3:AE3"/>
    <mergeCell ref="A1:D3"/>
    <mergeCell ref="E1:AE1"/>
    <mergeCell ref="E2:Q2"/>
    <mergeCell ref="S2:AE2"/>
    <mergeCell ref="E3:G3"/>
    <mergeCell ref="H3:J3"/>
    <mergeCell ref="L3:N3"/>
    <mergeCell ref="O3:Q3"/>
    <mergeCell ref="S3:U3"/>
    <mergeCell ref="V3:X3"/>
  </mergeCells>
  <conditionalFormatting sqref="A5:D29">
    <cfRule type="expression" dxfId="243" priority="11">
      <formula>ROW()=CELL("LIN")</formula>
    </cfRule>
    <cfRule type="expression" dxfId="242" priority="12">
      <formula>IF($D5&lt;&gt;"",1,0)</formula>
    </cfRule>
  </conditionalFormatting>
  <conditionalFormatting sqref="G5:G29">
    <cfRule type="iconSet" priority="8">
      <iconSet iconSet="3Symbols">
        <cfvo type="percent" val="0"/>
        <cfvo type="num" val="0.6"/>
        <cfvo type="num" val="0.75"/>
      </iconSet>
    </cfRule>
  </conditionalFormatting>
  <conditionalFormatting sqref="J5:J29">
    <cfRule type="iconSet" priority="7">
      <iconSet iconSet="3Symbols">
        <cfvo type="percent" val="0"/>
        <cfvo type="num" val="0.6"/>
        <cfvo type="num" val="0.75"/>
      </iconSet>
    </cfRule>
  </conditionalFormatting>
  <conditionalFormatting sqref="N5:N29">
    <cfRule type="iconSet" priority="6">
      <iconSet iconSet="3Symbols">
        <cfvo type="percent" val="0"/>
        <cfvo type="num" val="0.6"/>
        <cfvo type="num" val="0.75"/>
      </iconSet>
    </cfRule>
  </conditionalFormatting>
  <conditionalFormatting sqref="Q5:Q29">
    <cfRule type="iconSet" priority="5">
      <iconSet iconSet="3Symbols">
        <cfvo type="percent" val="0"/>
        <cfvo type="num" val="0.6"/>
        <cfvo type="num" val="0.75"/>
      </iconSet>
    </cfRule>
  </conditionalFormatting>
  <conditionalFormatting sqref="U5:U29">
    <cfRule type="iconSet" priority="4">
      <iconSet iconSet="3Symbols">
        <cfvo type="percent" val="0"/>
        <cfvo type="num" val="0.6"/>
        <cfvo type="num" val="0.75"/>
      </iconSet>
    </cfRule>
  </conditionalFormatting>
  <conditionalFormatting sqref="X5:X29">
    <cfRule type="iconSet" priority="3">
      <iconSet iconSet="3Symbols">
        <cfvo type="percent" val="0"/>
        <cfvo type="num" val="0.6"/>
        <cfvo type="num" val="0.75"/>
      </iconSet>
    </cfRule>
  </conditionalFormatting>
  <conditionalFormatting sqref="AB5:AB29">
    <cfRule type="iconSet" priority="2">
      <iconSet iconSet="3Symbols">
        <cfvo type="percent" val="0"/>
        <cfvo type="num" val="0.6"/>
        <cfvo type="num" val="0.75"/>
      </iconSet>
    </cfRule>
  </conditionalFormatting>
  <conditionalFormatting sqref="AE5:AE29">
    <cfRule type="iconSet" priority="1">
      <iconSet iconSet="3Symbols">
        <cfvo type="percent" val="0"/>
        <cfvo type="num" val="0.6"/>
        <cfvo type="num" val="0.75"/>
      </iconSet>
    </cfRule>
  </conditionalFormatting>
  <conditionalFormatting sqref="E5:AE29">
    <cfRule type="expression" dxfId="241" priority="9">
      <formula>ROW()=CELL("LIN")</formula>
    </cfRule>
    <cfRule type="expression" dxfId="240" priority="10">
      <formula>IF($D5&lt;&gt;"",1,0)</formula>
    </cfRule>
  </conditionalFormatting>
  <pageMargins left="0.25" right="0.25" top="0.75" bottom="0.75" header="0.3" footer="0.3"/>
  <pageSetup paperSize="9" scale="67" orientation="landscape" r:id="rId1"/>
  <colBreaks count="2" manualBreakCount="2">
    <brk id="10" max="1048575" man="1"/>
    <brk id="24" max="1048575" man="1"/>
  </colBreaks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95D6D-8746-46D7-BDC2-EE1A089D40B2}">
  <sheetPr codeName="Plan18">
    <pageSetUpPr fitToPage="1"/>
  </sheetPr>
  <dimension ref="A1:K48"/>
  <sheetViews>
    <sheetView showGridLines="0" showRowColHeaders="0" view="pageBreakPreview" zoomScaleNormal="60" zoomScaleSheetLayoutView="100" zoomScalePageLayoutView="91" workbookViewId="0">
      <selection activeCell="B4" sqref="B4:K4"/>
    </sheetView>
  </sheetViews>
  <sheetFormatPr defaultColWidth="9.140625" defaultRowHeight="15"/>
  <cols>
    <col min="1" max="1" width="19.85546875" style="17" customWidth="1"/>
    <col min="2" max="16384" width="9.140625" style="17"/>
  </cols>
  <sheetData>
    <row r="1" spans="1:11" ht="15.75">
      <c r="A1" s="73" t="s">
        <v>69</v>
      </c>
      <c r="B1" s="92" t="str">
        <f>MENU!C2</f>
        <v>E.M.E.I.E.F. Ficticio</v>
      </c>
      <c r="C1" s="92"/>
      <c r="D1" s="92"/>
      <c r="E1" s="92"/>
      <c r="F1" s="92"/>
      <c r="G1" s="92"/>
      <c r="H1" s="92"/>
      <c r="I1" s="92"/>
      <c r="J1" s="92"/>
      <c r="K1" s="93"/>
    </row>
    <row r="2" spans="1:11" ht="15.75">
      <c r="A2" s="74" t="s">
        <v>71</v>
      </c>
      <c r="B2" s="156" t="s">
        <v>87</v>
      </c>
      <c r="C2" s="95"/>
      <c r="D2" s="95"/>
      <c r="E2" s="95"/>
      <c r="F2" s="95"/>
      <c r="G2" s="95"/>
      <c r="H2" s="95"/>
      <c r="I2" s="95"/>
      <c r="J2" s="95"/>
      <c r="K2" s="96"/>
    </row>
    <row r="3" spans="1:11" ht="15.75">
      <c r="A3" s="74" t="s">
        <v>70</v>
      </c>
      <c r="B3" s="94" t="s">
        <v>21</v>
      </c>
      <c r="C3" s="95"/>
      <c r="D3" s="95"/>
      <c r="E3" s="95"/>
      <c r="F3" s="95"/>
      <c r="G3" s="95"/>
      <c r="H3" s="95"/>
      <c r="I3" s="95"/>
      <c r="J3" s="95"/>
      <c r="K3" s="96"/>
    </row>
    <row r="4" spans="1:11" ht="15.75">
      <c r="A4" s="74" t="s">
        <v>5</v>
      </c>
      <c r="B4" s="94" t="s">
        <v>110</v>
      </c>
      <c r="C4" s="95"/>
      <c r="D4" s="95"/>
      <c r="E4" s="95"/>
      <c r="F4" s="95"/>
      <c r="G4" s="95"/>
      <c r="H4" s="95"/>
      <c r="I4" s="95"/>
      <c r="J4" s="95"/>
      <c r="K4" s="96"/>
    </row>
    <row r="5" spans="1:11" ht="15.75">
      <c r="A5" s="74" t="s">
        <v>73</v>
      </c>
      <c r="B5" s="95"/>
      <c r="C5" s="95"/>
      <c r="D5" s="95"/>
      <c r="E5" s="95"/>
      <c r="F5" s="95"/>
      <c r="G5" s="95"/>
      <c r="H5" s="95"/>
      <c r="I5" s="95"/>
      <c r="J5" s="95"/>
      <c r="K5" s="96"/>
    </row>
    <row r="6" spans="1:11" ht="15.75">
      <c r="A6" s="99" t="s">
        <v>74</v>
      </c>
      <c r="B6" s="100"/>
      <c r="C6" s="100"/>
      <c r="D6" s="95"/>
      <c r="E6" s="95"/>
      <c r="F6" s="95"/>
      <c r="G6" s="95"/>
      <c r="H6" s="95"/>
      <c r="I6" s="95"/>
      <c r="J6" s="95"/>
      <c r="K6" s="96"/>
    </row>
    <row r="7" spans="1:11" ht="16.5" thickBot="1">
      <c r="A7" s="75" t="s">
        <v>72</v>
      </c>
      <c r="B7" s="97">
        <f>MENU!D10</f>
        <v>2022</v>
      </c>
      <c r="C7" s="97"/>
      <c r="D7" s="97"/>
      <c r="E7" s="97"/>
      <c r="F7" s="97"/>
      <c r="G7" s="97"/>
      <c r="H7" s="97"/>
      <c r="I7" s="97"/>
      <c r="J7" s="97"/>
      <c r="K7" s="98"/>
    </row>
    <row r="8" spans="1:11" ht="15.75" thickBot="1"/>
    <row r="9" spans="1:11">
      <c r="A9" s="107" t="s">
        <v>77</v>
      </c>
      <c r="B9" s="108"/>
      <c r="C9" s="108"/>
      <c r="D9" s="108"/>
      <c r="E9" s="108"/>
      <c r="F9" s="108"/>
      <c r="G9" s="108"/>
      <c r="H9" s="108"/>
      <c r="I9" s="108"/>
      <c r="J9" s="108"/>
      <c r="K9" s="109"/>
    </row>
    <row r="10" spans="1:11" ht="15.75" thickBot="1">
      <c r="A10" s="110"/>
      <c r="B10" s="111"/>
      <c r="C10" s="111"/>
      <c r="D10" s="111"/>
      <c r="E10" s="111"/>
      <c r="F10" s="111"/>
      <c r="G10" s="111"/>
      <c r="H10" s="111"/>
      <c r="I10" s="111"/>
      <c r="J10" s="111"/>
      <c r="K10" s="112"/>
    </row>
    <row r="11" spans="1:11" ht="15.75">
      <c r="A11" s="79" t="s">
        <v>9</v>
      </c>
      <c r="B11" s="107" t="s">
        <v>78</v>
      </c>
      <c r="C11" s="108"/>
      <c r="D11" s="108"/>
      <c r="E11" s="109"/>
      <c r="F11" s="107" t="s">
        <v>79</v>
      </c>
      <c r="G11" s="109"/>
      <c r="H11" s="107" t="s">
        <v>80</v>
      </c>
      <c r="I11" s="109"/>
      <c r="J11" s="107" t="s">
        <v>99</v>
      </c>
      <c r="K11" s="109"/>
    </row>
    <row r="12" spans="1:11">
      <c r="A12" s="78">
        <f>IF('2P-A'!A3&lt;&gt;0,'2P-A'!A3,"")</f>
        <v>1</v>
      </c>
      <c r="B12" s="149" t="str">
        <f>IF('2P-A'!B3&lt;&gt;0,'2P-A'!B3,"")</f>
        <v/>
      </c>
      <c r="C12" s="150"/>
      <c r="D12" s="150"/>
      <c r="E12" s="151"/>
      <c r="F12" s="152" t="str">
        <f>IF('2P-A'!G3&lt;&gt;0,'2P-A'!G3,"")</f>
        <v/>
      </c>
      <c r="G12" s="153"/>
      <c r="H12" s="154" t="str">
        <f>IF('2P-A'!C3&lt;&gt;0,'2P-A'!C3,"")</f>
        <v/>
      </c>
      <c r="I12" s="155"/>
      <c r="J12" s="152" t="str">
        <f>IF('2P-A'!D3&lt;&gt;0,'2P-A'!D3,"")</f>
        <v/>
      </c>
      <c r="K12" s="155"/>
    </row>
    <row r="13" spans="1:11">
      <c r="A13" s="78">
        <f>IF('2P-A'!A4&lt;&gt;0,'2P-A'!A4,"")</f>
        <v>2</v>
      </c>
      <c r="B13" s="149" t="str">
        <f>IF('2P-A'!B4&lt;&gt;0,'2P-A'!B4,"")</f>
        <v/>
      </c>
      <c r="C13" s="150"/>
      <c r="D13" s="150"/>
      <c r="E13" s="151"/>
      <c r="F13" s="152" t="str">
        <f>IF('2P-A'!G4&lt;&gt;0,'2P-A'!G4,"")</f>
        <v/>
      </c>
      <c r="G13" s="153"/>
      <c r="H13" s="154" t="str">
        <f>IF('2P-A'!C4&lt;&gt;0,'2P-A'!C4,"")</f>
        <v/>
      </c>
      <c r="I13" s="155"/>
      <c r="J13" s="152" t="str">
        <f>IF('2P-A'!D4&lt;&gt;0,'2P-A'!D4,"")</f>
        <v/>
      </c>
      <c r="K13" s="155"/>
    </row>
    <row r="14" spans="1:11">
      <c r="A14" s="78">
        <f>IF('2P-A'!A5&lt;&gt;0,'2P-A'!A5,"")</f>
        <v>3</v>
      </c>
      <c r="B14" s="149" t="str">
        <f>IF('2P-A'!B5&lt;&gt;0,'2P-A'!B5,"")</f>
        <v/>
      </c>
      <c r="C14" s="150"/>
      <c r="D14" s="150"/>
      <c r="E14" s="151"/>
      <c r="F14" s="152" t="str">
        <f>IF('2P-A'!G5&lt;&gt;0,'2P-A'!G5,"")</f>
        <v/>
      </c>
      <c r="G14" s="153"/>
      <c r="H14" s="154" t="str">
        <f>IF('2P-A'!C5&lt;&gt;0,'2P-A'!C5,"")</f>
        <v/>
      </c>
      <c r="I14" s="155"/>
      <c r="J14" s="152" t="str">
        <f>IF('2P-A'!D5&lt;&gt;0,'2P-A'!D5,"")</f>
        <v/>
      </c>
      <c r="K14" s="155"/>
    </row>
    <row r="15" spans="1:11">
      <c r="A15" s="78">
        <f>IF('2P-A'!A6&lt;&gt;0,'2P-A'!A6,"")</f>
        <v>4</v>
      </c>
      <c r="B15" s="149" t="str">
        <f>IF('2P-A'!B6&lt;&gt;0,'2P-A'!B6,"")</f>
        <v/>
      </c>
      <c r="C15" s="150"/>
      <c r="D15" s="150"/>
      <c r="E15" s="151"/>
      <c r="F15" s="152" t="str">
        <f>IF('2P-A'!G6&lt;&gt;0,'2P-A'!G6,"")</f>
        <v/>
      </c>
      <c r="G15" s="153"/>
      <c r="H15" s="154" t="str">
        <f>IF('2P-A'!C6&lt;&gt;0,'2P-A'!C6,"")</f>
        <v/>
      </c>
      <c r="I15" s="155"/>
      <c r="J15" s="152" t="str">
        <f>IF('2P-A'!D6&lt;&gt;0,'2P-A'!D6,"")</f>
        <v/>
      </c>
      <c r="K15" s="155"/>
    </row>
    <row r="16" spans="1:11">
      <c r="A16" s="78">
        <f>IF('2P-A'!A7&lt;&gt;0,'2P-A'!A7,"")</f>
        <v>5</v>
      </c>
      <c r="B16" s="149" t="str">
        <f>IF('2P-A'!B7&lt;&gt;0,'2P-A'!B7,"")</f>
        <v/>
      </c>
      <c r="C16" s="150"/>
      <c r="D16" s="150"/>
      <c r="E16" s="151"/>
      <c r="F16" s="152" t="str">
        <f>IF('2P-A'!G7&lt;&gt;0,'2P-A'!G7,"")</f>
        <v/>
      </c>
      <c r="G16" s="153"/>
      <c r="H16" s="154" t="str">
        <f>IF('2P-A'!C7&lt;&gt;0,'2P-A'!C7,"")</f>
        <v/>
      </c>
      <c r="I16" s="155"/>
      <c r="J16" s="152" t="str">
        <f>IF('2P-A'!D7&lt;&gt;0,'2P-A'!D7,"")</f>
        <v/>
      </c>
      <c r="K16" s="155"/>
    </row>
    <row r="17" spans="1:11">
      <c r="A17" s="78">
        <f>IF('2P-A'!A8&lt;&gt;0,'2P-A'!A8,"")</f>
        <v>6</v>
      </c>
      <c r="B17" s="149" t="str">
        <f>IF('2P-A'!B8&lt;&gt;0,'2P-A'!B8,"")</f>
        <v/>
      </c>
      <c r="C17" s="150"/>
      <c r="D17" s="150"/>
      <c r="E17" s="151"/>
      <c r="F17" s="152" t="str">
        <f>IF('2P-A'!G8&lt;&gt;0,'2P-A'!G8,"")</f>
        <v/>
      </c>
      <c r="G17" s="153"/>
      <c r="H17" s="154" t="str">
        <f>IF('2P-A'!C8&lt;&gt;0,'2P-A'!C8,"")</f>
        <v/>
      </c>
      <c r="I17" s="155"/>
      <c r="J17" s="152" t="str">
        <f>IF('2P-A'!D8&lt;&gt;0,'2P-A'!D8,"")</f>
        <v/>
      </c>
      <c r="K17" s="155"/>
    </row>
    <row r="18" spans="1:11">
      <c r="A18" s="78">
        <f>IF('2P-A'!A9&lt;&gt;0,'2P-A'!A9,"")</f>
        <v>7</v>
      </c>
      <c r="B18" s="149" t="str">
        <f>IF('2P-A'!B9&lt;&gt;0,'2P-A'!B9,"")</f>
        <v/>
      </c>
      <c r="C18" s="150"/>
      <c r="D18" s="150"/>
      <c r="E18" s="151"/>
      <c r="F18" s="152" t="str">
        <f>IF('2P-A'!G9&lt;&gt;0,'2P-A'!G9,"")</f>
        <v/>
      </c>
      <c r="G18" s="153"/>
      <c r="H18" s="154" t="str">
        <f>IF('2P-A'!C9&lt;&gt;0,'2P-A'!C9,"")</f>
        <v/>
      </c>
      <c r="I18" s="155"/>
      <c r="J18" s="152" t="str">
        <f>IF('2P-A'!D9&lt;&gt;0,'2P-A'!D9,"")</f>
        <v/>
      </c>
      <c r="K18" s="155"/>
    </row>
    <row r="19" spans="1:11">
      <c r="A19" s="78">
        <f>IF('2P-A'!A10&lt;&gt;0,'2P-A'!A10,"")</f>
        <v>8</v>
      </c>
      <c r="B19" s="149" t="str">
        <f>IF('2P-A'!B10&lt;&gt;0,'2P-A'!B10,"")</f>
        <v/>
      </c>
      <c r="C19" s="150"/>
      <c r="D19" s="150"/>
      <c r="E19" s="151"/>
      <c r="F19" s="152" t="str">
        <f>IF('2P-A'!G10&lt;&gt;0,'2P-A'!G10,"")</f>
        <v/>
      </c>
      <c r="G19" s="153"/>
      <c r="H19" s="154" t="str">
        <f>IF('2P-A'!C10&lt;&gt;0,'2P-A'!C10,"")</f>
        <v/>
      </c>
      <c r="I19" s="155"/>
      <c r="J19" s="152" t="str">
        <f>IF('2P-A'!D10&lt;&gt;0,'2P-A'!D10,"")</f>
        <v/>
      </c>
      <c r="K19" s="155"/>
    </row>
    <row r="20" spans="1:11">
      <c r="A20" s="78">
        <f>IF('2P-A'!A11&lt;&gt;0,'2P-A'!A11,"")</f>
        <v>9</v>
      </c>
      <c r="B20" s="149" t="str">
        <f>IF('2P-A'!B11&lt;&gt;0,'2P-A'!B11,"")</f>
        <v/>
      </c>
      <c r="C20" s="150"/>
      <c r="D20" s="150"/>
      <c r="E20" s="151"/>
      <c r="F20" s="152" t="str">
        <f>IF('2P-A'!G11&lt;&gt;0,'2P-A'!G11,"")</f>
        <v/>
      </c>
      <c r="G20" s="153"/>
      <c r="H20" s="154" t="str">
        <f>IF('2P-A'!C11&lt;&gt;0,'2P-A'!C11,"")</f>
        <v/>
      </c>
      <c r="I20" s="155"/>
      <c r="J20" s="152" t="str">
        <f>IF('2P-A'!D11&lt;&gt;0,'2P-A'!D11,"")</f>
        <v/>
      </c>
      <c r="K20" s="155"/>
    </row>
    <row r="21" spans="1:11">
      <c r="A21" s="78">
        <f>IF('2P-A'!A12&lt;&gt;0,'2P-A'!A12,"")</f>
        <v>10</v>
      </c>
      <c r="B21" s="149" t="str">
        <f>IF('2P-A'!B12&lt;&gt;0,'2P-A'!B12,"")</f>
        <v/>
      </c>
      <c r="C21" s="150"/>
      <c r="D21" s="150"/>
      <c r="E21" s="151"/>
      <c r="F21" s="152" t="str">
        <f>IF('2P-A'!G12&lt;&gt;0,'2P-A'!G12,"")</f>
        <v/>
      </c>
      <c r="G21" s="153"/>
      <c r="H21" s="154" t="str">
        <f>IF('2P-A'!C12&lt;&gt;0,'2P-A'!C12,"")</f>
        <v/>
      </c>
      <c r="I21" s="155"/>
      <c r="J21" s="152" t="str">
        <f>IF('2P-A'!D12&lt;&gt;0,'2P-A'!D12,"")</f>
        <v/>
      </c>
      <c r="K21" s="155"/>
    </row>
    <row r="22" spans="1:11">
      <c r="A22" s="78">
        <f>IF('2P-A'!A13&lt;&gt;0,'2P-A'!A13,"")</f>
        <v>11</v>
      </c>
      <c r="B22" s="149" t="str">
        <f>IF('2P-A'!B13&lt;&gt;0,'2P-A'!B13,"")</f>
        <v/>
      </c>
      <c r="C22" s="150"/>
      <c r="D22" s="150"/>
      <c r="E22" s="151"/>
      <c r="F22" s="152" t="str">
        <f>IF('2P-A'!G13&lt;&gt;0,'2P-A'!G13,"")</f>
        <v/>
      </c>
      <c r="G22" s="153"/>
      <c r="H22" s="154" t="str">
        <f>IF('2P-A'!C13&lt;&gt;0,'2P-A'!C13,"")</f>
        <v/>
      </c>
      <c r="I22" s="155"/>
      <c r="J22" s="152" t="str">
        <f>IF('2P-A'!D13&lt;&gt;0,'2P-A'!D13,"")</f>
        <v/>
      </c>
      <c r="K22" s="155"/>
    </row>
    <row r="23" spans="1:11">
      <c r="A23" s="78">
        <f>IF('2P-A'!A14&lt;&gt;0,'2P-A'!A14,"")</f>
        <v>12</v>
      </c>
      <c r="B23" s="149" t="str">
        <f>IF('2P-A'!B14&lt;&gt;0,'2P-A'!B14,"")</f>
        <v/>
      </c>
      <c r="C23" s="150"/>
      <c r="D23" s="150"/>
      <c r="E23" s="151"/>
      <c r="F23" s="152" t="str">
        <f>IF('2P-A'!G14&lt;&gt;0,'2P-A'!G14,"")</f>
        <v/>
      </c>
      <c r="G23" s="153"/>
      <c r="H23" s="154" t="str">
        <f>IF('2P-A'!C14&lt;&gt;0,'2P-A'!C14,"")</f>
        <v/>
      </c>
      <c r="I23" s="155"/>
      <c r="J23" s="152" t="str">
        <f>IF('2P-A'!D14&lt;&gt;0,'2P-A'!D14,"")</f>
        <v/>
      </c>
      <c r="K23" s="155"/>
    </row>
    <row r="24" spans="1:11">
      <c r="A24" s="78">
        <f>IF('2P-A'!A15&lt;&gt;0,'2P-A'!A15,"")</f>
        <v>13</v>
      </c>
      <c r="B24" s="149" t="str">
        <f>IF('2P-A'!B15&lt;&gt;0,'2P-A'!B15,"")</f>
        <v/>
      </c>
      <c r="C24" s="150"/>
      <c r="D24" s="150"/>
      <c r="E24" s="151"/>
      <c r="F24" s="152" t="str">
        <f>IF('2P-A'!G15&lt;&gt;0,'2P-A'!G15,"")</f>
        <v/>
      </c>
      <c r="G24" s="153"/>
      <c r="H24" s="154" t="str">
        <f>IF('2P-A'!C15&lt;&gt;0,'2P-A'!C15,"")</f>
        <v/>
      </c>
      <c r="I24" s="155"/>
      <c r="J24" s="152" t="str">
        <f>IF('2P-A'!D15&lt;&gt;0,'2P-A'!D15,"")</f>
        <v/>
      </c>
      <c r="K24" s="155"/>
    </row>
    <row r="25" spans="1:11">
      <c r="A25" s="78">
        <f>IF('2P-A'!A16&lt;&gt;0,'2P-A'!A16,"")</f>
        <v>14</v>
      </c>
      <c r="B25" s="149" t="str">
        <f>IF('2P-A'!B16&lt;&gt;0,'2P-A'!B16,"")</f>
        <v/>
      </c>
      <c r="C25" s="150"/>
      <c r="D25" s="150"/>
      <c r="E25" s="151"/>
      <c r="F25" s="152" t="str">
        <f>IF('2P-A'!G16&lt;&gt;0,'2P-A'!G16,"")</f>
        <v/>
      </c>
      <c r="G25" s="153"/>
      <c r="H25" s="154" t="str">
        <f>IF('2P-A'!C16&lt;&gt;0,'2P-A'!C16,"")</f>
        <v/>
      </c>
      <c r="I25" s="155"/>
      <c r="J25" s="152" t="str">
        <f>IF('2P-A'!D16&lt;&gt;0,'2P-A'!D16,"")</f>
        <v/>
      </c>
      <c r="K25" s="155"/>
    </row>
    <row r="26" spans="1:11">
      <c r="A26" s="78">
        <f>IF('2P-A'!A17&lt;&gt;0,'2P-A'!A17,"")</f>
        <v>15</v>
      </c>
      <c r="B26" s="149" t="str">
        <f>IF('2P-A'!B17&lt;&gt;0,'2P-A'!B17,"")</f>
        <v/>
      </c>
      <c r="C26" s="150"/>
      <c r="D26" s="150"/>
      <c r="E26" s="151"/>
      <c r="F26" s="152" t="str">
        <f>IF('2P-A'!G17&lt;&gt;0,'2P-A'!G17,"")</f>
        <v/>
      </c>
      <c r="G26" s="153"/>
      <c r="H26" s="154" t="str">
        <f>IF('2P-A'!C17&lt;&gt;0,'2P-A'!C17,"")</f>
        <v/>
      </c>
      <c r="I26" s="155"/>
      <c r="J26" s="152" t="str">
        <f>IF('2P-A'!D17&lt;&gt;0,'2P-A'!D17,"")</f>
        <v/>
      </c>
      <c r="K26" s="155"/>
    </row>
    <row r="27" spans="1:11">
      <c r="A27" s="78">
        <f>IF('2P-A'!A18&lt;&gt;0,'2P-A'!A18,"")</f>
        <v>16</v>
      </c>
      <c r="B27" s="149" t="str">
        <f>IF('2P-A'!B18&lt;&gt;0,'2P-A'!B18,"")</f>
        <v/>
      </c>
      <c r="C27" s="150"/>
      <c r="D27" s="150"/>
      <c r="E27" s="151"/>
      <c r="F27" s="152" t="str">
        <f>IF('2P-A'!G18&lt;&gt;0,'2P-A'!G18,"")</f>
        <v/>
      </c>
      <c r="G27" s="153"/>
      <c r="H27" s="154" t="str">
        <f>IF('2P-A'!C18&lt;&gt;0,'2P-A'!C18,"")</f>
        <v/>
      </c>
      <c r="I27" s="155"/>
      <c r="J27" s="152" t="str">
        <f>IF('2P-A'!D18&lt;&gt;0,'2P-A'!D18,"")</f>
        <v/>
      </c>
      <c r="K27" s="155"/>
    </row>
    <row r="28" spans="1:11">
      <c r="A28" s="78">
        <f>IF('2P-A'!A19&lt;&gt;0,'2P-A'!A19,"")</f>
        <v>17</v>
      </c>
      <c r="B28" s="149" t="str">
        <f>IF('2P-A'!B19&lt;&gt;0,'2P-A'!B19,"")</f>
        <v/>
      </c>
      <c r="C28" s="150"/>
      <c r="D28" s="150"/>
      <c r="E28" s="151"/>
      <c r="F28" s="152" t="str">
        <f>IF('2P-A'!G19&lt;&gt;0,'2P-A'!G19,"")</f>
        <v/>
      </c>
      <c r="G28" s="153"/>
      <c r="H28" s="154" t="str">
        <f>IF('2P-A'!C19&lt;&gt;0,'2P-A'!C19,"")</f>
        <v/>
      </c>
      <c r="I28" s="155"/>
      <c r="J28" s="152" t="str">
        <f>IF('2P-A'!D19&lt;&gt;0,'2P-A'!D19,"")</f>
        <v/>
      </c>
      <c r="K28" s="155"/>
    </row>
    <row r="29" spans="1:11">
      <c r="A29" s="78">
        <f>IF('2P-A'!A20&lt;&gt;0,'2P-A'!A20,"")</f>
        <v>18</v>
      </c>
      <c r="B29" s="149" t="str">
        <f>IF('2P-A'!B20&lt;&gt;0,'2P-A'!B20,"")</f>
        <v/>
      </c>
      <c r="C29" s="150"/>
      <c r="D29" s="150"/>
      <c r="E29" s="151"/>
      <c r="F29" s="152" t="str">
        <f>IF('2P-A'!G20&lt;&gt;0,'2P-A'!G20,"")</f>
        <v/>
      </c>
      <c r="G29" s="153"/>
      <c r="H29" s="154" t="str">
        <f>IF('2P-A'!C20&lt;&gt;0,'2P-A'!C20,"")</f>
        <v/>
      </c>
      <c r="I29" s="155"/>
      <c r="J29" s="152" t="str">
        <f>IF('2P-A'!D20&lt;&gt;0,'2P-A'!D20,"")</f>
        <v/>
      </c>
      <c r="K29" s="155"/>
    </row>
    <row r="30" spans="1:11">
      <c r="A30" s="78">
        <f>IF('2P-A'!A21&lt;&gt;0,'2P-A'!A21,"")</f>
        <v>19</v>
      </c>
      <c r="B30" s="149" t="str">
        <f>IF('2P-A'!B21&lt;&gt;0,'2P-A'!B21,"")</f>
        <v/>
      </c>
      <c r="C30" s="150"/>
      <c r="D30" s="150"/>
      <c r="E30" s="151"/>
      <c r="F30" s="152" t="str">
        <f>IF('2P-A'!G21&lt;&gt;0,'2P-A'!G21,"")</f>
        <v/>
      </c>
      <c r="G30" s="153"/>
      <c r="H30" s="154" t="str">
        <f>IF('2P-A'!C21&lt;&gt;0,'2P-A'!C21,"")</f>
        <v/>
      </c>
      <c r="I30" s="155"/>
      <c r="J30" s="152" t="str">
        <f>IF('2P-A'!D21&lt;&gt;0,'2P-A'!D21,"")</f>
        <v/>
      </c>
      <c r="K30" s="155"/>
    </row>
    <row r="31" spans="1:11">
      <c r="A31" s="78">
        <f>IF('2P-A'!A22&lt;&gt;0,'2P-A'!A22,"")</f>
        <v>20</v>
      </c>
      <c r="B31" s="149" t="str">
        <f>IF('2P-A'!B22&lt;&gt;0,'2P-A'!B22,"")</f>
        <v/>
      </c>
      <c r="C31" s="150"/>
      <c r="D31" s="150"/>
      <c r="E31" s="151"/>
      <c r="F31" s="152" t="str">
        <f>IF('2P-A'!G22&lt;&gt;0,'2P-A'!G22,"")</f>
        <v/>
      </c>
      <c r="G31" s="153"/>
      <c r="H31" s="154" t="str">
        <f>IF('2P-A'!C22&lt;&gt;0,'2P-A'!C22,"")</f>
        <v/>
      </c>
      <c r="I31" s="155"/>
      <c r="J31" s="152" t="str">
        <f>IF('2P-A'!D22&lt;&gt;0,'2P-A'!D22,"")</f>
        <v/>
      </c>
      <c r="K31" s="155"/>
    </row>
    <row r="32" spans="1:11">
      <c r="A32" s="78">
        <f>IF('2P-A'!A23&lt;&gt;0,'2P-A'!A23,"")</f>
        <v>21</v>
      </c>
      <c r="B32" s="149" t="str">
        <f>IF('2P-A'!B23&lt;&gt;0,'2P-A'!B23,"")</f>
        <v/>
      </c>
      <c r="C32" s="150"/>
      <c r="D32" s="150"/>
      <c r="E32" s="151"/>
      <c r="F32" s="152" t="str">
        <f>IF('2P-A'!G23&lt;&gt;0,'2P-A'!G23,"")</f>
        <v/>
      </c>
      <c r="G32" s="153"/>
      <c r="H32" s="154" t="str">
        <f>IF('2P-A'!C23&lt;&gt;0,'2P-A'!C23,"")</f>
        <v/>
      </c>
      <c r="I32" s="155"/>
      <c r="J32" s="152" t="str">
        <f>IF('2P-A'!D23&lt;&gt;0,'2P-A'!D23,"")</f>
        <v/>
      </c>
      <c r="K32" s="155"/>
    </row>
    <row r="33" spans="1:11">
      <c r="A33" s="78">
        <f>IF('2P-A'!A24&lt;&gt;0,'2P-A'!A24,"")</f>
        <v>22</v>
      </c>
      <c r="B33" s="149" t="str">
        <f>IF('2P-A'!B24&lt;&gt;0,'2P-A'!B24,"")</f>
        <v/>
      </c>
      <c r="C33" s="150"/>
      <c r="D33" s="150"/>
      <c r="E33" s="151"/>
      <c r="F33" s="152" t="str">
        <f>IF('2P-A'!G24&lt;&gt;0,'2P-A'!G24,"")</f>
        <v/>
      </c>
      <c r="G33" s="153"/>
      <c r="H33" s="154" t="str">
        <f>IF('2P-A'!C24&lt;&gt;0,'2P-A'!C24,"")</f>
        <v/>
      </c>
      <c r="I33" s="155"/>
      <c r="J33" s="152" t="str">
        <f>IF('2P-A'!D24&lt;&gt;0,'2P-A'!D24,"")</f>
        <v/>
      </c>
      <c r="K33" s="155"/>
    </row>
    <row r="34" spans="1:11">
      <c r="A34" s="78">
        <f>IF('2P-A'!A25&lt;&gt;0,'2P-A'!A25,"")</f>
        <v>23</v>
      </c>
      <c r="B34" s="149" t="str">
        <f>IF('2P-A'!B25&lt;&gt;0,'2P-A'!B25,"")</f>
        <v/>
      </c>
      <c r="C34" s="150"/>
      <c r="D34" s="150"/>
      <c r="E34" s="151"/>
      <c r="F34" s="152" t="str">
        <f>IF('2P-A'!G25&lt;&gt;0,'2P-A'!G25,"")</f>
        <v/>
      </c>
      <c r="G34" s="153"/>
      <c r="H34" s="154" t="str">
        <f>IF('2P-A'!C25&lt;&gt;0,'2P-A'!C25,"")</f>
        <v/>
      </c>
      <c r="I34" s="155"/>
      <c r="J34" s="152" t="str">
        <f>IF('2P-A'!D25&lt;&gt;0,'2P-A'!D25,"")</f>
        <v/>
      </c>
      <c r="K34" s="155"/>
    </row>
    <row r="35" spans="1:11">
      <c r="A35" s="78">
        <f>IF('2P-A'!A26&lt;&gt;0,'2P-A'!A26,"")</f>
        <v>24</v>
      </c>
      <c r="B35" s="149" t="str">
        <f>IF('2P-A'!B26&lt;&gt;0,'2P-A'!B26,"")</f>
        <v/>
      </c>
      <c r="C35" s="150"/>
      <c r="D35" s="150"/>
      <c r="E35" s="151"/>
      <c r="F35" s="152" t="str">
        <f>IF('2P-A'!G26&lt;&gt;0,'2P-A'!G26,"")</f>
        <v/>
      </c>
      <c r="G35" s="153"/>
      <c r="H35" s="154" t="str">
        <f>IF('2P-A'!C26&lt;&gt;0,'2P-A'!C26,"")</f>
        <v/>
      </c>
      <c r="I35" s="155"/>
      <c r="J35" s="152" t="str">
        <f>IF('2P-A'!D26&lt;&gt;0,'2P-A'!D26,"")</f>
        <v/>
      </c>
      <c r="K35" s="155"/>
    </row>
    <row r="36" spans="1:11" ht="15.75" thickBot="1">
      <c r="A36" s="80">
        <f>IF('2P-A'!A27&lt;&gt;0,'2P-A'!A27,"")</f>
        <v>25</v>
      </c>
      <c r="B36" s="142" t="str">
        <f>IF('2P-A'!B27&lt;&gt;0,'2P-A'!B27,"")</f>
        <v/>
      </c>
      <c r="C36" s="143"/>
      <c r="D36" s="143"/>
      <c r="E36" s="144"/>
      <c r="F36" s="145" t="str">
        <f>IF('2P-A'!G27&lt;&gt;0,'2P-A'!G27,"")</f>
        <v/>
      </c>
      <c r="G36" s="146"/>
      <c r="H36" s="147" t="str">
        <f>IF('2P-A'!C27&lt;&gt;0,'2P-A'!C27,"")</f>
        <v/>
      </c>
      <c r="I36" s="148"/>
      <c r="J36" s="145" t="str">
        <f>IF('2P-A'!D27&lt;&gt;0,'2P-A'!D27,"")</f>
        <v/>
      </c>
      <c r="K36" s="148"/>
    </row>
    <row r="38" spans="1:11" ht="15.75">
      <c r="A38" s="119" t="s">
        <v>81</v>
      </c>
      <c r="B38" s="119"/>
      <c r="C38" s="119"/>
      <c r="D38" s="119"/>
      <c r="E38" s="120">
        <f>'2P-A'!U4</f>
        <v>0</v>
      </c>
      <c r="F38" s="120"/>
    </row>
    <row r="39" spans="1:11">
      <c r="A39" s="66" t="s">
        <v>92</v>
      </c>
      <c r="E39" s="122">
        <f ca="1">'2P-A'!Q3</f>
        <v>0</v>
      </c>
      <c r="F39" s="122"/>
    </row>
    <row r="40" spans="1:11">
      <c r="A40" s="66" t="s">
        <v>93</v>
      </c>
      <c r="E40" s="122">
        <f ca="1">'2P-A'!R3</f>
        <v>0</v>
      </c>
      <c r="F40" s="122"/>
    </row>
    <row r="48" spans="1:11">
      <c r="A48" s="66" t="s">
        <v>84</v>
      </c>
      <c r="C48" s="121">
        <f ca="1">TODAY()</f>
        <v>44871</v>
      </c>
      <c r="D48" s="122"/>
      <c r="E48" s="122"/>
    </row>
  </sheetData>
  <sheetProtection algorithmName="SHA-512" hashValue="ixEitxITif73bjjfinFlI26IBOUjHeHJr9YaN9TNe5fBcJ8OCh/L3m+8Z9xpn/bN+fdJS/o6qAndyef4Ym35qw==" saltValue="5RWsJXVdymtMS17hCRFFcw==" spinCount="100000" sheet="1" objects="1" scenarios="1" selectLockedCells="1"/>
  <mergeCells count="118">
    <mergeCell ref="B7:K7"/>
    <mergeCell ref="A9:K10"/>
    <mergeCell ref="B11:E11"/>
    <mergeCell ref="F11:G11"/>
    <mergeCell ref="H11:I11"/>
    <mergeCell ref="J11:K11"/>
    <mergeCell ref="B1:K1"/>
    <mergeCell ref="B2:K2"/>
    <mergeCell ref="B3:K3"/>
    <mergeCell ref="B4:K4"/>
    <mergeCell ref="B5:K5"/>
    <mergeCell ref="A6:C6"/>
    <mergeCell ref="D6:K6"/>
    <mergeCell ref="B14:E14"/>
    <mergeCell ref="F14:G14"/>
    <mergeCell ref="H14:I14"/>
    <mergeCell ref="J14:K14"/>
    <mergeCell ref="B15:E15"/>
    <mergeCell ref="F15:G15"/>
    <mergeCell ref="H15:I15"/>
    <mergeCell ref="J15:K15"/>
    <mergeCell ref="B12:E12"/>
    <mergeCell ref="F12:G12"/>
    <mergeCell ref="H12:I12"/>
    <mergeCell ref="J12:K12"/>
    <mergeCell ref="B13:E13"/>
    <mergeCell ref="F13:G13"/>
    <mergeCell ref="H13:I13"/>
    <mergeCell ref="J13:K13"/>
    <mergeCell ref="B18:E18"/>
    <mergeCell ref="F18:G18"/>
    <mergeCell ref="H18:I18"/>
    <mergeCell ref="J18:K18"/>
    <mergeCell ref="B19:E19"/>
    <mergeCell ref="F19:G19"/>
    <mergeCell ref="H19:I19"/>
    <mergeCell ref="J19:K19"/>
    <mergeCell ref="B16:E16"/>
    <mergeCell ref="F16:G16"/>
    <mergeCell ref="H16:I16"/>
    <mergeCell ref="J16:K16"/>
    <mergeCell ref="B17:E17"/>
    <mergeCell ref="F17:G17"/>
    <mergeCell ref="H17:I17"/>
    <mergeCell ref="J17:K17"/>
    <mergeCell ref="B22:E22"/>
    <mergeCell ref="F22:G22"/>
    <mergeCell ref="H22:I22"/>
    <mergeCell ref="J22:K22"/>
    <mergeCell ref="B23:E23"/>
    <mergeCell ref="F23:G23"/>
    <mergeCell ref="H23:I23"/>
    <mergeCell ref="J23:K23"/>
    <mergeCell ref="B20:E20"/>
    <mergeCell ref="F20:G20"/>
    <mergeCell ref="H20:I20"/>
    <mergeCell ref="J20:K20"/>
    <mergeCell ref="B21:E21"/>
    <mergeCell ref="F21:G21"/>
    <mergeCell ref="H21:I21"/>
    <mergeCell ref="J21:K21"/>
    <mergeCell ref="B26:E26"/>
    <mergeCell ref="F26:G26"/>
    <mergeCell ref="H26:I26"/>
    <mergeCell ref="J26:K26"/>
    <mergeCell ref="B27:E27"/>
    <mergeCell ref="F27:G27"/>
    <mergeCell ref="H27:I27"/>
    <mergeCell ref="J27:K27"/>
    <mergeCell ref="B24:E24"/>
    <mergeCell ref="F24:G24"/>
    <mergeCell ref="H24:I24"/>
    <mergeCell ref="J24:K24"/>
    <mergeCell ref="B25:E25"/>
    <mergeCell ref="F25:G25"/>
    <mergeCell ref="H25:I25"/>
    <mergeCell ref="J25:K25"/>
    <mergeCell ref="B30:E30"/>
    <mergeCell ref="F30:G30"/>
    <mergeCell ref="H30:I30"/>
    <mergeCell ref="J30:K30"/>
    <mergeCell ref="B31:E31"/>
    <mergeCell ref="F31:G31"/>
    <mergeCell ref="H31:I31"/>
    <mergeCell ref="J31:K31"/>
    <mergeCell ref="B28:E28"/>
    <mergeCell ref="F28:G28"/>
    <mergeCell ref="H28:I28"/>
    <mergeCell ref="J28:K28"/>
    <mergeCell ref="B29:E29"/>
    <mergeCell ref="F29:G29"/>
    <mergeCell ref="H29:I29"/>
    <mergeCell ref="J29:K29"/>
    <mergeCell ref="B34:E34"/>
    <mergeCell ref="F34:G34"/>
    <mergeCell ref="H34:I34"/>
    <mergeCell ref="J34:K34"/>
    <mergeCell ref="B35:E35"/>
    <mergeCell ref="F35:G35"/>
    <mergeCell ref="H35:I35"/>
    <mergeCell ref="J35:K35"/>
    <mergeCell ref="B32:E32"/>
    <mergeCell ref="F32:G32"/>
    <mergeCell ref="H32:I32"/>
    <mergeCell ref="J32:K32"/>
    <mergeCell ref="B33:E33"/>
    <mergeCell ref="F33:G33"/>
    <mergeCell ref="H33:I33"/>
    <mergeCell ref="J33:K33"/>
    <mergeCell ref="E39:F39"/>
    <mergeCell ref="E40:F40"/>
    <mergeCell ref="C48:E48"/>
    <mergeCell ref="B36:E36"/>
    <mergeCell ref="F36:G36"/>
    <mergeCell ref="H36:I36"/>
    <mergeCell ref="J36:K36"/>
    <mergeCell ref="A38:D38"/>
    <mergeCell ref="E38:F38"/>
  </mergeCells>
  <conditionalFormatting sqref="A12:K36">
    <cfRule type="expression" dxfId="239" priority="1">
      <formula>IF($J12&lt;&gt;"",1,0)</formula>
    </cfRule>
  </conditionalFormatting>
  <conditionalFormatting sqref="B2 B3:B5 D6">
    <cfRule type="expression" dxfId="238" priority="2">
      <formula>ROW()=CELL("LIN")</formula>
    </cfRule>
  </conditionalFormatting>
  <pageMargins left="0.39370078740157483" right="0.3543307086614173" top="1.1417322834645669" bottom="0.39370078740157483" header="0.31496062992125984" footer="0.31496062992125984"/>
  <pageSetup paperSize="9" scale="96" fitToHeight="0"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A5209-B2C1-4CE0-B8D8-5CE1E78C704E}">
  <sheetPr codeName="Plan3">
    <pageSetUpPr fitToPage="1"/>
  </sheetPr>
  <dimension ref="A1:U27"/>
  <sheetViews>
    <sheetView showGridLines="0" showRowColHeaders="0" view="pageBreakPreview" zoomScale="60" zoomScaleNormal="60" zoomScalePageLayoutView="40" workbookViewId="0">
      <pane ySplit="1" topLeftCell="A2" activePane="bottomLeft" state="frozen"/>
      <selection pane="bottomLeft" activeCell="A4" sqref="A4"/>
    </sheetView>
  </sheetViews>
  <sheetFormatPr defaultColWidth="9.140625" defaultRowHeight="15"/>
  <cols>
    <col min="1" max="1" width="8.5703125" style="17" customWidth="1"/>
    <col min="2" max="2" width="42" style="17" customWidth="1"/>
    <col min="3" max="3" width="17" style="18" bestFit="1" customWidth="1"/>
    <col min="4" max="4" width="23.85546875" style="19" customWidth="1"/>
    <col min="5" max="5" width="28.5703125" style="17" customWidth="1"/>
    <col min="6" max="6" width="30.5703125" style="27" bestFit="1" customWidth="1"/>
    <col min="7" max="7" width="25.7109375" style="27" customWidth="1"/>
    <col min="8" max="8" width="21.140625" style="17" customWidth="1"/>
    <col min="9" max="9" width="17.5703125" style="17" customWidth="1"/>
    <col min="10" max="10" width="44.42578125" style="17" customWidth="1"/>
    <col min="11" max="11" width="9.7109375" style="17" customWidth="1"/>
    <col min="12" max="12" width="9.28515625" style="17" customWidth="1"/>
    <col min="13" max="13" width="9.140625" style="17"/>
    <col min="14" max="14" width="16.140625" style="17" customWidth="1"/>
    <col min="15" max="15" width="12.7109375" style="17" customWidth="1"/>
    <col min="16" max="16384" width="9.140625" style="17"/>
  </cols>
  <sheetData>
    <row r="1" spans="1:21" ht="75" customHeight="1"/>
    <row r="2" spans="1:21" ht="60">
      <c r="A2" s="20" t="s">
        <v>9</v>
      </c>
      <c r="B2" s="21" t="s">
        <v>10</v>
      </c>
      <c r="C2" s="22" t="s">
        <v>13</v>
      </c>
      <c r="D2" s="23" t="s">
        <v>16</v>
      </c>
      <c r="E2" s="22" t="s">
        <v>11</v>
      </c>
      <c r="F2" s="22" t="s">
        <v>12</v>
      </c>
      <c r="G2" s="22" t="s">
        <v>14</v>
      </c>
      <c r="H2" s="22" t="s">
        <v>15</v>
      </c>
      <c r="I2" s="22" t="s">
        <v>17</v>
      </c>
      <c r="J2" s="21" t="s">
        <v>18</v>
      </c>
      <c r="K2" s="26" t="s">
        <v>19</v>
      </c>
      <c r="L2" s="67"/>
      <c r="M2" s="68"/>
      <c r="N2" s="68"/>
      <c r="O2" s="68"/>
      <c r="P2" s="69" t="s">
        <v>0</v>
      </c>
      <c r="Q2" s="70" t="s">
        <v>90</v>
      </c>
      <c r="R2" s="70" t="s">
        <v>91</v>
      </c>
      <c r="S2" s="71" t="s">
        <v>3</v>
      </c>
      <c r="T2" s="70" t="s">
        <v>4</v>
      </c>
      <c r="U2" s="68"/>
    </row>
    <row r="3" spans="1:21">
      <c r="A3" s="81">
        <v>1</v>
      </c>
      <c r="B3" s="44"/>
      <c r="C3" s="45"/>
      <c r="D3" s="47"/>
      <c r="E3" s="46">
        <v>0</v>
      </c>
      <c r="F3" s="51"/>
      <c r="G3" s="52"/>
      <c r="H3" s="52"/>
      <c r="I3" s="47"/>
      <c r="J3" s="44"/>
      <c r="K3" s="24">
        <f t="shared" ref="K3:K27" ca="1" si="0">QUOTIENT(IF(DATEDIF(C3,TODAY(),"y")&gt;90,0,DATEDIF(C3,TODAY(),"m")),12)</f>
        <v>0</v>
      </c>
      <c r="L3" s="68">
        <f t="shared" ref="L3:L27" ca="1" si="1">IF($K3=0,0,IF($K3&lt;($P$3),1,0))</f>
        <v>0</v>
      </c>
      <c r="M3" s="68">
        <f t="shared" ref="M3:M27" ca="1" si="2">IF($K3&gt;($P$3),1,0)</f>
        <v>0</v>
      </c>
      <c r="N3" s="68" t="b">
        <f ca="1">IF(IF(DATEDIF(C3,TODAY(),"y")&gt;90,0,DATEDIF(C3,TODAY(),"m"))&gt;0,CONCATENATE(QUOTIENT(IF(DATEDIF(C3,TODAY(),"y")&gt;90,0,DATEDIF(C3,TODAY(),"m")),12)," anos e ",MOD(IF(DATEDIF(C3,TODAY(),"y")&gt;90,0,DATEDIF(C3,TODAY(),"m")),12)," mês"))</f>
        <v>0</v>
      </c>
      <c r="O3" s="68" t="str">
        <f ca="1">IF(C3="","",DATEDIF($C3,TODAY(),"m"))</f>
        <v/>
      </c>
      <c r="P3" s="68">
        <v>5</v>
      </c>
      <c r="Q3" s="68">
        <f ca="1">SUM(L3:L27)</f>
        <v>0</v>
      </c>
      <c r="R3" s="68">
        <f ca="1">SUM(M3:M27)</f>
        <v>0</v>
      </c>
      <c r="S3" s="71" t="s">
        <v>7</v>
      </c>
      <c r="T3" s="68">
        <f>($P$3*12)</f>
        <v>60</v>
      </c>
      <c r="U3" s="68"/>
    </row>
    <row r="4" spans="1:21" ht="15.75">
      <c r="A4" s="81">
        <v>2</v>
      </c>
      <c r="B4" s="44"/>
      <c r="C4" s="45"/>
      <c r="D4" s="47"/>
      <c r="E4" s="46">
        <v>0</v>
      </c>
      <c r="F4" s="51"/>
      <c r="G4" s="52"/>
      <c r="H4" s="52"/>
      <c r="I4" s="47"/>
      <c r="J4" s="44"/>
      <c r="K4" s="24">
        <f t="shared" ca="1" si="0"/>
        <v>0</v>
      </c>
      <c r="L4" s="68">
        <f t="shared" ca="1" si="1"/>
        <v>0</v>
      </c>
      <c r="M4" s="68">
        <f t="shared" ca="1" si="2"/>
        <v>0</v>
      </c>
      <c r="N4" s="68" t="b">
        <f t="shared" ref="N4:N27" ca="1" si="3">IF(IF(DATEDIF(C4,TODAY(),"y")&gt;90,0,DATEDIF(C4,TODAY(),"m"))&gt;0,CONCATENATE(QUOTIENT(IF(DATEDIF(C4,TODAY(),"y")&gt;90,0,DATEDIF(C4,TODAY(),"m")),12)," anos e ",MOD(IF(DATEDIF(C4,TODAY(),"y")&gt;90,0,DATEDIF(C4,TODAY(),"m")),12)," mês"))</f>
        <v>0</v>
      </c>
      <c r="O4" s="68" t="str">
        <f ca="1">IF(C4="","",DATEDIF($C4,TODAY(),"m"))</f>
        <v/>
      </c>
      <c r="P4" s="123" t="s">
        <v>6</v>
      </c>
      <c r="Q4" s="123"/>
      <c r="R4" s="123"/>
      <c r="S4" s="123"/>
      <c r="T4" s="123"/>
      <c r="U4" s="68">
        <f>COUNTA(B3:B27)-COUNTA(D3:D27)</f>
        <v>0</v>
      </c>
    </row>
    <row r="5" spans="1:21">
      <c r="A5" s="81">
        <v>3</v>
      </c>
      <c r="B5" s="44"/>
      <c r="C5" s="45"/>
      <c r="D5" s="47"/>
      <c r="E5" s="46">
        <v>0</v>
      </c>
      <c r="F5" s="51"/>
      <c r="G5" s="52"/>
      <c r="H5" s="52"/>
      <c r="I5" s="47"/>
      <c r="J5" s="44"/>
      <c r="K5" s="24">
        <f t="shared" ca="1" si="0"/>
        <v>0</v>
      </c>
      <c r="L5" s="68">
        <f t="shared" ca="1" si="1"/>
        <v>0</v>
      </c>
      <c r="M5" s="68">
        <f t="shared" ca="1" si="2"/>
        <v>0</v>
      </c>
      <c r="N5" s="68" t="b">
        <f t="shared" ca="1" si="3"/>
        <v>0</v>
      </c>
      <c r="O5" s="68" t="str">
        <f ca="1">IF(C5="","",DATEDIF($C5,TODAY(),"m"))</f>
        <v/>
      </c>
      <c r="P5" s="68"/>
      <c r="Q5" s="68"/>
      <c r="R5" s="68"/>
      <c r="S5" s="68"/>
      <c r="T5" s="68"/>
      <c r="U5" s="68"/>
    </row>
    <row r="6" spans="1:21">
      <c r="A6" s="81">
        <v>4</v>
      </c>
      <c r="B6" s="44"/>
      <c r="C6" s="45"/>
      <c r="D6" s="47"/>
      <c r="E6" s="46">
        <v>0</v>
      </c>
      <c r="F6" s="51"/>
      <c r="G6" s="52"/>
      <c r="H6" s="52"/>
      <c r="I6" s="47"/>
      <c r="J6" s="44"/>
      <c r="K6" s="24">
        <f t="shared" ca="1" si="0"/>
        <v>0</v>
      </c>
      <c r="L6" s="68">
        <f t="shared" ca="1" si="1"/>
        <v>0</v>
      </c>
      <c r="M6" s="68">
        <f t="shared" ca="1" si="2"/>
        <v>0</v>
      </c>
      <c r="N6" s="68" t="b">
        <f t="shared" ca="1" si="3"/>
        <v>0</v>
      </c>
      <c r="O6" s="68" t="str">
        <f t="shared" ref="O6:O26" ca="1" si="4">IF(C5="","",DATEDIF($C5,TODAY(),"m"))</f>
        <v/>
      </c>
      <c r="P6" s="68"/>
      <c r="Q6" s="68"/>
      <c r="R6" s="68"/>
      <c r="S6" s="68"/>
      <c r="T6" s="68"/>
      <c r="U6" s="68"/>
    </row>
    <row r="7" spans="1:21">
      <c r="A7" s="81">
        <v>5</v>
      </c>
      <c r="B7" s="44"/>
      <c r="C7" s="45"/>
      <c r="D7" s="47"/>
      <c r="E7" s="46">
        <v>0</v>
      </c>
      <c r="F7" s="51"/>
      <c r="G7" s="52"/>
      <c r="H7" s="52"/>
      <c r="I7" s="47"/>
      <c r="J7" s="44"/>
      <c r="K7" s="24">
        <f t="shared" ca="1" si="0"/>
        <v>0</v>
      </c>
      <c r="L7" s="68">
        <f t="shared" ca="1" si="1"/>
        <v>0</v>
      </c>
      <c r="M7" s="68">
        <f t="shared" ca="1" si="2"/>
        <v>0</v>
      </c>
      <c r="N7" s="68" t="b">
        <f t="shared" ca="1" si="3"/>
        <v>0</v>
      </c>
      <c r="O7" s="68" t="str">
        <f t="shared" ca="1" si="4"/>
        <v/>
      </c>
      <c r="P7" s="68"/>
      <c r="Q7" s="68"/>
      <c r="R7" s="68"/>
      <c r="S7" s="68"/>
      <c r="T7" s="68"/>
      <c r="U7" s="68"/>
    </row>
    <row r="8" spans="1:21">
      <c r="A8" s="81">
        <v>6</v>
      </c>
      <c r="B8" s="44"/>
      <c r="C8" s="45"/>
      <c r="D8" s="47"/>
      <c r="E8" s="46">
        <v>0</v>
      </c>
      <c r="F8" s="51"/>
      <c r="G8" s="52"/>
      <c r="H8" s="52"/>
      <c r="I8" s="47"/>
      <c r="J8" s="44"/>
      <c r="K8" s="24">
        <f t="shared" ca="1" si="0"/>
        <v>0</v>
      </c>
      <c r="L8" s="68">
        <f t="shared" ca="1" si="1"/>
        <v>0</v>
      </c>
      <c r="M8" s="68">
        <f t="shared" ca="1" si="2"/>
        <v>0</v>
      </c>
      <c r="N8" s="68" t="b">
        <f t="shared" ca="1" si="3"/>
        <v>0</v>
      </c>
      <c r="O8" s="68" t="str">
        <f t="shared" ca="1" si="4"/>
        <v/>
      </c>
      <c r="P8" s="68"/>
      <c r="Q8" s="68"/>
      <c r="R8" s="68"/>
      <c r="S8" s="68"/>
      <c r="T8" s="68"/>
      <c r="U8" s="68"/>
    </row>
    <row r="9" spans="1:21">
      <c r="A9" s="81">
        <v>7</v>
      </c>
      <c r="B9" s="44"/>
      <c r="C9" s="45"/>
      <c r="D9" s="47"/>
      <c r="E9" s="46">
        <v>0</v>
      </c>
      <c r="F9" s="51"/>
      <c r="G9" s="52"/>
      <c r="H9" s="52"/>
      <c r="I9" s="47"/>
      <c r="J9" s="44"/>
      <c r="K9" s="24">
        <f t="shared" ca="1" si="0"/>
        <v>0</v>
      </c>
      <c r="L9" s="68">
        <f t="shared" ca="1" si="1"/>
        <v>0</v>
      </c>
      <c r="M9" s="68">
        <f t="shared" ca="1" si="2"/>
        <v>0</v>
      </c>
      <c r="N9" s="68" t="b">
        <f t="shared" ca="1" si="3"/>
        <v>0</v>
      </c>
      <c r="O9" s="68" t="str">
        <f t="shared" ca="1" si="4"/>
        <v/>
      </c>
      <c r="P9" s="68"/>
      <c r="Q9" s="68"/>
      <c r="R9" s="68"/>
      <c r="S9" s="68"/>
      <c r="T9" s="68"/>
      <c r="U9" s="68"/>
    </row>
    <row r="10" spans="1:21">
      <c r="A10" s="81">
        <v>8</v>
      </c>
      <c r="B10" s="44"/>
      <c r="C10" s="45"/>
      <c r="D10" s="47"/>
      <c r="E10" s="46">
        <v>0</v>
      </c>
      <c r="F10" s="51"/>
      <c r="G10" s="52"/>
      <c r="H10" s="52"/>
      <c r="I10" s="47"/>
      <c r="J10" s="44"/>
      <c r="K10" s="24">
        <f t="shared" ca="1" si="0"/>
        <v>0</v>
      </c>
      <c r="L10" s="68">
        <f t="shared" ca="1" si="1"/>
        <v>0</v>
      </c>
      <c r="M10" s="68">
        <f t="shared" ca="1" si="2"/>
        <v>0</v>
      </c>
      <c r="N10" s="68" t="b">
        <f t="shared" ca="1" si="3"/>
        <v>0</v>
      </c>
      <c r="O10" s="68" t="str">
        <f t="shared" ca="1" si="4"/>
        <v/>
      </c>
      <c r="P10" s="68"/>
      <c r="Q10" s="68"/>
      <c r="R10" s="68"/>
      <c r="S10" s="68"/>
      <c r="T10" s="68"/>
      <c r="U10" s="68"/>
    </row>
    <row r="11" spans="1:21">
      <c r="A11" s="81">
        <v>9</v>
      </c>
      <c r="B11" s="44"/>
      <c r="C11" s="45"/>
      <c r="D11" s="47"/>
      <c r="E11" s="46">
        <v>0</v>
      </c>
      <c r="F11" s="51"/>
      <c r="G11" s="52"/>
      <c r="H11" s="52"/>
      <c r="I11" s="47"/>
      <c r="J11" s="44"/>
      <c r="K11" s="24">
        <f t="shared" ca="1" si="0"/>
        <v>0</v>
      </c>
      <c r="L11" s="68">
        <f t="shared" ca="1" si="1"/>
        <v>0</v>
      </c>
      <c r="M11" s="68">
        <f t="shared" ca="1" si="2"/>
        <v>0</v>
      </c>
      <c r="N11" s="68" t="b">
        <f t="shared" ca="1" si="3"/>
        <v>0</v>
      </c>
      <c r="O11" s="68" t="str">
        <f t="shared" ca="1" si="4"/>
        <v/>
      </c>
      <c r="P11" s="68"/>
      <c r="Q11" s="68"/>
      <c r="R11" s="68"/>
      <c r="S11" s="68"/>
      <c r="T11" s="68"/>
      <c r="U11" s="68"/>
    </row>
    <row r="12" spans="1:21">
      <c r="A12" s="81">
        <v>10</v>
      </c>
      <c r="B12" s="44"/>
      <c r="C12" s="45"/>
      <c r="D12" s="47"/>
      <c r="E12" s="46">
        <v>0</v>
      </c>
      <c r="F12" s="51"/>
      <c r="G12" s="52"/>
      <c r="H12" s="52"/>
      <c r="I12" s="47"/>
      <c r="J12" s="44"/>
      <c r="K12" s="24">
        <f t="shared" ca="1" si="0"/>
        <v>0</v>
      </c>
      <c r="L12" s="68">
        <f t="shared" ca="1" si="1"/>
        <v>0</v>
      </c>
      <c r="M12" s="68">
        <f t="shared" ca="1" si="2"/>
        <v>0</v>
      </c>
      <c r="N12" s="68" t="b">
        <f t="shared" ca="1" si="3"/>
        <v>0</v>
      </c>
      <c r="O12" s="68" t="str">
        <f t="shared" ca="1" si="4"/>
        <v/>
      </c>
      <c r="P12" s="68"/>
      <c r="Q12" s="68"/>
      <c r="R12" s="68"/>
      <c r="S12" s="68"/>
      <c r="T12" s="68"/>
      <c r="U12" s="68"/>
    </row>
    <row r="13" spans="1:21">
      <c r="A13" s="81">
        <v>11</v>
      </c>
      <c r="B13" s="44"/>
      <c r="C13" s="45"/>
      <c r="D13" s="47"/>
      <c r="E13" s="46">
        <v>0</v>
      </c>
      <c r="F13" s="51"/>
      <c r="G13" s="52"/>
      <c r="H13" s="52"/>
      <c r="I13" s="47"/>
      <c r="J13" s="44"/>
      <c r="K13" s="24">
        <f t="shared" ca="1" si="0"/>
        <v>0</v>
      </c>
      <c r="L13" s="68">
        <f t="shared" ca="1" si="1"/>
        <v>0</v>
      </c>
      <c r="M13" s="68">
        <f t="shared" ca="1" si="2"/>
        <v>0</v>
      </c>
      <c r="N13" s="68" t="b">
        <f t="shared" ca="1" si="3"/>
        <v>0</v>
      </c>
      <c r="O13" s="68" t="str">
        <f t="shared" ca="1" si="4"/>
        <v/>
      </c>
      <c r="P13" s="68"/>
      <c r="Q13" s="68"/>
      <c r="R13" s="68"/>
      <c r="S13" s="68"/>
      <c r="T13" s="68"/>
      <c r="U13" s="68"/>
    </row>
    <row r="14" spans="1:21">
      <c r="A14" s="81">
        <v>12</v>
      </c>
      <c r="B14" s="44"/>
      <c r="C14" s="45"/>
      <c r="D14" s="47"/>
      <c r="E14" s="46">
        <v>0</v>
      </c>
      <c r="F14" s="51"/>
      <c r="G14" s="52"/>
      <c r="H14" s="52"/>
      <c r="I14" s="47"/>
      <c r="J14" s="44"/>
      <c r="K14" s="24">
        <f t="shared" ca="1" si="0"/>
        <v>0</v>
      </c>
      <c r="L14" s="68">
        <f t="shared" ca="1" si="1"/>
        <v>0</v>
      </c>
      <c r="M14" s="68">
        <f t="shared" ca="1" si="2"/>
        <v>0</v>
      </c>
      <c r="N14" s="68" t="b">
        <f t="shared" ca="1" si="3"/>
        <v>0</v>
      </c>
      <c r="O14" s="68" t="str">
        <f t="shared" ca="1" si="4"/>
        <v/>
      </c>
      <c r="P14" s="68"/>
      <c r="Q14" s="68"/>
      <c r="R14" s="68"/>
      <c r="S14" s="68"/>
      <c r="T14" s="68"/>
      <c r="U14" s="68"/>
    </row>
    <row r="15" spans="1:21">
      <c r="A15" s="81">
        <v>13</v>
      </c>
      <c r="B15" s="44"/>
      <c r="C15" s="45"/>
      <c r="D15" s="47"/>
      <c r="E15" s="46">
        <v>0</v>
      </c>
      <c r="F15" s="51"/>
      <c r="G15" s="52"/>
      <c r="H15" s="52"/>
      <c r="I15" s="47"/>
      <c r="J15" s="44"/>
      <c r="K15" s="24">
        <f t="shared" ca="1" si="0"/>
        <v>0</v>
      </c>
      <c r="L15" s="68">
        <f t="shared" ca="1" si="1"/>
        <v>0</v>
      </c>
      <c r="M15" s="68">
        <f t="shared" ca="1" si="2"/>
        <v>0</v>
      </c>
      <c r="N15" s="68" t="b">
        <f t="shared" ca="1" si="3"/>
        <v>0</v>
      </c>
      <c r="O15" s="68" t="str">
        <f t="shared" ca="1" si="4"/>
        <v/>
      </c>
      <c r="P15" s="68"/>
      <c r="Q15" s="68"/>
      <c r="R15" s="68"/>
      <c r="S15" s="68"/>
      <c r="T15" s="68"/>
      <c r="U15" s="68"/>
    </row>
    <row r="16" spans="1:21">
      <c r="A16" s="81">
        <v>14</v>
      </c>
      <c r="B16" s="44"/>
      <c r="C16" s="45"/>
      <c r="D16" s="47"/>
      <c r="E16" s="46">
        <v>0</v>
      </c>
      <c r="F16" s="51"/>
      <c r="G16" s="52"/>
      <c r="H16" s="52"/>
      <c r="I16" s="47"/>
      <c r="J16" s="44"/>
      <c r="K16" s="24">
        <f t="shared" ca="1" si="0"/>
        <v>0</v>
      </c>
      <c r="L16" s="68">
        <f t="shared" ca="1" si="1"/>
        <v>0</v>
      </c>
      <c r="M16" s="68">
        <f t="shared" ca="1" si="2"/>
        <v>0</v>
      </c>
      <c r="N16" s="68" t="b">
        <f t="shared" ca="1" si="3"/>
        <v>0</v>
      </c>
      <c r="O16" s="68" t="str">
        <f t="shared" ca="1" si="4"/>
        <v/>
      </c>
      <c r="P16" s="68"/>
      <c r="Q16" s="68"/>
      <c r="R16" s="68"/>
      <c r="S16" s="68"/>
      <c r="T16" s="68"/>
      <c r="U16" s="68"/>
    </row>
    <row r="17" spans="1:21">
      <c r="A17" s="81">
        <v>15</v>
      </c>
      <c r="B17" s="44"/>
      <c r="C17" s="45"/>
      <c r="D17" s="47"/>
      <c r="E17" s="46">
        <v>0</v>
      </c>
      <c r="F17" s="51"/>
      <c r="G17" s="52"/>
      <c r="H17" s="52"/>
      <c r="I17" s="53"/>
      <c r="J17" s="44"/>
      <c r="K17" s="24">
        <f t="shared" ca="1" si="0"/>
        <v>0</v>
      </c>
      <c r="L17" s="68">
        <f t="shared" ca="1" si="1"/>
        <v>0</v>
      </c>
      <c r="M17" s="68">
        <f t="shared" ca="1" si="2"/>
        <v>0</v>
      </c>
      <c r="N17" s="68" t="b">
        <f t="shared" ca="1" si="3"/>
        <v>0</v>
      </c>
      <c r="O17" s="68" t="str">
        <f t="shared" ca="1" si="4"/>
        <v/>
      </c>
      <c r="P17" s="68"/>
      <c r="Q17" s="68"/>
      <c r="R17" s="68"/>
      <c r="S17" s="68"/>
      <c r="T17" s="68"/>
      <c r="U17" s="68"/>
    </row>
    <row r="18" spans="1:21">
      <c r="A18" s="81">
        <v>16</v>
      </c>
      <c r="B18" s="44"/>
      <c r="C18" s="45"/>
      <c r="D18" s="47"/>
      <c r="E18" s="46">
        <v>0</v>
      </c>
      <c r="F18" s="51"/>
      <c r="G18" s="52"/>
      <c r="H18" s="52"/>
      <c r="I18" s="47"/>
      <c r="J18" s="44"/>
      <c r="K18" s="24">
        <f t="shared" ca="1" si="0"/>
        <v>0</v>
      </c>
      <c r="L18" s="68">
        <f t="shared" ca="1" si="1"/>
        <v>0</v>
      </c>
      <c r="M18" s="68">
        <f t="shared" ca="1" si="2"/>
        <v>0</v>
      </c>
      <c r="N18" s="68" t="b">
        <f t="shared" ca="1" si="3"/>
        <v>0</v>
      </c>
      <c r="O18" s="68" t="str">
        <f t="shared" ca="1" si="4"/>
        <v/>
      </c>
      <c r="P18" s="68"/>
      <c r="Q18" s="68"/>
      <c r="R18" s="68"/>
      <c r="S18" s="68"/>
      <c r="T18" s="68"/>
      <c r="U18" s="68"/>
    </row>
    <row r="19" spans="1:21">
      <c r="A19" s="81">
        <v>17</v>
      </c>
      <c r="B19" s="44"/>
      <c r="C19" s="45"/>
      <c r="D19" s="47"/>
      <c r="E19" s="46">
        <v>0</v>
      </c>
      <c r="F19" s="51"/>
      <c r="G19" s="52"/>
      <c r="H19" s="52"/>
      <c r="I19" s="53"/>
      <c r="J19" s="44"/>
      <c r="K19" s="24">
        <f t="shared" ca="1" si="0"/>
        <v>0</v>
      </c>
      <c r="L19" s="68">
        <f t="shared" ca="1" si="1"/>
        <v>0</v>
      </c>
      <c r="M19" s="68">
        <f t="shared" ca="1" si="2"/>
        <v>0</v>
      </c>
      <c r="N19" s="68" t="b">
        <f t="shared" ca="1" si="3"/>
        <v>0</v>
      </c>
      <c r="O19" s="68" t="str">
        <f t="shared" ca="1" si="4"/>
        <v/>
      </c>
      <c r="P19" s="68"/>
      <c r="Q19" s="68"/>
      <c r="R19" s="68"/>
      <c r="S19" s="68"/>
      <c r="T19" s="68"/>
      <c r="U19" s="68"/>
    </row>
    <row r="20" spans="1:21">
      <c r="A20" s="81">
        <v>18</v>
      </c>
      <c r="B20" s="44"/>
      <c r="C20" s="45"/>
      <c r="D20" s="47"/>
      <c r="E20" s="46">
        <v>0</v>
      </c>
      <c r="F20" s="51"/>
      <c r="G20" s="52"/>
      <c r="H20" s="52"/>
      <c r="I20" s="47"/>
      <c r="J20" s="44"/>
      <c r="K20" s="24">
        <f t="shared" ca="1" si="0"/>
        <v>0</v>
      </c>
      <c r="L20" s="68">
        <f t="shared" ca="1" si="1"/>
        <v>0</v>
      </c>
      <c r="M20" s="68">
        <f t="shared" ca="1" si="2"/>
        <v>0</v>
      </c>
      <c r="N20" s="68" t="b">
        <f t="shared" ca="1" si="3"/>
        <v>0</v>
      </c>
      <c r="O20" s="68" t="str">
        <f t="shared" ca="1" si="4"/>
        <v/>
      </c>
      <c r="P20" s="68"/>
      <c r="Q20" s="68"/>
      <c r="R20" s="68"/>
      <c r="S20" s="68"/>
      <c r="T20" s="68"/>
      <c r="U20" s="68"/>
    </row>
    <row r="21" spans="1:21">
      <c r="A21" s="81">
        <v>19</v>
      </c>
      <c r="B21" s="44"/>
      <c r="C21" s="45"/>
      <c r="D21" s="47"/>
      <c r="E21" s="46">
        <v>0</v>
      </c>
      <c r="F21" s="51"/>
      <c r="G21" s="52"/>
      <c r="H21" s="52"/>
      <c r="I21" s="47"/>
      <c r="J21" s="44"/>
      <c r="K21" s="24">
        <f t="shared" ca="1" si="0"/>
        <v>0</v>
      </c>
      <c r="L21" s="68">
        <f t="shared" ca="1" si="1"/>
        <v>0</v>
      </c>
      <c r="M21" s="68">
        <f t="shared" ca="1" si="2"/>
        <v>0</v>
      </c>
      <c r="N21" s="68" t="b">
        <f t="shared" ca="1" si="3"/>
        <v>0</v>
      </c>
      <c r="O21" s="68" t="str">
        <f t="shared" ca="1" si="4"/>
        <v/>
      </c>
      <c r="P21" s="68"/>
      <c r="Q21" s="68"/>
      <c r="R21" s="68"/>
      <c r="S21" s="68"/>
      <c r="T21" s="68"/>
      <c r="U21" s="68"/>
    </row>
    <row r="22" spans="1:21">
      <c r="A22" s="81">
        <v>20</v>
      </c>
      <c r="B22" s="44"/>
      <c r="C22" s="45"/>
      <c r="D22" s="47"/>
      <c r="E22" s="46">
        <v>0</v>
      </c>
      <c r="F22" s="51"/>
      <c r="G22" s="52"/>
      <c r="H22" s="52"/>
      <c r="I22" s="47"/>
      <c r="J22" s="44"/>
      <c r="K22" s="24">
        <f t="shared" ca="1" si="0"/>
        <v>0</v>
      </c>
      <c r="L22" s="68">
        <f t="shared" ca="1" si="1"/>
        <v>0</v>
      </c>
      <c r="M22" s="68">
        <f t="shared" ca="1" si="2"/>
        <v>0</v>
      </c>
      <c r="N22" s="68" t="b">
        <f t="shared" ca="1" si="3"/>
        <v>0</v>
      </c>
      <c r="O22" s="68" t="str">
        <f t="shared" ca="1" si="4"/>
        <v/>
      </c>
      <c r="P22" s="68"/>
      <c r="Q22" s="68"/>
      <c r="R22" s="68"/>
      <c r="S22" s="68"/>
      <c r="T22" s="68"/>
      <c r="U22" s="68"/>
    </row>
    <row r="23" spans="1:21" ht="15.75">
      <c r="A23" s="82">
        <v>21</v>
      </c>
      <c r="B23" s="44"/>
      <c r="C23" s="45"/>
      <c r="D23" s="47"/>
      <c r="E23" s="46">
        <v>0</v>
      </c>
      <c r="F23" s="51"/>
      <c r="G23" s="52"/>
      <c r="H23" s="52"/>
      <c r="I23" s="47"/>
      <c r="J23" s="44"/>
      <c r="K23" s="24">
        <f t="shared" ca="1" si="0"/>
        <v>0</v>
      </c>
      <c r="L23" s="68">
        <f t="shared" ca="1" si="1"/>
        <v>0</v>
      </c>
      <c r="M23" s="68">
        <f t="shared" ca="1" si="2"/>
        <v>0</v>
      </c>
      <c r="N23" s="68" t="b">
        <f t="shared" ca="1" si="3"/>
        <v>0</v>
      </c>
      <c r="O23" s="68" t="str">
        <f t="shared" ca="1" si="4"/>
        <v/>
      </c>
      <c r="P23" s="68"/>
      <c r="Q23" s="68"/>
      <c r="R23" s="68"/>
      <c r="S23" s="68"/>
      <c r="T23" s="68"/>
      <c r="U23" s="68"/>
    </row>
    <row r="24" spans="1:21" ht="15.75">
      <c r="A24" s="82">
        <v>22</v>
      </c>
      <c r="B24" s="44"/>
      <c r="C24" s="45"/>
      <c r="D24" s="47"/>
      <c r="E24" s="46">
        <v>0</v>
      </c>
      <c r="F24" s="51"/>
      <c r="G24" s="52"/>
      <c r="H24" s="52"/>
      <c r="I24" s="47"/>
      <c r="J24" s="44"/>
      <c r="K24" s="24">
        <f t="shared" ca="1" si="0"/>
        <v>0</v>
      </c>
      <c r="L24" s="68">
        <f t="shared" ca="1" si="1"/>
        <v>0</v>
      </c>
      <c r="M24" s="68">
        <f t="shared" ca="1" si="2"/>
        <v>0</v>
      </c>
      <c r="N24" s="68" t="b">
        <f t="shared" ca="1" si="3"/>
        <v>0</v>
      </c>
      <c r="O24" s="68" t="str">
        <f t="shared" ca="1" si="4"/>
        <v/>
      </c>
      <c r="P24" s="68"/>
      <c r="Q24" s="68"/>
      <c r="R24" s="68"/>
      <c r="S24" s="68"/>
      <c r="T24" s="68"/>
      <c r="U24" s="68"/>
    </row>
    <row r="25" spans="1:21" ht="15.75">
      <c r="A25" s="82">
        <v>23</v>
      </c>
      <c r="B25" s="44"/>
      <c r="C25" s="45"/>
      <c r="D25" s="47"/>
      <c r="E25" s="46">
        <v>0</v>
      </c>
      <c r="F25" s="51"/>
      <c r="G25" s="52"/>
      <c r="H25" s="52"/>
      <c r="I25" s="47"/>
      <c r="J25" s="44"/>
      <c r="K25" s="24">
        <f t="shared" ca="1" si="0"/>
        <v>0</v>
      </c>
      <c r="L25" s="68">
        <f t="shared" ca="1" si="1"/>
        <v>0</v>
      </c>
      <c r="M25" s="68">
        <f t="shared" ca="1" si="2"/>
        <v>0</v>
      </c>
      <c r="N25" s="68" t="b">
        <f t="shared" ca="1" si="3"/>
        <v>0</v>
      </c>
      <c r="O25" s="68" t="str">
        <f t="shared" ca="1" si="4"/>
        <v/>
      </c>
      <c r="P25" s="68"/>
      <c r="Q25" s="68"/>
      <c r="R25" s="68"/>
      <c r="S25" s="68"/>
      <c r="T25" s="68"/>
      <c r="U25" s="68"/>
    </row>
    <row r="26" spans="1:21" ht="15.75">
      <c r="A26" s="82">
        <v>24</v>
      </c>
      <c r="B26" s="44"/>
      <c r="C26" s="45"/>
      <c r="D26" s="54"/>
      <c r="E26" s="46">
        <v>0</v>
      </c>
      <c r="F26" s="51"/>
      <c r="G26" s="52"/>
      <c r="H26" s="52"/>
      <c r="I26" s="47"/>
      <c r="J26" s="44"/>
      <c r="K26" s="24">
        <f t="shared" ca="1" si="0"/>
        <v>0</v>
      </c>
      <c r="L26" s="68">
        <f t="shared" ca="1" si="1"/>
        <v>0</v>
      </c>
      <c r="M26" s="68">
        <f t="shared" ca="1" si="2"/>
        <v>0</v>
      </c>
      <c r="N26" s="68" t="b">
        <f t="shared" ca="1" si="3"/>
        <v>0</v>
      </c>
      <c r="O26" s="68" t="str">
        <f t="shared" ca="1" si="4"/>
        <v/>
      </c>
      <c r="P26" s="68"/>
      <c r="Q26" s="68"/>
      <c r="R26" s="68"/>
      <c r="S26" s="68"/>
      <c r="T26" s="68"/>
      <c r="U26" s="68"/>
    </row>
    <row r="27" spans="1:21" ht="15.75">
      <c r="A27" s="83">
        <v>25</v>
      </c>
      <c r="B27" s="48"/>
      <c r="C27" s="49"/>
      <c r="D27" s="50"/>
      <c r="E27" s="46">
        <v>0</v>
      </c>
      <c r="F27" s="55"/>
      <c r="G27" s="56"/>
      <c r="H27" s="56"/>
      <c r="I27" s="50"/>
      <c r="J27" s="48"/>
      <c r="K27" s="25">
        <f t="shared" ca="1" si="0"/>
        <v>0</v>
      </c>
      <c r="L27" s="68">
        <f t="shared" ca="1" si="1"/>
        <v>0</v>
      </c>
      <c r="M27" s="68">
        <f t="shared" ca="1" si="2"/>
        <v>0</v>
      </c>
      <c r="N27" s="68" t="b">
        <f t="shared" ca="1" si="3"/>
        <v>0</v>
      </c>
      <c r="O27" s="68" t="str">
        <f ca="1">IF(C27="","",DATEDIF($C27,TODAY(),"m"))</f>
        <v/>
      </c>
      <c r="P27" s="68"/>
      <c r="Q27" s="68"/>
      <c r="R27" s="68"/>
      <c r="S27" s="68"/>
      <c r="T27" s="68"/>
      <c r="U27" s="68"/>
    </row>
  </sheetData>
  <sheetProtection algorithmName="SHA-512" hashValue="0HMqTQl0oe98wLiN2Mx1AYc4gBNUs8DbyVb3CfEceYIxbG2ks0UqyBV6advDsr/w5/f6ghEJ8RjcXdskLdP6sQ==" saltValue="V2gtXmh2tBMXh7JrmWrt7Q==" spinCount="100000" sheet="1" objects="1" scenarios="1" selectLockedCells="1"/>
  <mergeCells count="1">
    <mergeCell ref="P4:T4"/>
  </mergeCells>
  <conditionalFormatting sqref="A3:K27">
    <cfRule type="expression" dxfId="237" priority="1">
      <formula>ROW()=CELL("LIN")</formula>
    </cfRule>
    <cfRule type="expression" dxfId="236" priority="2">
      <formula>IF($D3&lt;&gt;"",1,0)</formula>
    </cfRule>
  </conditionalFormatting>
  <conditionalFormatting sqref="O3:O27">
    <cfRule type="cellIs" dxfId="235" priority="3" operator="lessThan">
      <formula>$T$3</formula>
    </cfRule>
  </conditionalFormatting>
  <pageMargins left="1" right="1" top="1" bottom="1" header="0.5" footer="0.5"/>
  <pageSetup paperSize="9" scale="51" fitToHeight="0" orientation="landscape" horizontalDpi="300" verticalDpi="300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3B2C9-BCC6-4E26-81E3-A5210EE9FB19}">
  <sheetPr codeName="Planilha4"/>
  <dimension ref="A1:AE29"/>
  <sheetViews>
    <sheetView showGridLines="0" showRowColHeaders="0" view="pageBreakPreview" zoomScale="60" zoomScaleNormal="70" workbookViewId="0">
      <pane xSplit="4" topLeftCell="Y1" activePane="topRight" state="frozen"/>
      <selection sqref="A1:D3"/>
      <selection pane="topRight" activeCell="AD6" sqref="AD6"/>
    </sheetView>
  </sheetViews>
  <sheetFormatPr defaultRowHeight="12.75"/>
  <cols>
    <col min="2" max="2" width="39.28515625" bestFit="1" customWidth="1"/>
    <col min="3" max="3" width="14.28515625" customWidth="1"/>
    <col min="4" max="4" width="40.140625" customWidth="1"/>
    <col min="5" max="5" width="15.28515625" customWidth="1"/>
    <col min="6" max="6" width="16.28515625" customWidth="1"/>
    <col min="7" max="7" width="24.7109375" customWidth="1"/>
    <col min="8" max="8" width="15.140625" customWidth="1"/>
    <col min="9" max="9" width="14.5703125" customWidth="1"/>
    <col min="10" max="10" width="24.5703125" customWidth="1"/>
    <col min="12" max="12" width="14.140625" customWidth="1"/>
    <col min="13" max="13" width="15.140625" customWidth="1"/>
    <col min="14" max="14" width="23.5703125" customWidth="1"/>
    <col min="15" max="15" width="14.85546875" customWidth="1"/>
    <col min="16" max="16" width="15.85546875" customWidth="1"/>
    <col min="17" max="17" width="24.28515625" customWidth="1"/>
    <col min="19" max="19" width="15.140625" customWidth="1"/>
    <col min="20" max="20" width="16.140625" customWidth="1"/>
    <col min="21" max="21" width="24.5703125" customWidth="1"/>
    <col min="22" max="22" width="14.7109375" customWidth="1"/>
    <col min="23" max="23" width="15.7109375" customWidth="1"/>
    <col min="24" max="24" width="24.140625" customWidth="1"/>
    <col min="26" max="26" width="15" customWidth="1"/>
    <col min="27" max="27" width="16" customWidth="1"/>
    <col min="28" max="28" width="24.42578125" customWidth="1"/>
    <col min="29" max="29" width="15.140625" customWidth="1"/>
    <col min="30" max="30" width="16.140625" customWidth="1"/>
    <col min="31" max="31" width="24.5703125" customWidth="1"/>
  </cols>
  <sheetData>
    <row r="1" spans="1:31" ht="30" customHeight="1" thickBot="1">
      <c r="A1" s="124" t="str">
        <f>CONCATENATE('2P-A-Turma'!B2&amp;" - ",'2P-A-Turma'!B3)</f>
        <v>2º Periodo - A - Manhã</v>
      </c>
      <c r="B1" s="124"/>
      <c r="C1" s="124"/>
      <c r="D1" s="125"/>
      <c r="E1" s="128" t="s">
        <v>41</v>
      </c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  <c r="V1" s="129"/>
      <c r="W1" s="129"/>
      <c r="X1" s="129"/>
      <c r="Y1" s="129"/>
      <c r="Z1" s="129"/>
      <c r="AA1" s="129"/>
      <c r="AB1" s="129"/>
      <c r="AC1" s="129"/>
      <c r="AD1" s="129"/>
      <c r="AE1" s="130"/>
    </row>
    <row r="2" spans="1:31" ht="16.5" thickBot="1">
      <c r="A2" s="124"/>
      <c r="B2" s="124"/>
      <c r="C2" s="124"/>
      <c r="D2" s="125"/>
      <c r="E2" s="131" t="s">
        <v>37</v>
      </c>
      <c r="F2" s="132"/>
      <c r="G2" s="132"/>
      <c r="H2" s="132"/>
      <c r="I2" s="132"/>
      <c r="J2" s="132"/>
      <c r="K2" s="132"/>
      <c r="L2" s="132"/>
      <c r="M2" s="132"/>
      <c r="N2" s="132"/>
      <c r="O2" s="132"/>
      <c r="P2" s="132"/>
      <c r="Q2" s="133"/>
      <c r="R2" s="64"/>
      <c r="S2" s="131" t="s">
        <v>38</v>
      </c>
      <c r="T2" s="132"/>
      <c r="U2" s="132"/>
      <c r="V2" s="132"/>
      <c r="W2" s="132"/>
      <c r="X2" s="132"/>
      <c r="Y2" s="132"/>
      <c r="Z2" s="132"/>
      <c r="AA2" s="132"/>
      <c r="AB2" s="132"/>
      <c r="AC2" s="132"/>
      <c r="AD2" s="132"/>
      <c r="AE2" s="133"/>
    </row>
    <row r="3" spans="1:31" ht="15">
      <c r="A3" s="126"/>
      <c r="B3" s="126"/>
      <c r="C3" s="126"/>
      <c r="D3" s="127"/>
      <c r="E3" s="134" t="s">
        <v>33</v>
      </c>
      <c r="F3" s="135"/>
      <c r="G3" s="136"/>
      <c r="H3" s="138" t="s">
        <v>34</v>
      </c>
      <c r="I3" s="139"/>
      <c r="J3" s="140"/>
      <c r="K3" s="64"/>
      <c r="L3" s="134" t="s">
        <v>35</v>
      </c>
      <c r="M3" s="135"/>
      <c r="N3" s="136"/>
      <c r="O3" s="138" t="s">
        <v>36</v>
      </c>
      <c r="P3" s="139"/>
      <c r="Q3" s="140"/>
      <c r="R3" s="64"/>
      <c r="S3" s="137" t="s">
        <v>39</v>
      </c>
      <c r="T3" s="135"/>
      <c r="U3" s="136"/>
      <c r="V3" s="141" t="s">
        <v>40</v>
      </c>
      <c r="W3" s="139"/>
      <c r="X3" s="140"/>
      <c r="Y3" s="64"/>
      <c r="Z3" s="134" t="s">
        <v>31</v>
      </c>
      <c r="AA3" s="135"/>
      <c r="AB3" s="136"/>
      <c r="AC3" s="138" t="s">
        <v>32</v>
      </c>
      <c r="AD3" s="139"/>
      <c r="AE3" s="140"/>
    </row>
    <row r="4" spans="1:31" ht="31.5">
      <c r="A4" s="63" t="s">
        <v>9</v>
      </c>
      <c r="B4" s="57" t="s">
        <v>10</v>
      </c>
      <c r="C4" s="58" t="s">
        <v>13</v>
      </c>
      <c r="D4" s="59" t="s">
        <v>16</v>
      </c>
      <c r="E4" s="31" t="s">
        <v>42</v>
      </c>
      <c r="F4" s="32" t="s">
        <v>43</v>
      </c>
      <c r="G4" s="33" t="s">
        <v>44</v>
      </c>
      <c r="H4" s="34" t="s">
        <v>46</v>
      </c>
      <c r="I4" s="35" t="s">
        <v>45</v>
      </c>
      <c r="J4" s="36" t="s">
        <v>51</v>
      </c>
      <c r="K4" s="65" t="s">
        <v>47</v>
      </c>
      <c r="L4" s="37" t="s">
        <v>48</v>
      </c>
      <c r="M4" s="32" t="s">
        <v>49</v>
      </c>
      <c r="N4" s="33" t="s">
        <v>50</v>
      </c>
      <c r="O4" s="34" t="s">
        <v>52</v>
      </c>
      <c r="P4" s="35" t="s">
        <v>53</v>
      </c>
      <c r="Q4" s="36" t="s">
        <v>54</v>
      </c>
      <c r="R4" s="65" t="s">
        <v>55</v>
      </c>
      <c r="S4" s="37" t="s">
        <v>56</v>
      </c>
      <c r="T4" s="32" t="s">
        <v>57</v>
      </c>
      <c r="U4" s="33" t="s">
        <v>58</v>
      </c>
      <c r="V4" s="34" t="s">
        <v>59</v>
      </c>
      <c r="W4" s="35" t="s">
        <v>60</v>
      </c>
      <c r="X4" s="36" t="s">
        <v>61</v>
      </c>
      <c r="Y4" s="65" t="s">
        <v>62</v>
      </c>
      <c r="Z4" s="37" t="s">
        <v>63</v>
      </c>
      <c r="AA4" s="32" t="s">
        <v>64</v>
      </c>
      <c r="AB4" s="33" t="s">
        <v>65</v>
      </c>
      <c r="AC4" s="34" t="s">
        <v>66</v>
      </c>
      <c r="AD4" s="35" t="s">
        <v>67</v>
      </c>
      <c r="AE4" s="38" t="s">
        <v>68</v>
      </c>
    </row>
    <row r="5" spans="1:31" ht="15">
      <c r="A5" s="72">
        <v>1</v>
      </c>
      <c r="B5" s="60" t="str">
        <f>IF('2P-A'!B3&lt;&gt;0,'2P-A'!B3,"")</f>
        <v/>
      </c>
      <c r="C5" s="61" t="str">
        <f>IF('2P-A'!C3&lt;&gt;0,'2P-A'!C3,"")</f>
        <v/>
      </c>
      <c r="D5" s="62" t="str">
        <f>IF('2P-A'!D3&lt;&gt;0,'2P-A'!D3,"")</f>
        <v/>
      </c>
      <c r="E5" s="43">
        <v>6</v>
      </c>
      <c r="F5" s="42">
        <v>4</v>
      </c>
      <c r="G5" s="28">
        <f t="shared" ref="G5:G29" si="0">ROUND((E5*100)/(E5+F5),0)/100</f>
        <v>0.6</v>
      </c>
      <c r="H5" s="39"/>
      <c r="I5" s="40"/>
      <c r="J5" s="29" t="e">
        <f t="shared" ref="J5:J29" si="1">ROUND((H5*100)/(H5+I5),0)/100</f>
        <v>#DIV/0!</v>
      </c>
      <c r="K5" s="87">
        <f>Tabela2736[[#This Row],[Nº]]</f>
        <v>1</v>
      </c>
      <c r="L5" s="41"/>
      <c r="M5" s="42"/>
      <c r="N5" s="28" t="e">
        <f t="shared" ref="N5:N29" si="2">ROUND((L5*100)/(L5+M5),0)/100</f>
        <v>#DIV/0!</v>
      </c>
      <c r="O5" s="39"/>
      <c r="P5" s="40"/>
      <c r="Q5" s="29" t="e">
        <f t="shared" ref="Q5:Q29" si="3">ROUND((O5*100)/(O5+P5),0)/100</f>
        <v>#DIV/0!</v>
      </c>
      <c r="R5" s="87">
        <f>Tabela2736[[#This Row],[Nº]]</f>
        <v>1</v>
      </c>
      <c r="S5" s="41"/>
      <c r="T5" s="42"/>
      <c r="U5" s="28" t="e">
        <f t="shared" ref="U5:U29" si="4">ROUND((S5*100)/(S5+T5),0)/100</f>
        <v>#DIV/0!</v>
      </c>
      <c r="V5" s="39"/>
      <c r="W5" s="40"/>
      <c r="X5" s="29" t="e">
        <f t="shared" ref="X5:X29" si="5">ROUND((V5*100)/(V5+W5),0)/100</f>
        <v>#DIV/0!</v>
      </c>
      <c r="Y5" s="87">
        <f>Tabela2736[[#This Row],[Nº]]</f>
        <v>1</v>
      </c>
      <c r="Z5" s="41">
        <v>60</v>
      </c>
      <c r="AA5" s="42">
        <v>41</v>
      </c>
      <c r="AB5" s="28">
        <f t="shared" ref="AB5:AB29" si="6">ROUND((Z5*100)/(Z5+AA5),0)/100</f>
        <v>0.59</v>
      </c>
      <c r="AC5" s="39">
        <v>60</v>
      </c>
      <c r="AD5" s="40">
        <v>40</v>
      </c>
      <c r="AE5" s="30">
        <f t="shared" ref="AE5:AE29" si="7">ROUND((AC5*100)/(AC5+AD5),0)/100</f>
        <v>0.6</v>
      </c>
    </row>
    <row r="6" spans="1:31" ht="15">
      <c r="A6" s="72">
        <v>2</v>
      </c>
      <c r="B6" s="60" t="str">
        <f>IF('2P-A'!B4&lt;&gt;0,'2P-A'!B4,"")</f>
        <v/>
      </c>
      <c r="C6" s="61" t="str">
        <f>IF('2P-A'!C4&lt;&gt;0,'2P-A'!C4,"")</f>
        <v/>
      </c>
      <c r="D6" s="62" t="str">
        <f>IF('2P-A'!D4&lt;&gt;0,'2P-A'!D4,"")</f>
        <v/>
      </c>
      <c r="E6" s="43"/>
      <c r="F6" s="42"/>
      <c r="G6" s="28" t="e">
        <f t="shared" si="0"/>
        <v>#DIV/0!</v>
      </c>
      <c r="H6" s="39"/>
      <c r="I6" s="40"/>
      <c r="J6" s="29" t="e">
        <f t="shared" si="1"/>
        <v>#DIV/0!</v>
      </c>
      <c r="K6" s="87">
        <f>Tabela2736[[#This Row],[Nº]]</f>
        <v>2</v>
      </c>
      <c r="L6" s="41"/>
      <c r="M6" s="42"/>
      <c r="N6" s="28" t="e">
        <f t="shared" si="2"/>
        <v>#DIV/0!</v>
      </c>
      <c r="O6" s="39"/>
      <c r="P6" s="40"/>
      <c r="Q6" s="29" t="e">
        <f t="shared" si="3"/>
        <v>#DIV/0!</v>
      </c>
      <c r="R6" s="87">
        <f>Tabela2736[[#This Row],[Nº]]</f>
        <v>2</v>
      </c>
      <c r="S6" s="41"/>
      <c r="T6" s="42"/>
      <c r="U6" s="28" t="e">
        <f t="shared" si="4"/>
        <v>#DIV/0!</v>
      </c>
      <c r="V6" s="39"/>
      <c r="W6" s="40"/>
      <c r="X6" s="29" t="e">
        <f t="shared" si="5"/>
        <v>#DIV/0!</v>
      </c>
      <c r="Y6" s="87">
        <f>Tabela2736[[#This Row],[Nº]]</f>
        <v>2</v>
      </c>
      <c r="Z6" s="41"/>
      <c r="AA6" s="42"/>
      <c r="AB6" s="28" t="e">
        <f t="shared" si="6"/>
        <v>#DIV/0!</v>
      </c>
      <c r="AC6" s="39"/>
      <c r="AD6" s="40"/>
      <c r="AE6" s="30" t="e">
        <f t="shared" si="7"/>
        <v>#DIV/0!</v>
      </c>
    </row>
    <row r="7" spans="1:31" ht="15">
      <c r="A7" s="72">
        <v>3</v>
      </c>
      <c r="B7" s="60" t="str">
        <f>IF('2P-A'!B5&lt;&gt;0,'2P-A'!B5,"")</f>
        <v/>
      </c>
      <c r="C7" s="61" t="str">
        <f>IF('2P-A'!C5&lt;&gt;0,'2P-A'!C5,"")</f>
        <v/>
      </c>
      <c r="D7" s="62" t="str">
        <f>IF('2P-A'!D5&lt;&gt;0,'2P-A'!D5,"")</f>
        <v/>
      </c>
      <c r="E7" s="43"/>
      <c r="F7" s="42"/>
      <c r="G7" s="28" t="e">
        <f t="shared" si="0"/>
        <v>#DIV/0!</v>
      </c>
      <c r="H7" s="39"/>
      <c r="I7" s="40"/>
      <c r="J7" s="29" t="e">
        <f t="shared" si="1"/>
        <v>#DIV/0!</v>
      </c>
      <c r="K7" s="87">
        <f>Tabela2736[[#This Row],[Nº]]</f>
        <v>3</v>
      </c>
      <c r="L7" s="41"/>
      <c r="M7" s="42"/>
      <c r="N7" s="28" t="e">
        <f t="shared" si="2"/>
        <v>#DIV/0!</v>
      </c>
      <c r="O7" s="39"/>
      <c r="P7" s="40"/>
      <c r="Q7" s="29" t="e">
        <f t="shared" si="3"/>
        <v>#DIV/0!</v>
      </c>
      <c r="R7" s="87">
        <f>Tabela2736[[#This Row],[Nº]]</f>
        <v>3</v>
      </c>
      <c r="S7" s="41"/>
      <c r="T7" s="42"/>
      <c r="U7" s="28" t="e">
        <f t="shared" si="4"/>
        <v>#DIV/0!</v>
      </c>
      <c r="V7" s="39"/>
      <c r="W7" s="40"/>
      <c r="X7" s="29" t="e">
        <f t="shared" si="5"/>
        <v>#DIV/0!</v>
      </c>
      <c r="Y7" s="87">
        <f>Tabela2736[[#This Row],[Nº]]</f>
        <v>3</v>
      </c>
      <c r="Z7" s="41"/>
      <c r="AA7" s="42"/>
      <c r="AB7" s="28" t="e">
        <f t="shared" si="6"/>
        <v>#DIV/0!</v>
      </c>
      <c r="AC7" s="39"/>
      <c r="AD7" s="40"/>
      <c r="AE7" s="30" t="e">
        <f t="shared" si="7"/>
        <v>#DIV/0!</v>
      </c>
    </row>
    <row r="8" spans="1:31" ht="15">
      <c r="A8" s="72">
        <v>4</v>
      </c>
      <c r="B8" s="60" t="str">
        <f>IF('2P-A'!B6&lt;&gt;0,'2P-A'!B6,"")</f>
        <v/>
      </c>
      <c r="C8" s="61" t="str">
        <f>IF('2P-A'!C6&lt;&gt;0,'2P-A'!C6,"")</f>
        <v/>
      </c>
      <c r="D8" s="62" t="str">
        <f>IF('2P-A'!D6&lt;&gt;0,'2P-A'!D6,"")</f>
        <v/>
      </c>
      <c r="E8" s="43"/>
      <c r="F8" s="42"/>
      <c r="G8" s="28" t="e">
        <f t="shared" si="0"/>
        <v>#DIV/0!</v>
      </c>
      <c r="H8" s="39"/>
      <c r="I8" s="40"/>
      <c r="J8" s="29" t="e">
        <f t="shared" si="1"/>
        <v>#DIV/0!</v>
      </c>
      <c r="K8" s="87">
        <f>Tabela2736[[#This Row],[Nº]]</f>
        <v>4</v>
      </c>
      <c r="L8" s="41"/>
      <c r="M8" s="42"/>
      <c r="N8" s="28" t="e">
        <f t="shared" si="2"/>
        <v>#DIV/0!</v>
      </c>
      <c r="O8" s="39"/>
      <c r="P8" s="40"/>
      <c r="Q8" s="29" t="e">
        <f t="shared" si="3"/>
        <v>#DIV/0!</v>
      </c>
      <c r="R8" s="87">
        <f>Tabela2736[[#This Row],[Nº]]</f>
        <v>4</v>
      </c>
      <c r="S8" s="41"/>
      <c r="T8" s="42"/>
      <c r="U8" s="28" t="e">
        <f t="shared" si="4"/>
        <v>#DIV/0!</v>
      </c>
      <c r="V8" s="39"/>
      <c r="W8" s="40"/>
      <c r="X8" s="29" t="e">
        <f t="shared" si="5"/>
        <v>#DIV/0!</v>
      </c>
      <c r="Y8" s="87">
        <f>Tabela2736[[#This Row],[Nº]]</f>
        <v>4</v>
      </c>
      <c r="Z8" s="41"/>
      <c r="AA8" s="42"/>
      <c r="AB8" s="28" t="e">
        <f t="shared" si="6"/>
        <v>#DIV/0!</v>
      </c>
      <c r="AC8" s="39"/>
      <c r="AD8" s="40"/>
      <c r="AE8" s="30" t="e">
        <f t="shared" si="7"/>
        <v>#DIV/0!</v>
      </c>
    </row>
    <row r="9" spans="1:31" ht="15">
      <c r="A9" s="72">
        <v>5</v>
      </c>
      <c r="B9" s="60" t="str">
        <f>IF('2P-A'!B7&lt;&gt;0,'2P-A'!B7,"")</f>
        <v/>
      </c>
      <c r="C9" s="61" t="str">
        <f>IF('2P-A'!C7&lt;&gt;0,'2P-A'!C7,"")</f>
        <v/>
      </c>
      <c r="D9" s="62" t="str">
        <f>IF('2P-A'!D7&lt;&gt;0,'2P-A'!D7,"")</f>
        <v/>
      </c>
      <c r="E9" s="43"/>
      <c r="F9" s="42"/>
      <c r="G9" s="28" t="e">
        <f t="shared" si="0"/>
        <v>#DIV/0!</v>
      </c>
      <c r="H9" s="39"/>
      <c r="I9" s="40"/>
      <c r="J9" s="29" t="e">
        <f t="shared" si="1"/>
        <v>#DIV/0!</v>
      </c>
      <c r="K9" s="87">
        <f>Tabela2736[[#This Row],[Nº]]</f>
        <v>5</v>
      </c>
      <c r="L9" s="41"/>
      <c r="M9" s="42"/>
      <c r="N9" s="28" t="e">
        <f t="shared" si="2"/>
        <v>#DIV/0!</v>
      </c>
      <c r="O9" s="39"/>
      <c r="P9" s="40"/>
      <c r="Q9" s="29" t="e">
        <f t="shared" si="3"/>
        <v>#DIV/0!</v>
      </c>
      <c r="R9" s="87">
        <f>Tabela2736[[#This Row],[Nº]]</f>
        <v>5</v>
      </c>
      <c r="S9" s="41"/>
      <c r="T9" s="42"/>
      <c r="U9" s="28" t="e">
        <f t="shared" si="4"/>
        <v>#DIV/0!</v>
      </c>
      <c r="V9" s="39"/>
      <c r="W9" s="40"/>
      <c r="X9" s="29" t="e">
        <f t="shared" si="5"/>
        <v>#DIV/0!</v>
      </c>
      <c r="Y9" s="87">
        <f>Tabela2736[[#This Row],[Nº]]</f>
        <v>5</v>
      </c>
      <c r="Z9" s="41"/>
      <c r="AA9" s="42"/>
      <c r="AB9" s="28" t="e">
        <f t="shared" si="6"/>
        <v>#DIV/0!</v>
      </c>
      <c r="AC9" s="39"/>
      <c r="AD9" s="40"/>
      <c r="AE9" s="30" t="e">
        <f t="shared" si="7"/>
        <v>#DIV/0!</v>
      </c>
    </row>
    <row r="10" spans="1:31" ht="15">
      <c r="A10" s="72">
        <v>6</v>
      </c>
      <c r="B10" s="60" t="str">
        <f>IF('2P-A'!B8&lt;&gt;0,'2P-A'!B8,"")</f>
        <v/>
      </c>
      <c r="C10" s="61" t="str">
        <f>IF('2P-A'!C8&lt;&gt;0,'2P-A'!C8,"")</f>
        <v/>
      </c>
      <c r="D10" s="62" t="str">
        <f>IF('2P-A'!D8&lt;&gt;0,'2P-A'!D8,"")</f>
        <v/>
      </c>
      <c r="E10" s="43"/>
      <c r="F10" s="42"/>
      <c r="G10" s="28" t="e">
        <f t="shared" si="0"/>
        <v>#DIV/0!</v>
      </c>
      <c r="H10" s="39"/>
      <c r="I10" s="40"/>
      <c r="J10" s="29" t="e">
        <f t="shared" si="1"/>
        <v>#DIV/0!</v>
      </c>
      <c r="K10" s="87">
        <f>Tabela2736[[#This Row],[Nº]]</f>
        <v>6</v>
      </c>
      <c r="L10" s="41"/>
      <c r="M10" s="42"/>
      <c r="N10" s="28" t="e">
        <f t="shared" si="2"/>
        <v>#DIV/0!</v>
      </c>
      <c r="O10" s="39"/>
      <c r="P10" s="40"/>
      <c r="Q10" s="29" t="e">
        <f t="shared" si="3"/>
        <v>#DIV/0!</v>
      </c>
      <c r="R10" s="87">
        <f>Tabela2736[[#This Row],[Nº]]</f>
        <v>6</v>
      </c>
      <c r="S10" s="41"/>
      <c r="T10" s="42"/>
      <c r="U10" s="28" t="e">
        <f t="shared" si="4"/>
        <v>#DIV/0!</v>
      </c>
      <c r="V10" s="39"/>
      <c r="W10" s="40"/>
      <c r="X10" s="29" t="e">
        <f t="shared" si="5"/>
        <v>#DIV/0!</v>
      </c>
      <c r="Y10" s="87">
        <f>Tabela2736[[#This Row],[Nº]]</f>
        <v>6</v>
      </c>
      <c r="Z10" s="41"/>
      <c r="AA10" s="42"/>
      <c r="AB10" s="28" t="e">
        <f t="shared" si="6"/>
        <v>#DIV/0!</v>
      </c>
      <c r="AC10" s="39"/>
      <c r="AD10" s="40"/>
      <c r="AE10" s="30" t="e">
        <f t="shared" si="7"/>
        <v>#DIV/0!</v>
      </c>
    </row>
    <row r="11" spans="1:31" ht="15">
      <c r="A11" s="72">
        <v>7</v>
      </c>
      <c r="B11" s="60" t="str">
        <f>IF('2P-A'!B9&lt;&gt;0,'2P-A'!B9,"")</f>
        <v/>
      </c>
      <c r="C11" s="61" t="str">
        <f>IF('2P-A'!C9&lt;&gt;0,'2P-A'!C9,"")</f>
        <v/>
      </c>
      <c r="D11" s="62" t="str">
        <f>IF('2P-A'!D9&lt;&gt;0,'2P-A'!D9,"")</f>
        <v/>
      </c>
      <c r="E11" s="43"/>
      <c r="F11" s="42"/>
      <c r="G11" s="28" t="e">
        <f t="shared" si="0"/>
        <v>#DIV/0!</v>
      </c>
      <c r="H11" s="39"/>
      <c r="I11" s="40"/>
      <c r="J11" s="29" t="e">
        <f t="shared" si="1"/>
        <v>#DIV/0!</v>
      </c>
      <c r="K11" s="87">
        <f>Tabela2736[[#This Row],[Nº]]</f>
        <v>7</v>
      </c>
      <c r="L11" s="41"/>
      <c r="M11" s="42"/>
      <c r="N11" s="28" t="e">
        <f t="shared" si="2"/>
        <v>#DIV/0!</v>
      </c>
      <c r="O11" s="39"/>
      <c r="P11" s="40"/>
      <c r="Q11" s="29" t="e">
        <f t="shared" si="3"/>
        <v>#DIV/0!</v>
      </c>
      <c r="R11" s="87">
        <f>Tabela2736[[#This Row],[Nº]]</f>
        <v>7</v>
      </c>
      <c r="S11" s="41"/>
      <c r="T11" s="42"/>
      <c r="U11" s="28" t="e">
        <f t="shared" si="4"/>
        <v>#DIV/0!</v>
      </c>
      <c r="V11" s="39"/>
      <c r="W11" s="40"/>
      <c r="X11" s="29" t="e">
        <f t="shared" si="5"/>
        <v>#DIV/0!</v>
      </c>
      <c r="Y11" s="87">
        <f>Tabela2736[[#This Row],[Nº]]</f>
        <v>7</v>
      </c>
      <c r="Z11" s="41"/>
      <c r="AA11" s="42"/>
      <c r="AB11" s="28" t="e">
        <f t="shared" si="6"/>
        <v>#DIV/0!</v>
      </c>
      <c r="AC11" s="39"/>
      <c r="AD11" s="40"/>
      <c r="AE11" s="30" t="e">
        <f t="shared" si="7"/>
        <v>#DIV/0!</v>
      </c>
    </row>
    <row r="12" spans="1:31" ht="15">
      <c r="A12" s="72">
        <v>8</v>
      </c>
      <c r="B12" s="60" t="str">
        <f>IF('2P-A'!B10&lt;&gt;0,'2P-A'!B10,"")</f>
        <v/>
      </c>
      <c r="C12" s="61" t="str">
        <f>IF('2P-A'!C10&lt;&gt;0,'2P-A'!C10,"")</f>
        <v/>
      </c>
      <c r="D12" s="62" t="str">
        <f>IF('2P-A'!D10&lt;&gt;0,'2P-A'!D10,"")</f>
        <v/>
      </c>
      <c r="E12" s="43"/>
      <c r="F12" s="42"/>
      <c r="G12" s="28" t="e">
        <f t="shared" si="0"/>
        <v>#DIV/0!</v>
      </c>
      <c r="H12" s="39"/>
      <c r="I12" s="40"/>
      <c r="J12" s="29" t="e">
        <f t="shared" si="1"/>
        <v>#DIV/0!</v>
      </c>
      <c r="K12" s="87">
        <f>Tabela2736[[#This Row],[Nº]]</f>
        <v>8</v>
      </c>
      <c r="L12" s="41"/>
      <c r="M12" s="42"/>
      <c r="N12" s="28" t="e">
        <f t="shared" si="2"/>
        <v>#DIV/0!</v>
      </c>
      <c r="O12" s="39"/>
      <c r="P12" s="40"/>
      <c r="Q12" s="29" t="e">
        <f t="shared" si="3"/>
        <v>#DIV/0!</v>
      </c>
      <c r="R12" s="87">
        <f>Tabela2736[[#This Row],[Nº]]</f>
        <v>8</v>
      </c>
      <c r="S12" s="41"/>
      <c r="T12" s="42"/>
      <c r="U12" s="28" t="e">
        <f t="shared" si="4"/>
        <v>#DIV/0!</v>
      </c>
      <c r="V12" s="39"/>
      <c r="W12" s="40"/>
      <c r="X12" s="29" t="e">
        <f t="shared" si="5"/>
        <v>#DIV/0!</v>
      </c>
      <c r="Y12" s="87">
        <f>Tabela2736[[#This Row],[Nº]]</f>
        <v>8</v>
      </c>
      <c r="Z12" s="41"/>
      <c r="AA12" s="42"/>
      <c r="AB12" s="28" t="e">
        <f t="shared" si="6"/>
        <v>#DIV/0!</v>
      </c>
      <c r="AC12" s="39"/>
      <c r="AD12" s="40"/>
      <c r="AE12" s="30" t="e">
        <f t="shared" si="7"/>
        <v>#DIV/0!</v>
      </c>
    </row>
    <row r="13" spans="1:31" ht="15">
      <c r="A13" s="72">
        <v>9</v>
      </c>
      <c r="B13" s="60" t="str">
        <f>IF('2P-A'!B11&lt;&gt;0,'2P-A'!B11,"")</f>
        <v/>
      </c>
      <c r="C13" s="61" t="str">
        <f>IF('2P-A'!C11&lt;&gt;0,'2P-A'!C11,"")</f>
        <v/>
      </c>
      <c r="D13" s="62" t="str">
        <f>IF('2P-A'!D11&lt;&gt;0,'2P-A'!D11,"")</f>
        <v/>
      </c>
      <c r="E13" s="43"/>
      <c r="F13" s="42"/>
      <c r="G13" s="28" t="e">
        <f t="shared" si="0"/>
        <v>#DIV/0!</v>
      </c>
      <c r="H13" s="39"/>
      <c r="I13" s="40"/>
      <c r="J13" s="29" t="e">
        <f t="shared" si="1"/>
        <v>#DIV/0!</v>
      </c>
      <c r="K13" s="87">
        <f>Tabela2736[[#This Row],[Nº]]</f>
        <v>9</v>
      </c>
      <c r="L13" s="41"/>
      <c r="M13" s="42"/>
      <c r="N13" s="28" t="e">
        <f t="shared" si="2"/>
        <v>#DIV/0!</v>
      </c>
      <c r="O13" s="39"/>
      <c r="P13" s="40"/>
      <c r="Q13" s="29" t="e">
        <f t="shared" si="3"/>
        <v>#DIV/0!</v>
      </c>
      <c r="R13" s="87">
        <f>Tabela2736[[#This Row],[Nº]]</f>
        <v>9</v>
      </c>
      <c r="S13" s="41"/>
      <c r="T13" s="42"/>
      <c r="U13" s="28" t="e">
        <f t="shared" si="4"/>
        <v>#DIV/0!</v>
      </c>
      <c r="V13" s="39"/>
      <c r="W13" s="40"/>
      <c r="X13" s="29" t="e">
        <f t="shared" si="5"/>
        <v>#DIV/0!</v>
      </c>
      <c r="Y13" s="87">
        <f>Tabela2736[[#This Row],[Nº]]</f>
        <v>9</v>
      </c>
      <c r="Z13" s="41"/>
      <c r="AA13" s="42"/>
      <c r="AB13" s="28" t="e">
        <f t="shared" si="6"/>
        <v>#DIV/0!</v>
      </c>
      <c r="AC13" s="39"/>
      <c r="AD13" s="40"/>
      <c r="AE13" s="30" t="e">
        <f t="shared" si="7"/>
        <v>#DIV/0!</v>
      </c>
    </row>
    <row r="14" spans="1:31" ht="15">
      <c r="A14" s="72">
        <v>10</v>
      </c>
      <c r="B14" s="60" t="str">
        <f>IF('2P-A'!B12&lt;&gt;0,'2P-A'!B12,"")</f>
        <v/>
      </c>
      <c r="C14" s="61" t="str">
        <f>IF('2P-A'!C12&lt;&gt;0,'2P-A'!C12,"")</f>
        <v/>
      </c>
      <c r="D14" s="62" t="str">
        <f>IF('2P-A'!D12&lt;&gt;0,'2P-A'!D12,"")</f>
        <v/>
      </c>
      <c r="E14" s="43"/>
      <c r="F14" s="42"/>
      <c r="G14" s="28" t="e">
        <f t="shared" si="0"/>
        <v>#DIV/0!</v>
      </c>
      <c r="H14" s="39"/>
      <c r="I14" s="40"/>
      <c r="J14" s="29" t="e">
        <f t="shared" si="1"/>
        <v>#DIV/0!</v>
      </c>
      <c r="K14" s="87">
        <f>Tabela2736[[#This Row],[Nº]]</f>
        <v>10</v>
      </c>
      <c r="L14" s="41"/>
      <c r="M14" s="42"/>
      <c r="N14" s="28" t="e">
        <f t="shared" si="2"/>
        <v>#DIV/0!</v>
      </c>
      <c r="O14" s="39"/>
      <c r="P14" s="40"/>
      <c r="Q14" s="29" t="e">
        <f t="shared" si="3"/>
        <v>#DIV/0!</v>
      </c>
      <c r="R14" s="87">
        <f>Tabela2736[[#This Row],[Nº]]</f>
        <v>10</v>
      </c>
      <c r="S14" s="41"/>
      <c r="T14" s="42"/>
      <c r="U14" s="28" t="e">
        <f t="shared" si="4"/>
        <v>#DIV/0!</v>
      </c>
      <c r="V14" s="39"/>
      <c r="W14" s="40"/>
      <c r="X14" s="29" t="e">
        <f t="shared" si="5"/>
        <v>#DIV/0!</v>
      </c>
      <c r="Y14" s="87">
        <f>Tabela2736[[#This Row],[Nº]]</f>
        <v>10</v>
      </c>
      <c r="Z14" s="41"/>
      <c r="AA14" s="42"/>
      <c r="AB14" s="28" t="e">
        <f t="shared" si="6"/>
        <v>#DIV/0!</v>
      </c>
      <c r="AC14" s="39"/>
      <c r="AD14" s="40"/>
      <c r="AE14" s="30" t="e">
        <f t="shared" si="7"/>
        <v>#DIV/0!</v>
      </c>
    </row>
    <row r="15" spans="1:31" ht="15">
      <c r="A15" s="72">
        <v>11</v>
      </c>
      <c r="B15" s="60" t="str">
        <f>IF('2P-A'!B13&lt;&gt;0,'2P-A'!B13,"")</f>
        <v/>
      </c>
      <c r="C15" s="61" t="str">
        <f>IF('2P-A'!C13&lt;&gt;0,'2P-A'!C13,"")</f>
        <v/>
      </c>
      <c r="D15" s="62" t="str">
        <f>IF('2P-A'!D13&lt;&gt;0,'2P-A'!D13,"")</f>
        <v/>
      </c>
      <c r="E15" s="43"/>
      <c r="F15" s="42"/>
      <c r="G15" s="28" t="e">
        <f t="shared" si="0"/>
        <v>#DIV/0!</v>
      </c>
      <c r="H15" s="39"/>
      <c r="I15" s="40"/>
      <c r="J15" s="29" t="e">
        <f t="shared" si="1"/>
        <v>#DIV/0!</v>
      </c>
      <c r="K15" s="87">
        <f>Tabela2736[[#This Row],[Nº]]</f>
        <v>11</v>
      </c>
      <c r="L15" s="41"/>
      <c r="M15" s="42"/>
      <c r="N15" s="28" t="e">
        <f t="shared" si="2"/>
        <v>#DIV/0!</v>
      </c>
      <c r="O15" s="39"/>
      <c r="P15" s="40"/>
      <c r="Q15" s="29" t="e">
        <f t="shared" si="3"/>
        <v>#DIV/0!</v>
      </c>
      <c r="R15" s="87">
        <f>Tabela2736[[#This Row],[Nº]]</f>
        <v>11</v>
      </c>
      <c r="S15" s="41"/>
      <c r="T15" s="42"/>
      <c r="U15" s="28" t="e">
        <f t="shared" si="4"/>
        <v>#DIV/0!</v>
      </c>
      <c r="V15" s="39"/>
      <c r="W15" s="40"/>
      <c r="X15" s="29" t="e">
        <f t="shared" si="5"/>
        <v>#DIV/0!</v>
      </c>
      <c r="Y15" s="87">
        <f>Tabela2736[[#This Row],[Nº]]</f>
        <v>11</v>
      </c>
      <c r="Z15" s="41"/>
      <c r="AA15" s="42"/>
      <c r="AB15" s="28" t="e">
        <f t="shared" si="6"/>
        <v>#DIV/0!</v>
      </c>
      <c r="AC15" s="39"/>
      <c r="AD15" s="40"/>
      <c r="AE15" s="30" t="e">
        <f t="shared" si="7"/>
        <v>#DIV/0!</v>
      </c>
    </row>
    <row r="16" spans="1:31" ht="15">
      <c r="A16" s="72">
        <v>12</v>
      </c>
      <c r="B16" s="60" t="str">
        <f>IF('2P-A'!B14&lt;&gt;0,'2P-A'!B14,"")</f>
        <v/>
      </c>
      <c r="C16" s="61" t="str">
        <f>IF('2P-A'!C14&lt;&gt;0,'2P-A'!C14,"")</f>
        <v/>
      </c>
      <c r="D16" s="62" t="str">
        <f>IF('2P-A'!D14&lt;&gt;0,'2P-A'!D14,"")</f>
        <v/>
      </c>
      <c r="E16" s="43"/>
      <c r="F16" s="42"/>
      <c r="G16" s="28" t="e">
        <f t="shared" si="0"/>
        <v>#DIV/0!</v>
      </c>
      <c r="H16" s="39"/>
      <c r="I16" s="40"/>
      <c r="J16" s="29" t="e">
        <f t="shared" si="1"/>
        <v>#DIV/0!</v>
      </c>
      <c r="K16" s="87">
        <f>Tabela2736[[#This Row],[Nº]]</f>
        <v>12</v>
      </c>
      <c r="L16" s="41"/>
      <c r="M16" s="42"/>
      <c r="N16" s="28" t="e">
        <f t="shared" si="2"/>
        <v>#DIV/0!</v>
      </c>
      <c r="O16" s="39"/>
      <c r="P16" s="40"/>
      <c r="Q16" s="29" t="e">
        <f t="shared" si="3"/>
        <v>#DIV/0!</v>
      </c>
      <c r="R16" s="87">
        <f>Tabela2736[[#This Row],[Nº]]</f>
        <v>12</v>
      </c>
      <c r="S16" s="41"/>
      <c r="T16" s="42"/>
      <c r="U16" s="28" t="e">
        <f t="shared" si="4"/>
        <v>#DIV/0!</v>
      </c>
      <c r="V16" s="39"/>
      <c r="W16" s="40"/>
      <c r="X16" s="29" t="e">
        <f t="shared" si="5"/>
        <v>#DIV/0!</v>
      </c>
      <c r="Y16" s="87">
        <f>Tabela2736[[#This Row],[Nº]]</f>
        <v>12</v>
      </c>
      <c r="Z16" s="41"/>
      <c r="AA16" s="42"/>
      <c r="AB16" s="28" t="e">
        <f t="shared" si="6"/>
        <v>#DIV/0!</v>
      </c>
      <c r="AC16" s="39"/>
      <c r="AD16" s="40"/>
      <c r="AE16" s="30" t="e">
        <f t="shared" si="7"/>
        <v>#DIV/0!</v>
      </c>
    </row>
    <row r="17" spans="1:31" ht="15">
      <c r="A17" s="72">
        <v>13</v>
      </c>
      <c r="B17" s="60" t="str">
        <f>IF('2P-A'!B15&lt;&gt;0,'2P-A'!B15,"")</f>
        <v/>
      </c>
      <c r="C17" s="61" t="str">
        <f>IF('2P-A'!C15&lt;&gt;0,'2P-A'!C15,"")</f>
        <v/>
      </c>
      <c r="D17" s="62" t="str">
        <f>IF('2P-A'!D15&lt;&gt;0,'2P-A'!D15,"")</f>
        <v/>
      </c>
      <c r="E17" s="43"/>
      <c r="F17" s="42"/>
      <c r="G17" s="28" t="e">
        <f t="shared" si="0"/>
        <v>#DIV/0!</v>
      </c>
      <c r="H17" s="39"/>
      <c r="I17" s="40"/>
      <c r="J17" s="29" t="e">
        <f t="shared" si="1"/>
        <v>#DIV/0!</v>
      </c>
      <c r="K17" s="87">
        <f>Tabela2736[[#This Row],[Nº]]</f>
        <v>13</v>
      </c>
      <c r="L17" s="41"/>
      <c r="M17" s="42"/>
      <c r="N17" s="28" t="e">
        <f t="shared" si="2"/>
        <v>#DIV/0!</v>
      </c>
      <c r="O17" s="39"/>
      <c r="P17" s="40"/>
      <c r="Q17" s="29" t="e">
        <f t="shared" si="3"/>
        <v>#DIV/0!</v>
      </c>
      <c r="R17" s="87">
        <f>Tabela2736[[#This Row],[Nº]]</f>
        <v>13</v>
      </c>
      <c r="S17" s="41"/>
      <c r="T17" s="42"/>
      <c r="U17" s="28" t="e">
        <f t="shared" si="4"/>
        <v>#DIV/0!</v>
      </c>
      <c r="V17" s="39"/>
      <c r="W17" s="40"/>
      <c r="X17" s="29" t="e">
        <f t="shared" si="5"/>
        <v>#DIV/0!</v>
      </c>
      <c r="Y17" s="87">
        <f>Tabela2736[[#This Row],[Nº]]</f>
        <v>13</v>
      </c>
      <c r="Z17" s="41"/>
      <c r="AA17" s="42"/>
      <c r="AB17" s="28" t="e">
        <f t="shared" si="6"/>
        <v>#DIV/0!</v>
      </c>
      <c r="AC17" s="39"/>
      <c r="AD17" s="40"/>
      <c r="AE17" s="30" t="e">
        <f t="shared" si="7"/>
        <v>#DIV/0!</v>
      </c>
    </row>
    <row r="18" spans="1:31" ht="15">
      <c r="A18" s="72">
        <v>14</v>
      </c>
      <c r="B18" s="60" t="str">
        <f>IF('2P-A'!B16&lt;&gt;0,'2P-A'!B16,"")</f>
        <v/>
      </c>
      <c r="C18" s="61" t="str">
        <f>IF('2P-A'!C16&lt;&gt;0,'2P-A'!C16,"")</f>
        <v/>
      </c>
      <c r="D18" s="62" t="str">
        <f>IF('2P-A'!D16&lt;&gt;0,'2P-A'!D16,"")</f>
        <v/>
      </c>
      <c r="E18" s="43"/>
      <c r="F18" s="42"/>
      <c r="G18" s="28" t="e">
        <f t="shared" si="0"/>
        <v>#DIV/0!</v>
      </c>
      <c r="H18" s="39"/>
      <c r="I18" s="40"/>
      <c r="J18" s="29" t="e">
        <f t="shared" si="1"/>
        <v>#DIV/0!</v>
      </c>
      <c r="K18" s="87">
        <f>Tabela2736[[#This Row],[Nº]]</f>
        <v>14</v>
      </c>
      <c r="L18" s="41"/>
      <c r="M18" s="42"/>
      <c r="N18" s="28" t="e">
        <f t="shared" si="2"/>
        <v>#DIV/0!</v>
      </c>
      <c r="O18" s="39"/>
      <c r="P18" s="40"/>
      <c r="Q18" s="29" t="e">
        <f t="shared" si="3"/>
        <v>#DIV/0!</v>
      </c>
      <c r="R18" s="87">
        <f>Tabela2736[[#This Row],[Nº]]</f>
        <v>14</v>
      </c>
      <c r="S18" s="41"/>
      <c r="T18" s="42"/>
      <c r="U18" s="28" t="e">
        <f t="shared" si="4"/>
        <v>#DIV/0!</v>
      </c>
      <c r="V18" s="39"/>
      <c r="W18" s="40"/>
      <c r="X18" s="29" t="e">
        <f t="shared" si="5"/>
        <v>#DIV/0!</v>
      </c>
      <c r="Y18" s="87">
        <f>Tabela2736[[#This Row],[Nº]]</f>
        <v>14</v>
      </c>
      <c r="Z18" s="41"/>
      <c r="AA18" s="42"/>
      <c r="AB18" s="28" t="e">
        <f t="shared" si="6"/>
        <v>#DIV/0!</v>
      </c>
      <c r="AC18" s="39"/>
      <c r="AD18" s="40"/>
      <c r="AE18" s="30" t="e">
        <f t="shared" si="7"/>
        <v>#DIV/0!</v>
      </c>
    </row>
    <row r="19" spans="1:31" ht="15">
      <c r="A19" s="72">
        <v>15</v>
      </c>
      <c r="B19" s="60" t="str">
        <f>IF('2P-A'!B17&lt;&gt;0,'2P-A'!B17,"")</f>
        <v/>
      </c>
      <c r="C19" s="61" t="str">
        <f>IF('2P-A'!C17&lt;&gt;0,'2P-A'!C17,"")</f>
        <v/>
      </c>
      <c r="D19" s="62" t="str">
        <f>IF('2P-A'!D17&lt;&gt;0,'2P-A'!D17,"")</f>
        <v/>
      </c>
      <c r="E19" s="43"/>
      <c r="F19" s="42"/>
      <c r="G19" s="28" t="e">
        <f t="shared" si="0"/>
        <v>#DIV/0!</v>
      </c>
      <c r="H19" s="39"/>
      <c r="I19" s="40"/>
      <c r="J19" s="29" t="e">
        <f t="shared" si="1"/>
        <v>#DIV/0!</v>
      </c>
      <c r="K19" s="87">
        <f>Tabela2736[[#This Row],[Nº]]</f>
        <v>15</v>
      </c>
      <c r="L19" s="41"/>
      <c r="M19" s="42"/>
      <c r="N19" s="28" t="e">
        <f t="shared" si="2"/>
        <v>#DIV/0!</v>
      </c>
      <c r="O19" s="39"/>
      <c r="P19" s="40"/>
      <c r="Q19" s="29" t="e">
        <f t="shared" si="3"/>
        <v>#DIV/0!</v>
      </c>
      <c r="R19" s="87">
        <f>Tabela2736[[#This Row],[Nº]]</f>
        <v>15</v>
      </c>
      <c r="S19" s="41"/>
      <c r="T19" s="42"/>
      <c r="U19" s="28" t="e">
        <f t="shared" si="4"/>
        <v>#DIV/0!</v>
      </c>
      <c r="V19" s="39"/>
      <c r="W19" s="40"/>
      <c r="X19" s="29" t="e">
        <f t="shared" si="5"/>
        <v>#DIV/0!</v>
      </c>
      <c r="Y19" s="87">
        <f>Tabela2736[[#This Row],[Nº]]</f>
        <v>15</v>
      </c>
      <c r="Z19" s="41"/>
      <c r="AA19" s="42"/>
      <c r="AB19" s="28" t="e">
        <f t="shared" si="6"/>
        <v>#DIV/0!</v>
      </c>
      <c r="AC19" s="39"/>
      <c r="AD19" s="40"/>
      <c r="AE19" s="30" t="e">
        <f t="shared" si="7"/>
        <v>#DIV/0!</v>
      </c>
    </row>
    <row r="20" spans="1:31" ht="15">
      <c r="A20" s="72">
        <v>16</v>
      </c>
      <c r="B20" s="60" t="str">
        <f>IF('2P-A'!B18&lt;&gt;0,'2P-A'!B18,"")</f>
        <v/>
      </c>
      <c r="C20" s="61" t="str">
        <f>IF('2P-A'!C18&lt;&gt;0,'2P-A'!C18,"")</f>
        <v/>
      </c>
      <c r="D20" s="62" t="str">
        <f>IF('2P-A'!D18&lt;&gt;0,'2P-A'!D18,"")</f>
        <v/>
      </c>
      <c r="E20" s="43"/>
      <c r="F20" s="42"/>
      <c r="G20" s="28" t="e">
        <f t="shared" si="0"/>
        <v>#DIV/0!</v>
      </c>
      <c r="H20" s="39"/>
      <c r="I20" s="40"/>
      <c r="J20" s="29" t="e">
        <f t="shared" si="1"/>
        <v>#DIV/0!</v>
      </c>
      <c r="K20" s="87">
        <f>Tabela2736[[#This Row],[Nº]]</f>
        <v>16</v>
      </c>
      <c r="L20" s="41"/>
      <c r="M20" s="42"/>
      <c r="N20" s="28" t="e">
        <f t="shared" si="2"/>
        <v>#DIV/0!</v>
      </c>
      <c r="O20" s="39"/>
      <c r="P20" s="40"/>
      <c r="Q20" s="29" t="e">
        <f t="shared" si="3"/>
        <v>#DIV/0!</v>
      </c>
      <c r="R20" s="87">
        <f>Tabela2736[[#This Row],[Nº]]</f>
        <v>16</v>
      </c>
      <c r="S20" s="41"/>
      <c r="T20" s="42"/>
      <c r="U20" s="28" t="e">
        <f t="shared" si="4"/>
        <v>#DIV/0!</v>
      </c>
      <c r="V20" s="39"/>
      <c r="W20" s="40"/>
      <c r="X20" s="29" t="e">
        <f t="shared" si="5"/>
        <v>#DIV/0!</v>
      </c>
      <c r="Y20" s="87">
        <f>Tabela2736[[#This Row],[Nº]]</f>
        <v>16</v>
      </c>
      <c r="Z20" s="41"/>
      <c r="AA20" s="42"/>
      <c r="AB20" s="28" t="e">
        <f t="shared" si="6"/>
        <v>#DIV/0!</v>
      </c>
      <c r="AC20" s="39"/>
      <c r="AD20" s="40"/>
      <c r="AE20" s="30" t="e">
        <f t="shared" si="7"/>
        <v>#DIV/0!</v>
      </c>
    </row>
    <row r="21" spans="1:31" ht="15">
      <c r="A21" s="72">
        <v>17</v>
      </c>
      <c r="B21" s="60" t="str">
        <f>IF('2P-A'!B19&lt;&gt;0,'2P-A'!B19,"")</f>
        <v/>
      </c>
      <c r="C21" s="61" t="str">
        <f>IF('2P-A'!C19&lt;&gt;0,'2P-A'!C19,"")</f>
        <v/>
      </c>
      <c r="D21" s="62" t="str">
        <f>IF('2P-A'!D19&lt;&gt;0,'2P-A'!D19,"")</f>
        <v/>
      </c>
      <c r="E21" s="43"/>
      <c r="F21" s="42"/>
      <c r="G21" s="28" t="e">
        <f t="shared" si="0"/>
        <v>#DIV/0!</v>
      </c>
      <c r="H21" s="39"/>
      <c r="I21" s="40"/>
      <c r="J21" s="29" t="e">
        <f t="shared" si="1"/>
        <v>#DIV/0!</v>
      </c>
      <c r="K21" s="87">
        <f>Tabela2736[[#This Row],[Nº]]</f>
        <v>17</v>
      </c>
      <c r="L21" s="41"/>
      <c r="M21" s="42"/>
      <c r="N21" s="28" t="e">
        <f t="shared" si="2"/>
        <v>#DIV/0!</v>
      </c>
      <c r="O21" s="39"/>
      <c r="P21" s="40"/>
      <c r="Q21" s="29" t="e">
        <f t="shared" si="3"/>
        <v>#DIV/0!</v>
      </c>
      <c r="R21" s="87">
        <f>Tabela2736[[#This Row],[Nº]]</f>
        <v>17</v>
      </c>
      <c r="S21" s="41"/>
      <c r="T21" s="42"/>
      <c r="U21" s="28" t="e">
        <f t="shared" si="4"/>
        <v>#DIV/0!</v>
      </c>
      <c r="V21" s="39"/>
      <c r="W21" s="40"/>
      <c r="X21" s="29" t="e">
        <f t="shared" si="5"/>
        <v>#DIV/0!</v>
      </c>
      <c r="Y21" s="87">
        <f>Tabela2736[[#This Row],[Nº]]</f>
        <v>17</v>
      </c>
      <c r="Z21" s="41"/>
      <c r="AA21" s="42"/>
      <c r="AB21" s="28" t="e">
        <f t="shared" si="6"/>
        <v>#DIV/0!</v>
      </c>
      <c r="AC21" s="39"/>
      <c r="AD21" s="40"/>
      <c r="AE21" s="30" t="e">
        <f t="shared" si="7"/>
        <v>#DIV/0!</v>
      </c>
    </row>
    <row r="22" spans="1:31" ht="15">
      <c r="A22" s="72">
        <v>18</v>
      </c>
      <c r="B22" s="60" t="str">
        <f>IF('2P-A'!B20&lt;&gt;0,'2P-A'!B20,"")</f>
        <v/>
      </c>
      <c r="C22" s="61" t="str">
        <f>IF('2P-A'!C20&lt;&gt;0,'2P-A'!C20,"")</f>
        <v/>
      </c>
      <c r="D22" s="62" t="str">
        <f>IF('2P-A'!D20&lt;&gt;0,'2P-A'!D20,"")</f>
        <v/>
      </c>
      <c r="E22" s="43"/>
      <c r="F22" s="42"/>
      <c r="G22" s="28" t="e">
        <f t="shared" si="0"/>
        <v>#DIV/0!</v>
      </c>
      <c r="H22" s="39"/>
      <c r="I22" s="40"/>
      <c r="J22" s="29" t="e">
        <f t="shared" si="1"/>
        <v>#DIV/0!</v>
      </c>
      <c r="K22" s="87">
        <f>Tabela2736[[#This Row],[Nº]]</f>
        <v>18</v>
      </c>
      <c r="L22" s="41"/>
      <c r="M22" s="42"/>
      <c r="N22" s="28" t="e">
        <f t="shared" si="2"/>
        <v>#DIV/0!</v>
      </c>
      <c r="O22" s="39"/>
      <c r="P22" s="40"/>
      <c r="Q22" s="29" t="e">
        <f t="shared" si="3"/>
        <v>#DIV/0!</v>
      </c>
      <c r="R22" s="87">
        <f>Tabela2736[[#This Row],[Nº]]</f>
        <v>18</v>
      </c>
      <c r="S22" s="41"/>
      <c r="T22" s="42"/>
      <c r="U22" s="28" t="e">
        <f t="shared" si="4"/>
        <v>#DIV/0!</v>
      </c>
      <c r="V22" s="39"/>
      <c r="W22" s="40"/>
      <c r="X22" s="29" t="e">
        <f t="shared" si="5"/>
        <v>#DIV/0!</v>
      </c>
      <c r="Y22" s="87">
        <f>Tabela2736[[#This Row],[Nº]]</f>
        <v>18</v>
      </c>
      <c r="Z22" s="41"/>
      <c r="AA22" s="42"/>
      <c r="AB22" s="28" t="e">
        <f t="shared" si="6"/>
        <v>#DIV/0!</v>
      </c>
      <c r="AC22" s="39"/>
      <c r="AD22" s="40"/>
      <c r="AE22" s="30" t="e">
        <f t="shared" si="7"/>
        <v>#DIV/0!</v>
      </c>
    </row>
    <row r="23" spans="1:31" ht="15">
      <c r="A23" s="72">
        <v>19</v>
      </c>
      <c r="B23" s="60" t="str">
        <f>IF('2P-A'!B21&lt;&gt;0,'2P-A'!B21,"")</f>
        <v/>
      </c>
      <c r="C23" s="61" t="str">
        <f>IF('2P-A'!C21&lt;&gt;0,'2P-A'!C21,"")</f>
        <v/>
      </c>
      <c r="D23" s="62" t="str">
        <f>IF('2P-A'!D21&lt;&gt;0,'2P-A'!D21,"")</f>
        <v/>
      </c>
      <c r="E23" s="43"/>
      <c r="F23" s="42"/>
      <c r="G23" s="28" t="e">
        <f t="shared" si="0"/>
        <v>#DIV/0!</v>
      </c>
      <c r="H23" s="39"/>
      <c r="I23" s="40"/>
      <c r="J23" s="29" t="e">
        <f t="shared" si="1"/>
        <v>#DIV/0!</v>
      </c>
      <c r="K23" s="87">
        <f>Tabela2736[[#This Row],[Nº]]</f>
        <v>19</v>
      </c>
      <c r="L23" s="41"/>
      <c r="M23" s="42"/>
      <c r="N23" s="28" t="e">
        <f t="shared" si="2"/>
        <v>#DIV/0!</v>
      </c>
      <c r="O23" s="39"/>
      <c r="P23" s="40"/>
      <c r="Q23" s="29" t="e">
        <f t="shared" si="3"/>
        <v>#DIV/0!</v>
      </c>
      <c r="R23" s="87">
        <f>Tabela2736[[#This Row],[Nº]]</f>
        <v>19</v>
      </c>
      <c r="S23" s="41"/>
      <c r="T23" s="42"/>
      <c r="U23" s="28" t="e">
        <f t="shared" si="4"/>
        <v>#DIV/0!</v>
      </c>
      <c r="V23" s="39"/>
      <c r="W23" s="40"/>
      <c r="X23" s="29" t="e">
        <f t="shared" si="5"/>
        <v>#DIV/0!</v>
      </c>
      <c r="Y23" s="87">
        <f>Tabela2736[[#This Row],[Nº]]</f>
        <v>19</v>
      </c>
      <c r="Z23" s="41"/>
      <c r="AA23" s="42"/>
      <c r="AB23" s="28" t="e">
        <f t="shared" si="6"/>
        <v>#DIV/0!</v>
      </c>
      <c r="AC23" s="39"/>
      <c r="AD23" s="40"/>
      <c r="AE23" s="30" t="e">
        <f t="shared" si="7"/>
        <v>#DIV/0!</v>
      </c>
    </row>
    <row r="24" spans="1:31" ht="15">
      <c r="A24" s="72">
        <v>20</v>
      </c>
      <c r="B24" s="60" t="str">
        <f>IF('2P-A'!B22&lt;&gt;0,'2P-A'!B22,"")</f>
        <v/>
      </c>
      <c r="C24" s="61" t="str">
        <f>IF('2P-A'!C22&lt;&gt;0,'2P-A'!C22,"")</f>
        <v/>
      </c>
      <c r="D24" s="62" t="str">
        <f>IF('2P-A'!D22&lt;&gt;0,'2P-A'!D22,"")</f>
        <v/>
      </c>
      <c r="E24" s="43"/>
      <c r="F24" s="42"/>
      <c r="G24" s="28" t="e">
        <f t="shared" si="0"/>
        <v>#DIV/0!</v>
      </c>
      <c r="H24" s="39"/>
      <c r="I24" s="40"/>
      <c r="J24" s="29" t="e">
        <f t="shared" si="1"/>
        <v>#DIV/0!</v>
      </c>
      <c r="K24" s="87">
        <f>Tabela2736[[#This Row],[Nº]]</f>
        <v>20</v>
      </c>
      <c r="L24" s="41"/>
      <c r="M24" s="42"/>
      <c r="N24" s="28" t="e">
        <f t="shared" si="2"/>
        <v>#DIV/0!</v>
      </c>
      <c r="O24" s="39"/>
      <c r="P24" s="40"/>
      <c r="Q24" s="29" t="e">
        <f t="shared" si="3"/>
        <v>#DIV/0!</v>
      </c>
      <c r="R24" s="87">
        <f>Tabela2736[[#This Row],[Nº]]</f>
        <v>20</v>
      </c>
      <c r="S24" s="41"/>
      <c r="T24" s="42"/>
      <c r="U24" s="28" t="e">
        <f t="shared" si="4"/>
        <v>#DIV/0!</v>
      </c>
      <c r="V24" s="39"/>
      <c r="W24" s="40"/>
      <c r="X24" s="29" t="e">
        <f t="shared" si="5"/>
        <v>#DIV/0!</v>
      </c>
      <c r="Y24" s="87">
        <f>Tabela2736[[#This Row],[Nº]]</f>
        <v>20</v>
      </c>
      <c r="Z24" s="41"/>
      <c r="AA24" s="42"/>
      <c r="AB24" s="28" t="e">
        <f t="shared" si="6"/>
        <v>#DIV/0!</v>
      </c>
      <c r="AC24" s="39"/>
      <c r="AD24" s="40"/>
      <c r="AE24" s="30" t="e">
        <f t="shared" si="7"/>
        <v>#DIV/0!</v>
      </c>
    </row>
    <row r="25" spans="1:31" ht="15">
      <c r="A25" s="72">
        <v>21</v>
      </c>
      <c r="B25" s="60" t="str">
        <f>IF('2P-A'!B23&lt;&gt;0,'2P-A'!B23,"")</f>
        <v/>
      </c>
      <c r="C25" s="61" t="str">
        <f>IF('2P-A'!C23&lt;&gt;0,'2P-A'!C23,"")</f>
        <v/>
      </c>
      <c r="D25" s="62" t="str">
        <f>IF('2P-A'!D23&lt;&gt;0,'2P-A'!D23,"")</f>
        <v/>
      </c>
      <c r="E25" s="43"/>
      <c r="F25" s="42"/>
      <c r="G25" s="28" t="e">
        <f t="shared" si="0"/>
        <v>#DIV/0!</v>
      </c>
      <c r="H25" s="39"/>
      <c r="I25" s="40"/>
      <c r="J25" s="29" t="e">
        <f t="shared" si="1"/>
        <v>#DIV/0!</v>
      </c>
      <c r="K25" s="87">
        <f>Tabela2736[[#This Row],[Nº]]</f>
        <v>21</v>
      </c>
      <c r="L25" s="41"/>
      <c r="M25" s="42"/>
      <c r="N25" s="28" t="e">
        <f t="shared" si="2"/>
        <v>#DIV/0!</v>
      </c>
      <c r="O25" s="39"/>
      <c r="P25" s="40"/>
      <c r="Q25" s="29" t="e">
        <f t="shared" si="3"/>
        <v>#DIV/0!</v>
      </c>
      <c r="R25" s="87">
        <f>Tabela2736[[#This Row],[Nº]]</f>
        <v>21</v>
      </c>
      <c r="S25" s="41"/>
      <c r="T25" s="42"/>
      <c r="U25" s="28" t="e">
        <f t="shared" si="4"/>
        <v>#DIV/0!</v>
      </c>
      <c r="V25" s="39"/>
      <c r="W25" s="40"/>
      <c r="X25" s="29" t="e">
        <f t="shared" si="5"/>
        <v>#DIV/0!</v>
      </c>
      <c r="Y25" s="87">
        <f>Tabela2736[[#This Row],[Nº]]</f>
        <v>21</v>
      </c>
      <c r="Z25" s="41"/>
      <c r="AA25" s="42"/>
      <c r="AB25" s="28" t="e">
        <f t="shared" si="6"/>
        <v>#DIV/0!</v>
      </c>
      <c r="AC25" s="39"/>
      <c r="AD25" s="40"/>
      <c r="AE25" s="30" t="e">
        <f t="shared" si="7"/>
        <v>#DIV/0!</v>
      </c>
    </row>
    <row r="26" spans="1:31" ht="15">
      <c r="A26" s="72">
        <v>22</v>
      </c>
      <c r="B26" s="60" t="str">
        <f>IF('2P-A'!B24&lt;&gt;0,'2P-A'!B24,"")</f>
        <v/>
      </c>
      <c r="C26" s="61" t="str">
        <f>IF('2P-A'!C24&lt;&gt;0,'2P-A'!C24,"")</f>
        <v/>
      </c>
      <c r="D26" s="62" t="str">
        <f>IF('2P-A'!D24&lt;&gt;0,'2P-A'!D24,"")</f>
        <v/>
      </c>
      <c r="E26" s="43"/>
      <c r="F26" s="42"/>
      <c r="G26" s="28" t="e">
        <f t="shared" si="0"/>
        <v>#DIV/0!</v>
      </c>
      <c r="H26" s="39"/>
      <c r="I26" s="40"/>
      <c r="J26" s="29" t="e">
        <f t="shared" si="1"/>
        <v>#DIV/0!</v>
      </c>
      <c r="K26" s="87">
        <f>Tabela2736[[#This Row],[Nº]]</f>
        <v>22</v>
      </c>
      <c r="L26" s="41"/>
      <c r="M26" s="42"/>
      <c r="N26" s="28" t="e">
        <f t="shared" si="2"/>
        <v>#DIV/0!</v>
      </c>
      <c r="O26" s="39"/>
      <c r="P26" s="40"/>
      <c r="Q26" s="29" t="e">
        <f t="shared" si="3"/>
        <v>#DIV/0!</v>
      </c>
      <c r="R26" s="87">
        <f>Tabela2736[[#This Row],[Nº]]</f>
        <v>22</v>
      </c>
      <c r="S26" s="41"/>
      <c r="T26" s="42"/>
      <c r="U26" s="28" t="e">
        <f t="shared" si="4"/>
        <v>#DIV/0!</v>
      </c>
      <c r="V26" s="39"/>
      <c r="W26" s="40"/>
      <c r="X26" s="29" t="e">
        <f t="shared" si="5"/>
        <v>#DIV/0!</v>
      </c>
      <c r="Y26" s="87">
        <f>Tabela2736[[#This Row],[Nº]]</f>
        <v>22</v>
      </c>
      <c r="Z26" s="41"/>
      <c r="AA26" s="42"/>
      <c r="AB26" s="28" t="e">
        <f t="shared" si="6"/>
        <v>#DIV/0!</v>
      </c>
      <c r="AC26" s="39"/>
      <c r="AD26" s="40"/>
      <c r="AE26" s="30" t="e">
        <f t="shared" si="7"/>
        <v>#DIV/0!</v>
      </c>
    </row>
    <row r="27" spans="1:31" ht="15">
      <c r="A27" s="72">
        <v>23</v>
      </c>
      <c r="B27" s="60" t="str">
        <f>IF('2P-A'!B25&lt;&gt;0,'2P-A'!B25,"")</f>
        <v/>
      </c>
      <c r="C27" s="61" t="str">
        <f>IF('2P-A'!C25&lt;&gt;0,'2P-A'!C25,"")</f>
        <v/>
      </c>
      <c r="D27" s="62" t="str">
        <f>IF('2P-A'!D25&lt;&gt;0,'2P-A'!D25,"")</f>
        <v/>
      </c>
      <c r="E27" s="43"/>
      <c r="F27" s="42"/>
      <c r="G27" s="28" t="e">
        <f t="shared" si="0"/>
        <v>#DIV/0!</v>
      </c>
      <c r="H27" s="39"/>
      <c r="I27" s="40"/>
      <c r="J27" s="29" t="e">
        <f t="shared" si="1"/>
        <v>#DIV/0!</v>
      </c>
      <c r="K27" s="87">
        <f>Tabela2736[[#This Row],[Nº]]</f>
        <v>23</v>
      </c>
      <c r="L27" s="41"/>
      <c r="M27" s="42"/>
      <c r="N27" s="28" t="e">
        <f t="shared" si="2"/>
        <v>#DIV/0!</v>
      </c>
      <c r="O27" s="39"/>
      <c r="P27" s="40"/>
      <c r="Q27" s="29" t="e">
        <f t="shared" si="3"/>
        <v>#DIV/0!</v>
      </c>
      <c r="R27" s="87">
        <f>Tabela2736[[#This Row],[Nº]]</f>
        <v>23</v>
      </c>
      <c r="S27" s="41"/>
      <c r="T27" s="42"/>
      <c r="U27" s="28" t="e">
        <f t="shared" si="4"/>
        <v>#DIV/0!</v>
      </c>
      <c r="V27" s="39"/>
      <c r="W27" s="40"/>
      <c r="X27" s="29" t="e">
        <f t="shared" si="5"/>
        <v>#DIV/0!</v>
      </c>
      <c r="Y27" s="87">
        <f>Tabela2736[[#This Row],[Nº]]</f>
        <v>23</v>
      </c>
      <c r="Z27" s="41"/>
      <c r="AA27" s="42"/>
      <c r="AB27" s="28" t="e">
        <f t="shared" si="6"/>
        <v>#DIV/0!</v>
      </c>
      <c r="AC27" s="39"/>
      <c r="AD27" s="40"/>
      <c r="AE27" s="30" t="e">
        <f t="shared" si="7"/>
        <v>#DIV/0!</v>
      </c>
    </row>
    <row r="28" spans="1:31" ht="15">
      <c r="A28" s="72">
        <v>24</v>
      </c>
      <c r="B28" s="60" t="str">
        <f>IF('2P-A'!B26&lt;&gt;0,'2P-A'!B26,"")</f>
        <v/>
      </c>
      <c r="C28" s="61" t="str">
        <f>IF('2P-A'!C26&lt;&gt;0,'2P-A'!C26,"")</f>
        <v/>
      </c>
      <c r="D28" s="62" t="str">
        <f>IF('2P-A'!D26&lt;&gt;0,'2P-A'!D26,"")</f>
        <v/>
      </c>
      <c r="E28" s="43"/>
      <c r="F28" s="42"/>
      <c r="G28" s="28" t="e">
        <f t="shared" si="0"/>
        <v>#DIV/0!</v>
      </c>
      <c r="H28" s="39"/>
      <c r="I28" s="40"/>
      <c r="J28" s="29" t="e">
        <f t="shared" si="1"/>
        <v>#DIV/0!</v>
      </c>
      <c r="K28" s="87">
        <f>Tabela2736[[#This Row],[Nº]]</f>
        <v>24</v>
      </c>
      <c r="L28" s="41"/>
      <c r="M28" s="42"/>
      <c r="N28" s="28" t="e">
        <f t="shared" si="2"/>
        <v>#DIV/0!</v>
      </c>
      <c r="O28" s="39"/>
      <c r="P28" s="40"/>
      <c r="Q28" s="29" t="e">
        <f t="shared" si="3"/>
        <v>#DIV/0!</v>
      </c>
      <c r="R28" s="87">
        <f>Tabela2736[[#This Row],[Nº]]</f>
        <v>24</v>
      </c>
      <c r="S28" s="41"/>
      <c r="T28" s="42"/>
      <c r="U28" s="28" t="e">
        <f t="shared" si="4"/>
        <v>#DIV/0!</v>
      </c>
      <c r="V28" s="39"/>
      <c r="W28" s="40"/>
      <c r="X28" s="29" t="e">
        <f t="shared" si="5"/>
        <v>#DIV/0!</v>
      </c>
      <c r="Y28" s="87">
        <f>Tabela2736[[#This Row],[Nº]]</f>
        <v>24</v>
      </c>
      <c r="Z28" s="41"/>
      <c r="AA28" s="42"/>
      <c r="AB28" s="28" t="e">
        <f t="shared" si="6"/>
        <v>#DIV/0!</v>
      </c>
      <c r="AC28" s="39"/>
      <c r="AD28" s="40"/>
      <c r="AE28" s="30" t="e">
        <f t="shared" si="7"/>
        <v>#DIV/0!</v>
      </c>
    </row>
    <row r="29" spans="1:31" ht="15">
      <c r="A29" s="72">
        <v>25</v>
      </c>
      <c r="B29" s="60" t="str">
        <f>IF('2P-A'!B27&lt;&gt;0,'2P-A'!B27,"")</f>
        <v/>
      </c>
      <c r="C29" s="61" t="str">
        <f>IF('2P-A'!C27&lt;&gt;0,'2P-A'!C27,"")</f>
        <v/>
      </c>
      <c r="D29" s="62" t="str">
        <f>IF('2P-A'!D27&lt;&gt;0,'2P-A'!D27,"")</f>
        <v/>
      </c>
      <c r="E29" s="43"/>
      <c r="F29" s="42"/>
      <c r="G29" s="28" t="e">
        <f t="shared" si="0"/>
        <v>#DIV/0!</v>
      </c>
      <c r="H29" s="39"/>
      <c r="I29" s="40"/>
      <c r="J29" s="29" t="e">
        <f t="shared" si="1"/>
        <v>#DIV/0!</v>
      </c>
      <c r="K29" s="87">
        <f>Tabela2736[[#This Row],[Nº]]</f>
        <v>25</v>
      </c>
      <c r="L29" s="41"/>
      <c r="M29" s="42"/>
      <c r="N29" s="28" t="e">
        <f t="shared" si="2"/>
        <v>#DIV/0!</v>
      </c>
      <c r="O29" s="39"/>
      <c r="P29" s="40"/>
      <c r="Q29" s="29" t="e">
        <f t="shared" si="3"/>
        <v>#DIV/0!</v>
      </c>
      <c r="R29" s="87">
        <f>Tabela2736[[#This Row],[Nº]]</f>
        <v>25</v>
      </c>
      <c r="S29" s="41"/>
      <c r="T29" s="42"/>
      <c r="U29" s="28" t="e">
        <f t="shared" si="4"/>
        <v>#DIV/0!</v>
      </c>
      <c r="V29" s="39"/>
      <c r="W29" s="40"/>
      <c r="X29" s="29" t="e">
        <f t="shared" si="5"/>
        <v>#DIV/0!</v>
      </c>
      <c r="Y29" s="87">
        <f>Tabela2736[[#This Row],[Nº]]</f>
        <v>25</v>
      </c>
      <c r="Z29" s="41"/>
      <c r="AA29" s="42"/>
      <c r="AB29" s="28" t="e">
        <f t="shared" si="6"/>
        <v>#DIV/0!</v>
      </c>
      <c r="AC29" s="39"/>
      <c r="AD29" s="40"/>
      <c r="AE29" s="30" t="e">
        <f t="shared" si="7"/>
        <v>#DIV/0!</v>
      </c>
    </row>
  </sheetData>
  <sheetProtection algorithmName="SHA-512" hashValue="CWN+E2eR2fGaNvszOjKjSo1M1dBP+jryS+ZLdl3Lc7c0AjV5i7Iutw2jvcDC08+KqGF0jRubCL1peD1d8Sv++Q==" saltValue="FlOd3L9yAisCu9CgmOi2XQ==" spinCount="100000" sheet="1" objects="1" scenarios="1" selectLockedCells="1"/>
  <mergeCells count="12">
    <mergeCell ref="Z3:AB3"/>
    <mergeCell ref="AC3:AE3"/>
    <mergeCell ref="A1:D3"/>
    <mergeCell ref="E1:AE1"/>
    <mergeCell ref="E2:Q2"/>
    <mergeCell ref="S2:AE2"/>
    <mergeCell ref="E3:G3"/>
    <mergeCell ref="H3:J3"/>
    <mergeCell ref="L3:N3"/>
    <mergeCell ref="O3:Q3"/>
    <mergeCell ref="S3:U3"/>
    <mergeCell ref="V3:X3"/>
  </mergeCells>
  <conditionalFormatting sqref="A5:D29">
    <cfRule type="expression" dxfId="234" priority="11">
      <formula>ROW()=CELL("LIN")</formula>
    </cfRule>
    <cfRule type="expression" dxfId="233" priority="12">
      <formula>IF($D5&lt;&gt;"",1,0)</formula>
    </cfRule>
  </conditionalFormatting>
  <conditionalFormatting sqref="G5:G29">
    <cfRule type="iconSet" priority="8">
      <iconSet iconSet="3Symbols">
        <cfvo type="percent" val="0"/>
        <cfvo type="num" val="0.6"/>
        <cfvo type="num" val="0.75"/>
      </iconSet>
    </cfRule>
  </conditionalFormatting>
  <conditionalFormatting sqref="J5:J29">
    <cfRule type="iconSet" priority="7">
      <iconSet iconSet="3Symbols">
        <cfvo type="percent" val="0"/>
        <cfvo type="num" val="0.6"/>
        <cfvo type="num" val="0.75"/>
      </iconSet>
    </cfRule>
  </conditionalFormatting>
  <conditionalFormatting sqref="N5:N29">
    <cfRule type="iconSet" priority="6">
      <iconSet iconSet="3Symbols">
        <cfvo type="percent" val="0"/>
        <cfvo type="num" val="0.6"/>
        <cfvo type="num" val="0.75"/>
      </iconSet>
    </cfRule>
  </conditionalFormatting>
  <conditionalFormatting sqref="Q5:Q29">
    <cfRule type="iconSet" priority="5">
      <iconSet iconSet="3Symbols">
        <cfvo type="percent" val="0"/>
        <cfvo type="num" val="0.6"/>
        <cfvo type="num" val="0.75"/>
      </iconSet>
    </cfRule>
  </conditionalFormatting>
  <conditionalFormatting sqref="U5:U29">
    <cfRule type="iconSet" priority="4">
      <iconSet iconSet="3Symbols">
        <cfvo type="percent" val="0"/>
        <cfvo type="num" val="0.6"/>
        <cfvo type="num" val="0.75"/>
      </iconSet>
    </cfRule>
  </conditionalFormatting>
  <conditionalFormatting sqref="X5:X29">
    <cfRule type="iconSet" priority="3">
      <iconSet iconSet="3Symbols">
        <cfvo type="percent" val="0"/>
        <cfvo type="num" val="0.6"/>
        <cfvo type="num" val="0.75"/>
      </iconSet>
    </cfRule>
  </conditionalFormatting>
  <conditionalFormatting sqref="AB5:AB29">
    <cfRule type="iconSet" priority="2">
      <iconSet iconSet="3Symbols">
        <cfvo type="percent" val="0"/>
        <cfvo type="num" val="0.6"/>
        <cfvo type="num" val="0.75"/>
      </iconSet>
    </cfRule>
  </conditionalFormatting>
  <conditionalFormatting sqref="AE5:AE29">
    <cfRule type="iconSet" priority="1">
      <iconSet iconSet="3Symbols">
        <cfvo type="percent" val="0"/>
        <cfvo type="num" val="0.6"/>
        <cfvo type="num" val="0.75"/>
      </iconSet>
    </cfRule>
  </conditionalFormatting>
  <conditionalFormatting sqref="E5:AE29">
    <cfRule type="expression" dxfId="232" priority="9">
      <formula>ROW()=CELL("LIN")</formula>
    </cfRule>
    <cfRule type="expression" dxfId="231" priority="10">
      <formula>IF($D5&lt;&gt;"",1,0)</formula>
    </cfRule>
  </conditionalFormatting>
  <pageMargins left="0.511811024" right="0.511811024" top="0.78740157499999996" bottom="0.78740157499999996" header="0.31496062000000002" footer="0.31496062000000002"/>
  <pageSetup paperSize="9" scale="54" orientation="landscape" r:id="rId1"/>
  <colBreaks count="2" manualBreakCount="2">
    <brk id="10" max="1048575" man="1"/>
    <brk id="24" max="1048575" man="1"/>
  </colBreaks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90BE6-FBD0-46D5-A5E4-318546053D5A}">
  <sheetPr codeName="Plan19">
    <pageSetUpPr fitToPage="1"/>
  </sheetPr>
  <dimension ref="A1:K48"/>
  <sheetViews>
    <sheetView showGridLines="0" showRowColHeaders="0" view="pageBreakPreview" zoomScaleNormal="60" zoomScaleSheetLayoutView="100" zoomScalePageLayoutView="91" workbookViewId="0">
      <selection activeCell="B5" sqref="B5:K5"/>
    </sheetView>
  </sheetViews>
  <sheetFormatPr defaultColWidth="9.140625" defaultRowHeight="15"/>
  <cols>
    <col min="1" max="1" width="19.85546875" style="17" customWidth="1"/>
    <col min="2" max="16384" width="9.140625" style="17"/>
  </cols>
  <sheetData>
    <row r="1" spans="1:11" ht="15.75">
      <c r="A1" s="73" t="s">
        <v>69</v>
      </c>
      <c r="B1" s="92" t="str">
        <f>MENU!C2</f>
        <v>E.M.E.I.E.F. Ficticio</v>
      </c>
      <c r="C1" s="92"/>
      <c r="D1" s="92"/>
      <c r="E1" s="92"/>
      <c r="F1" s="92"/>
      <c r="G1" s="92"/>
      <c r="H1" s="92"/>
      <c r="I1" s="92"/>
      <c r="J1" s="92"/>
      <c r="K1" s="93"/>
    </row>
    <row r="2" spans="1:11" ht="15.75">
      <c r="A2" s="74" t="s">
        <v>71</v>
      </c>
      <c r="B2" s="156" t="s">
        <v>89</v>
      </c>
      <c r="C2" s="95"/>
      <c r="D2" s="95"/>
      <c r="E2" s="95"/>
      <c r="F2" s="95"/>
      <c r="G2" s="95"/>
      <c r="H2" s="95"/>
      <c r="I2" s="95"/>
      <c r="J2" s="95"/>
      <c r="K2" s="96"/>
    </row>
    <row r="3" spans="1:11" ht="15.75">
      <c r="A3" s="74" t="s">
        <v>70</v>
      </c>
      <c r="B3" s="94" t="s">
        <v>21</v>
      </c>
      <c r="C3" s="95"/>
      <c r="D3" s="95"/>
      <c r="E3" s="95"/>
      <c r="F3" s="95"/>
      <c r="G3" s="95"/>
      <c r="H3" s="95"/>
      <c r="I3" s="95"/>
      <c r="J3" s="95"/>
      <c r="K3" s="96"/>
    </row>
    <row r="4" spans="1:11" ht="15.75">
      <c r="A4" s="74" t="s">
        <v>5</v>
      </c>
      <c r="B4" s="94" t="s">
        <v>111</v>
      </c>
      <c r="C4" s="95"/>
      <c r="D4" s="95"/>
      <c r="E4" s="95"/>
      <c r="F4" s="95"/>
      <c r="G4" s="95"/>
      <c r="H4" s="95"/>
      <c r="I4" s="95"/>
      <c r="J4" s="95"/>
      <c r="K4" s="96"/>
    </row>
    <row r="5" spans="1:11" ht="15.75">
      <c r="A5" s="74" t="s">
        <v>73</v>
      </c>
      <c r="B5" s="95"/>
      <c r="C5" s="95"/>
      <c r="D5" s="95"/>
      <c r="E5" s="95"/>
      <c r="F5" s="95"/>
      <c r="G5" s="95"/>
      <c r="H5" s="95"/>
      <c r="I5" s="95"/>
      <c r="J5" s="95"/>
      <c r="K5" s="96"/>
    </row>
    <row r="6" spans="1:11" ht="15.75">
      <c r="A6" s="99" t="s">
        <v>74</v>
      </c>
      <c r="B6" s="100"/>
      <c r="C6" s="100"/>
      <c r="D6" s="95"/>
      <c r="E6" s="95"/>
      <c r="F6" s="95"/>
      <c r="G6" s="95"/>
      <c r="H6" s="95"/>
      <c r="I6" s="95"/>
      <c r="J6" s="95"/>
      <c r="K6" s="96"/>
    </row>
    <row r="7" spans="1:11" ht="16.5" thickBot="1">
      <c r="A7" s="75" t="s">
        <v>72</v>
      </c>
      <c r="B7" s="97">
        <f>MENU!D10</f>
        <v>2022</v>
      </c>
      <c r="C7" s="97"/>
      <c r="D7" s="97"/>
      <c r="E7" s="97"/>
      <c r="F7" s="97"/>
      <c r="G7" s="97"/>
      <c r="H7" s="97"/>
      <c r="I7" s="97"/>
      <c r="J7" s="97"/>
      <c r="K7" s="98"/>
    </row>
    <row r="8" spans="1:11" ht="15.75" thickBot="1"/>
    <row r="9" spans="1:11">
      <c r="A9" s="107" t="s">
        <v>77</v>
      </c>
      <c r="B9" s="108"/>
      <c r="C9" s="108"/>
      <c r="D9" s="108"/>
      <c r="E9" s="108"/>
      <c r="F9" s="108"/>
      <c r="G9" s="108"/>
      <c r="H9" s="108"/>
      <c r="I9" s="108"/>
      <c r="J9" s="108"/>
      <c r="K9" s="109"/>
    </row>
    <row r="10" spans="1:11" ht="15.75" thickBot="1">
      <c r="A10" s="110"/>
      <c r="B10" s="111"/>
      <c r="C10" s="111"/>
      <c r="D10" s="111"/>
      <c r="E10" s="111"/>
      <c r="F10" s="111"/>
      <c r="G10" s="111"/>
      <c r="H10" s="111"/>
      <c r="I10" s="111"/>
      <c r="J10" s="111"/>
      <c r="K10" s="112"/>
    </row>
    <row r="11" spans="1:11" ht="15.75">
      <c r="A11" s="79" t="s">
        <v>9</v>
      </c>
      <c r="B11" s="107" t="s">
        <v>78</v>
      </c>
      <c r="C11" s="108"/>
      <c r="D11" s="108"/>
      <c r="E11" s="109"/>
      <c r="F11" s="107" t="s">
        <v>79</v>
      </c>
      <c r="G11" s="109"/>
      <c r="H11" s="107" t="s">
        <v>80</v>
      </c>
      <c r="I11" s="109"/>
      <c r="J11" s="107" t="s">
        <v>99</v>
      </c>
      <c r="K11" s="109"/>
    </row>
    <row r="12" spans="1:11">
      <c r="A12" s="78">
        <f>IF('2P-B'!A3&lt;&gt;0,'2P-B'!A3,"")</f>
        <v>1</v>
      </c>
      <c r="B12" s="149" t="str">
        <f>IF('2P-B'!B3&lt;&gt;0,'2P-B'!B3,"")</f>
        <v/>
      </c>
      <c r="C12" s="150"/>
      <c r="D12" s="150"/>
      <c r="E12" s="151"/>
      <c r="F12" s="152" t="str">
        <f>IF('2P-B'!G3&lt;&gt;0,'2P-B'!G3,"")</f>
        <v/>
      </c>
      <c r="G12" s="153"/>
      <c r="H12" s="154" t="str">
        <f>IF('2P-B'!C3&lt;&gt;0,'2P-B'!C3,"")</f>
        <v/>
      </c>
      <c r="I12" s="155"/>
      <c r="J12" s="152" t="str">
        <f>IF('2P-B'!D3&lt;&gt;0,'2P-B'!D3,"")</f>
        <v/>
      </c>
      <c r="K12" s="155"/>
    </row>
    <row r="13" spans="1:11">
      <c r="A13" s="78">
        <f>IF('2P-B'!A4&lt;&gt;0,'2P-B'!A4,"")</f>
        <v>2</v>
      </c>
      <c r="B13" s="149" t="str">
        <f>IF('2P-B'!B4&lt;&gt;0,'2P-B'!B4,"")</f>
        <v/>
      </c>
      <c r="C13" s="150"/>
      <c r="D13" s="150"/>
      <c r="E13" s="151"/>
      <c r="F13" s="152" t="str">
        <f>IF('2P-B'!G4&lt;&gt;0,'2P-B'!G4,"")</f>
        <v/>
      </c>
      <c r="G13" s="153"/>
      <c r="H13" s="154" t="str">
        <f>IF('2P-B'!C4&lt;&gt;0,'2P-B'!C4,"")</f>
        <v/>
      </c>
      <c r="I13" s="155"/>
      <c r="J13" s="152" t="str">
        <f>IF('2P-B'!D4&lt;&gt;0,'2P-B'!D4,"")</f>
        <v/>
      </c>
      <c r="K13" s="155"/>
    </row>
    <row r="14" spans="1:11">
      <c r="A14" s="78">
        <f>IF('2P-B'!A5&lt;&gt;0,'2P-B'!A5,"")</f>
        <v>3</v>
      </c>
      <c r="B14" s="149" t="str">
        <f>IF('2P-B'!B5&lt;&gt;0,'2P-B'!B5,"")</f>
        <v/>
      </c>
      <c r="C14" s="150"/>
      <c r="D14" s="150"/>
      <c r="E14" s="151"/>
      <c r="F14" s="152" t="str">
        <f>IF('2P-B'!G5&lt;&gt;0,'2P-B'!G5,"")</f>
        <v/>
      </c>
      <c r="G14" s="153"/>
      <c r="H14" s="154" t="str">
        <f>IF('2P-B'!C5&lt;&gt;0,'2P-B'!C5,"")</f>
        <v/>
      </c>
      <c r="I14" s="155"/>
      <c r="J14" s="152" t="str">
        <f>IF('2P-B'!D5&lt;&gt;0,'2P-B'!D5,"")</f>
        <v/>
      </c>
      <c r="K14" s="155"/>
    </row>
    <row r="15" spans="1:11">
      <c r="A15" s="78">
        <f>IF('2P-B'!A6&lt;&gt;0,'2P-B'!A6,"")</f>
        <v>4</v>
      </c>
      <c r="B15" s="149" t="str">
        <f>IF('2P-B'!B6&lt;&gt;0,'2P-B'!B6,"")</f>
        <v/>
      </c>
      <c r="C15" s="150"/>
      <c r="D15" s="150"/>
      <c r="E15" s="151"/>
      <c r="F15" s="152" t="str">
        <f>IF('2P-B'!G6&lt;&gt;0,'2P-B'!G6,"")</f>
        <v/>
      </c>
      <c r="G15" s="153"/>
      <c r="H15" s="154" t="str">
        <f>IF('2P-B'!C6&lt;&gt;0,'2P-B'!C6,"")</f>
        <v/>
      </c>
      <c r="I15" s="155"/>
      <c r="J15" s="152" t="str">
        <f>IF('2P-B'!D6&lt;&gt;0,'2P-B'!D6,"")</f>
        <v/>
      </c>
      <c r="K15" s="155"/>
    </row>
    <row r="16" spans="1:11">
      <c r="A16" s="78">
        <f>IF('2P-B'!A7&lt;&gt;0,'2P-B'!A7,"")</f>
        <v>5</v>
      </c>
      <c r="B16" s="149" t="str">
        <f>IF('2P-B'!B7&lt;&gt;0,'2P-B'!B7,"")</f>
        <v/>
      </c>
      <c r="C16" s="150"/>
      <c r="D16" s="150"/>
      <c r="E16" s="151"/>
      <c r="F16" s="152" t="str">
        <f>IF('2P-B'!G7&lt;&gt;0,'2P-B'!G7,"")</f>
        <v/>
      </c>
      <c r="G16" s="153"/>
      <c r="H16" s="154" t="str">
        <f>IF('2P-B'!C7&lt;&gt;0,'2P-B'!C7,"")</f>
        <v/>
      </c>
      <c r="I16" s="155"/>
      <c r="J16" s="152" t="str">
        <f>IF('2P-B'!D7&lt;&gt;0,'2P-B'!D7,"")</f>
        <v/>
      </c>
      <c r="K16" s="155"/>
    </row>
    <row r="17" spans="1:11">
      <c r="A17" s="78">
        <f>IF('2P-B'!A8&lt;&gt;0,'2P-B'!A8,"")</f>
        <v>6</v>
      </c>
      <c r="B17" s="149" t="str">
        <f>IF('2P-B'!B8&lt;&gt;0,'2P-B'!B8,"")</f>
        <v/>
      </c>
      <c r="C17" s="150"/>
      <c r="D17" s="150"/>
      <c r="E17" s="151"/>
      <c r="F17" s="152" t="str">
        <f>IF('2P-B'!G8&lt;&gt;0,'2P-B'!G8,"")</f>
        <v/>
      </c>
      <c r="G17" s="153"/>
      <c r="H17" s="154" t="str">
        <f>IF('2P-B'!C8&lt;&gt;0,'2P-B'!C8,"")</f>
        <v/>
      </c>
      <c r="I17" s="155"/>
      <c r="J17" s="152" t="str">
        <f>IF('2P-B'!D8&lt;&gt;0,'2P-B'!D8,"")</f>
        <v/>
      </c>
      <c r="K17" s="155"/>
    </row>
    <row r="18" spans="1:11">
      <c r="A18" s="78">
        <f>IF('2P-B'!A9&lt;&gt;0,'2P-B'!A9,"")</f>
        <v>7</v>
      </c>
      <c r="B18" s="149" t="str">
        <f>IF('2P-B'!B9&lt;&gt;0,'2P-B'!B9,"")</f>
        <v/>
      </c>
      <c r="C18" s="150"/>
      <c r="D18" s="150"/>
      <c r="E18" s="151"/>
      <c r="F18" s="152" t="str">
        <f>IF('2P-B'!G9&lt;&gt;0,'2P-B'!G9,"")</f>
        <v/>
      </c>
      <c r="G18" s="153"/>
      <c r="H18" s="154" t="str">
        <f>IF('2P-B'!C9&lt;&gt;0,'2P-B'!C9,"")</f>
        <v/>
      </c>
      <c r="I18" s="155"/>
      <c r="J18" s="152" t="str">
        <f>IF('2P-B'!D9&lt;&gt;0,'2P-B'!D9,"")</f>
        <v/>
      </c>
      <c r="K18" s="155"/>
    </row>
    <row r="19" spans="1:11">
      <c r="A19" s="78">
        <f>IF('2P-B'!A10&lt;&gt;0,'2P-B'!A10,"")</f>
        <v>8</v>
      </c>
      <c r="B19" s="149" t="str">
        <f>IF('2P-B'!B10&lt;&gt;0,'2P-B'!B10,"")</f>
        <v/>
      </c>
      <c r="C19" s="150"/>
      <c r="D19" s="150"/>
      <c r="E19" s="151"/>
      <c r="F19" s="152" t="str">
        <f>IF('2P-B'!G10&lt;&gt;0,'2P-B'!G10,"")</f>
        <v/>
      </c>
      <c r="G19" s="153"/>
      <c r="H19" s="154" t="str">
        <f>IF('2P-B'!C10&lt;&gt;0,'2P-B'!C10,"")</f>
        <v/>
      </c>
      <c r="I19" s="155"/>
      <c r="J19" s="152" t="str">
        <f>IF('2P-B'!D10&lt;&gt;0,'2P-B'!D10,"")</f>
        <v/>
      </c>
      <c r="K19" s="155"/>
    </row>
    <row r="20" spans="1:11">
      <c r="A20" s="78">
        <f>IF('2P-B'!A11&lt;&gt;0,'2P-B'!A11,"")</f>
        <v>9</v>
      </c>
      <c r="B20" s="149" t="str">
        <f>IF('2P-B'!B11&lt;&gt;0,'2P-B'!B11,"")</f>
        <v/>
      </c>
      <c r="C20" s="150"/>
      <c r="D20" s="150"/>
      <c r="E20" s="151"/>
      <c r="F20" s="152" t="str">
        <f>IF('2P-B'!G11&lt;&gt;0,'2P-B'!G11,"")</f>
        <v/>
      </c>
      <c r="G20" s="153"/>
      <c r="H20" s="154" t="str">
        <f>IF('2P-B'!C11&lt;&gt;0,'2P-B'!C11,"")</f>
        <v/>
      </c>
      <c r="I20" s="155"/>
      <c r="J20" s="152" t="str">
        <f>IF('2P-B'!D11&lt;&gt;0,'2P-B'!D11,"")</f>
        <v/>
      </c>
      <c r="K20" s="155"/>
    </row>
    <row r="21" spans="1:11">
      <c r="A21" s="78">
        <f>IF('2P-B'!A12&lt;&gt;0,'2P-B'!A12,"")</f>
        <v>10</v>
      </c>
      <c r="B21" s="149" t="str">
        <f>IF('2P-B'!B12&lt;&gt;0,'2P-B'!B12,"")</f>
        <v/>
      </c>
      <c r="C21" s="150"/>
      <c r="D21" s="150"/>
      <c r="E21" s="151"/>
      <c r="F21" s="152" t="str">
        <f>IF('2P-B'!G12&lt;&gt;0,'2P-B'!G12,"")</f>
        <v/>
      </c>
      <c r="G21" s="153"/>
      <c r="H21" s="154" t="str">
        <f>IF('2P-B'!C12&lt;&gt;0,'2P-B'!C12,"")</f>
        <v/>
      </c>
      <c r="I21" s="155"/>
      <c r="J21" s="152" t="str">
        <f>IF('2P-B'!D12&lt;&gt;0,'2P-B'!D12,"")</f>
        <v/>
      </c>
      <c r="K21" s="155"/>
    </row>
    <row r="22" spans="1:11">
      <c r="A22" s="78">
        <f>IF('2P-B'!A13&lt;&gt;0,'2P-B'!A13,"")</f>
        <v>11</v>
      </c>
      <c r="B22" s="149" t="str">
        <f>IF('2P-B'!B13&lt;&gt;0,'2P-B'!B13,"")</f>
        <v/>
      </c>
      <c r="C22" s="150"/>
      <c r="D22" s="150"/>
      <c r="E22" s="151"/>
      <c r="F22" s="152" t="str">
        <f>IF('2P-B'!G13&lt;&gt;0,'2P-B'!G13,"")</f>
        <v/>
      </c>
      <c r="G22" s="153"/>
      <c r="H22" s="154" t="str">
        <f>IF('2P-B'!C13&lt;&gt;0,'2P-B'!C13,"")</f>
        <v/>
      </c>
      <c r="I22" s="155"/>
      <c r="J22" s="152" t="str">
        <f>IF('2P-B'!D13&lt;&gt;0,'2P-B'!D13,"")</f>
        <v/>
      </c>
      <c r="K22" s="155"/>
    </row>
    <row r="23" spans="1:11">
      <c r="A23" s="78">
        <f>IF('2P-B'!A14&lt;&gt;0,'2P-B'!A14,"")</f>
        <v>12</v>
      </c>
      <c r="B23" s="149" t="str">
        <f>IF('2P-B'!B14&lt;&gt;0,'2P-B'!B14,"")</f>
        <v/>
      </c>
      <c r="C23" s="150"/>
      <c r="D23" s="150"/>
      <c r="E23" s="151"/>
      <c r="F23" s="152" t="str">
        <f>IF('2P-B'!G14&lt;&gt;0,'2P-B'!G14,"")</f>
        <v/>
      </c>
      <c r="G23" s="153"/>
      <c r="H23" s="154" t="str">
        <f>IF('2P-B'!C14&lt;&gt;0,'2P-B'!C14,"")</f>
        <v/>
      </c>
      <c r="I23" s="155"/>
      <c r="J23" s="152" t="str">
        <f>IF('2P-B'!D14&lt;&gt;0,'2P-B'!D14,"")</f>
        <v/>
      </c>
      <c r="K23" s="155"/>
    </row>
    <row r="24" spans="1:11">
      <c r="A24" s="78">
        <f>IF('2P-B'!A15&lt;&gt;0,'2P-B'!A15,"")</f>
        <v>13</v>
      </c>
      <c r="B24" s="149" t="str">
        <f>IF('2P-B'!B15&lt;&gt;0,'2P-B'!B15,"")</f>
        <v/>
      </c>
      <c r="C24" s="150"/>
      <c r="D24" s="150"/>
      <c r="E24" s="151"/>
      <c r="F24" s="152" t="str">
        <f>IF('2P-B'!G15&lt;&gt;0,'2P-B'!G15,"")</f>
        <v/>
      </c>
      <c r="G24" s="153"/>
      <c r="H24" s="154" t="str">
        <f>IF('2P-B'!C15&lt;&gt;0,'2P-B'!C15,"")</f>
        <v/>
      </c>
      <c r="I24" s="155"/>
      <c r="J24" s="152" t="str">
        <f>IF('2P-B'!D15&lt;&gt;0,'2P-B'!D15,"")</f>
        <v/>
      </c>
      <c r="K24" s="155"/>
    </row>
    <row r="25" spans="1:11">
      <c r="A25" s="78">
        <f>IF('2P-B'!A16&lt;&gt;0,'2P-B'!A16,"")</f>
        <v>14</v>
      </c>
      <c r="B25" s="149" t="str">
        <f>IF('2P-B'!B16&lt;&gt;0,'2P-B'!B16,"")</f>
        <v/>
      </c>
      <c r="C25" s="150"/>
      <c r="D25" s="150"/>
      <c r="E25" s="151"/>
      <c r="F25" s="152" t="str">
        <f>IF('2P-B'!G16&lt;&gt;0,'2P-B'!G16,"")</f>
        <v/>
      </c>
      <c r="G25" s="153"/>
      <c r="H25" s="154" t="str">
        <f>IF('2P-B'!C16&lt;&gt;0,'2P-B'!C16,"")</f>
        <v/>
      </c>
      <c r="I25" s="155"/>
      <c r="J25" s="152" t="str">
        <f>IF('2P-B'!D16&lt;&gt;0,'2P-B'!D16,"")</f>
        <v/>
      </c>
      <c r="K25" s="155"/>
    </row>
    <row r="26" spans="1:11">
      <c r="A26" s="78">
        <f>IF('2P-B'!A17&lt;&gt;0,'2P-B'!A17,"")</f>
        <v>15</v>
      </c>
      <c r="B26" s="149" t="str">
        <f>IF('2P-B'!B17&lt;&gt;0,'2P-B'!B17,"")</f>
        <v/>
      </c>
      <c r="C26" s="150"/>
      <c r="D26" s="150"/>
      <c r="E26" s="151"/>
      <c r="F26" s="152" t="str">
        <f>IF('2P-B'!G17&lt;&gt;0,'2P-B'!G17,"")</f>
        <v/>
      </c>
      <c r="G26" s="153"/>
      <c r="H26" s="154" t="str">
        <f>IF('2P-B'!C17&lt;&gt;0,'2P-B'!C17,"")</f>
        <v/>
      </c>
      <c r="I26" s="155"/>
      <c r="J26" s="152" t="str">
        <f>IF('2P-B'!D17&lt;&gt;0,'2P-B'!D17,"")</f>
        <v/>
      </c>
      <c r="K26" s="155"/>
    </row>
    <row r="27" spans="1:11">
      <c r="A27" s="78">
        <f>IF('2P-B'!A18&lt;&gt;0,'2P-B'!A18,"")</f>
        <v>16</v>
      </c>
      <c r="B27" s="149" t="str">
        <f>IF('2P-B'!B18&lt;&gt;0,'2P-B'!B18,"")</f>
        <v/>
      </c>
      <c r="C27" s="150"/>
      <c r="D27" s="150"/>
      <c r="E27" s="151"/>
      <c r="F27" s="152" t="str">
        <f>IF('2P-B'!G18&lt;&gt;0,'2P-B'!G18,"")</f>
        <v/>
      </c>
      <c r="G27" s="153"/>
      <c r="H27" s="154" t="str">
        <f>IF('2P-B'!C18&lt;&gt;0,'2P-B'!C18,"")</f>
        <v/>
      </c>
      <c r="I27" s="155"/>
      <c r="J27" s="152" t="str">
        <f>IF('2P-B'!D18&lt;&gt;0,'2P-B'!D18,"")</f>
        <v/>
      </c>
      <c r="K27" s="155"/>
    </row>
    <row r="28" spans="1:11">
      <c r="A28" s="78">
        <f>IF('2P-B'!A19&lt;&gt;0,'2P-B'!A19,"")</f>
        <v>17</v>
      </c>
      <c r="B28" s="149" t="str">
        <f>IF('2P-B'!B19&lt;&gt;0,'2P-B'!B19,"")</f>
        <v/>
      </c>
      <c r="C28" s="150"/>
      <c r="D28" s="150"/>
      <c r="E28" s="151"/>
      <c r="F28" s="152" t="str">
        <f>IF('2P-B'!G19&lt;&gt;0,'2P-B'!G19,"")</f>
        <v/>
      </c>
      <c r="G28" s="153"/>
      <c r="H28" s="154" t="str">
        <f>IF('2P-B'!C19&lt;&gt;0,'2P-B'!C19,"")</f>
        <v/>
      </c>
      <c r="I28" s="155"/>
      <c r="J28" s="152" t="str">
        <f>IF('2P-B'!D19&lt;&gt;0,'2P-B'!D19,"")</f>
        <v/>
      </c>
      <c r="K28" s="155"/>
    </row>
    <row r="29" spans="1:11">
      <c r="A29" s="78">
        <f>IF('2P-B'!A20&lt;&gt;0,'2P-B'!A20,"")</f>
        <v>18</v>
      </c>
      <c r="B29" s="149" t="str">
        <f>IF('2P-B'!B20&lt;&gt;0,'2P-B'!B20,"")</f>
        <v/>
      </c>
      <c r="C29" s="150"/>
      <c r="D29" s="150"/>
      <c r="E29" s="151"/>
      <c r="F29" s="152" t="str">
        <f>IF('2P-B'!G20&lt;&gt;0,'2P-B'!G20,"")</f>
        <v/>
      </c>
      <c r="G29" s="153"/>
      <c r="H29" s="154" t="str">
        <f>IF('2P-B'!C20&lt;&gt;0,'2P-B'!C20,"")</f>
        <v/>
      </c>
      <c r="I29" s="155"/>
      <c r="J29" s="152" t="str">
        <f>IF('2P-B'!D20&lt;&gt;0,'2P-B'!D20,"")</f>
        <v/>
      </c>
      <c r="K29" s="155"/>
    </row>
    <row r="30" spans="1:11">
      <c r="A30" s="78">
        <f>IF('2P-B'!A21&lt;&gt;0,'2P-B'!A21,"")</f>
        <v>19</v>
      </c>
      <c r="B30" s="149" t="str">
        <f>IF('2P-B'!B21&lt;&gt;0,'2P-B'!B21,"")</f>
        <v/>
      </c>
      <c r="C30" s="150"/>
      <c r="D30" s="150"/>
      <c r="E30" s="151"/>
      <c r="F30" s="152" t="str">
        <f>IF('2P-B'!G21&lt;&gt;0,'2P-B'!G21,"")</f>
        <v/>
      </c>
      <c r="G30" s="153"/>
      <c r="H30" s="154" t="str">
        <f>IF('2P-B'!C21&lt;&gt;0,'2P-B'!C21,"")</f>
        <v/>
      </c>
      <c r="I30" s="155"/>
      <c r="J30" s="152" t="str">
        <f>IF('2P-B'!D21&lt;&gt;0,'2P-B'!D21,"")</f>
        <v/>
      </c>
      <c r="K30" s="155"/>
    </row>
    <row r="31" spans="1:11">
      <c r="A31" s="78">
        <f>IF('2P-B'!A22&lt;&gt;0,'2P-B'!A22,"")</f>
        <v>20</v>
      </c>
      <c r="B31" s="149" t="str">
        <f>IF('2P-B'!B22&lt;&gt;0,'2P-B'!B22,"")</f>
        <v/>
      </c>
      <c r="C31" s="150"/>
      <c r="D31" s="150"/>
      <c r="E31" s="151"/>
      <c r="F31" s="152" t="str">
        <f>IF('2P-B'!G22&lt;&gt;0,'2P-B'!G22,"")</f>
        <v/>
      </c>
      <c r="G31" s="153"/>
      <c r="H31" s="154" t="str">
        <f>IF('2P-B'!C22&lt;&gt;0,'2P-B'!C22,"")</f>
        <v/>
      </c>
      <c r="I31" s="155"/>
      <c r="J31" s="152" t="str">
        <f>IF('2P-B'!D22&lt;&gt;0,'2P-B'!D22,"")</f>
        <v/>
      </c>
      <c r="K31" s="155"/>
    </row>
    <row r="32" spans="1:11">
      <c r="A32" s="78">
        <f>IF('2P-B'!A23&lt;&gt;0,'2P-B'!A23,"")</f>
        <v>21</v>
      </c>
      <c r="B32" s="149" t="str">
        <f>IF('2P-B'!B23&lt;&gt;0,'2P-B'!B23,"")</f>
        <v/>
      </c>
      <c r="C32" s="150"/>
      <c r="D32" s="150"/>
      <c r="E32" s="151"/>
      <c r="F32" s="152" t="str">
        <f>IF('2P-B'!G23&lt;&gt;0,'2P-B'!G23,"")</f>
        <v/>
      </c>
      <c r="G32" s="153"/>
      <c r="H32" s="154" t="str">
        <f>IF('2P-B'!C23&lt;&gt;0,'2P-B'!C23,"")</f>
        <v/>
      </c>
      <c r="I32" s="155"/>
      <c r="J32" s="152" t="str">
        <f>IF('2P-B'!D23&lt;&gt;0,'2P-B'!D23,"")</f>
        <v/>
      </c>
      <c r="K32" s="155"/>
    </row>
    <row r="33" spans="1:11">
      <c r="A33" s="78">
        <f>IF('2P-B'!A24&lt;&gt;0,'2P-B'!A24,"")</f>
        <v>22</v>
      </c>
      <c r="B33" s="149" t="str">
        <f>IF('2P-B'!B24&lt;&gt;0,'2P-B'!B24,"")</f>
        <v/>
      </c>
      <c r="C33" s="150"/>
      <c r="D33" s="150"/>
      <c r="E33" s="151"/>
      <c r="F33" s="152" t="str">
        <f>IF('2P-B'!G24&lt;&gt;0,'2P-B'!G24,"")</f>
        <v/>
      </c>
      <c r="G33" s="153"/>
      <c r="H33" s="154" t="str">
        <f>IF('2P-B'!C24&lt;&gt;0,'2P-B'!C24,"")</f>
        <v/>
      </c>
      <c r="I33" s="155"/>
      <c r="J33" s="152" t="str">
        <f>IF('2P-B'!D24&lt;&gt;0,'2P-B'!D24,"")</f>
        <v/>
      </c>
      <c r="K33" s="155"/>
    </row>
    <row r="34" spans="1:11">
      <c r="A34" s="78">
        <f>IF('2P-B'!A25&lt;&gt;0,'2P-B'!A25,"")</f>
        <v>23</v>
      </c>
      <c r="B34" s="149" t="str">
        <f>IF('2P-B'!B25&lt;&gt;0,'2P-B'!B25,"")</f>
        <v/>
      </c>
      <c r="C34" s="150"/>
      <c r="D34" s="150"/>
      <c r="E34" s="151"/>
      <c r="F34" s="152" t="str">
        <f>IF('2P-B'!G25&lt;&gt;0,'2P-B'!G25,"")</f>
        <v/>
      </c>
      <c r="G34" s="153"/>
      <c r="H34" s="154" t="str">
        <f>IF('2P-B'!C25&lt;&gt;0,'2P-B'!C25,"")</f>
        <v/>
      </c>
      <c r="I34" s="155"/>
      <c r="J34" s="152" t="str">
        <f>IF('2P-B'!D25&lt;&gt;0,'2P-B'!D25,"")</f>
        <v/>
      </c>
      <c r="K34" s="155"/>
    </row>
    <row r="35" spans="1:11">
      <c r="A35" s="78">
        <f>IF('2P-B'!A26&lt;&gt;0,'2P-B'!A26,"")</f>
        <v>24</v>
      </c>
      <c r="B35" s="149" t="str">
        <f>IF('2P-B'!B26&lt;&gt;0,'2P-B'!B26,"")</f>
        <v/>
      </c>
      <c r="C35" s="150"/>
      <c r="D35" s="150"/>
      <c r="E35" s="151"/>
      <c r="F35" s="152" t="str">
        <f>IF('2P-B'!G26&lt;&gt;0,'2P-B'!G26,"")</f>
        <v/>
      </c>
      <c r="G35" s="153"/>
      <c r="H35" s="154" t="str">
        <f>IF('2P-B'!C26&lt;&gt;0,'2P-B'!C26,"")</f>
        <v/>
      </c>
      <c r="I35" s="155"/>
      <c r="J35" s="152" t="str">
        <f>IF('2P-B'!D26&lt;&gt;0,'2P-B'!D26,"")</f>
        <v/>
      </c>
      <c r="K35" s="155"/>
    </row>
    <row r="36" spans="1:11" ht="15.75" thickBot="1">
      <c r="A36" s="80">
        <f>IF('2P-B'!A27&lt;&gt;0,'2P-B'!A27,"")</f>
        <v>25</v>
      </c>
      <c r="B36" s="142" t="str">
        <f>IF('2P-B'!B27&lt;&gt;0,'2P-B'!B27,"")</f>
        <v/>
      </c>
      <c r="C36" s="143"/>
      <c r="D36" s="143"/>
      <c r="E36" s="144"/>
      <c r="F36" s="145" t="str">
        <f>IF('2P-B'!G27&lt;&gt;0,'2P-B'!G27,"")</f>
        <v/>
      </c>
      <c r="G36" s="146"/>
      <c r="H36" s="147" t="str">
        <f>IF('2P-B'!C27&lt;&gt;0,'2P-B'!C27,"")</f>
        <v/>
      </c>
      <c r="I36" s="148"/>
      <c r="J36" s="145" t="str">
        <f>IF('2P-B'!D27&lt;&gt;0,'2P-B'!D27,"")</f>
        <v/>
      </c>
      <c r="K36" s="148"/>
    </row>
    <row r="38" spans="1:11" ht="15.75">
      <c r="A38" s="119" t="s">
        <v>81</v>
      </c>
      <c r="B38" s="119"/>
      <c r="C38" s="119"/>
      <c r="D38" s="119"/>
      <c r="E38" s="120">
        <f>'2P-B'!U4</f>
        <v>0</v>
      </c>
      <c r="F38" s="120"/>
    </row>
    <row r="39" spans="1:11">
      <c r="A39" s="66" t="s">
        <v>92</v>
      </c>
      <c r="E39" s="122">
        <f ca="1">'2P-B'!Q3</f>
        <v>0</v>
      </c>
      <c r="F39" s="122"/>
    </row>
    <row r="40" spans="1:11">
      <c r="A40" s="66" t="s">
        <v>93</v>
      </c>
      <c r="E40" s="122">
        <f ca="1">'2P-B'!R3</f>
        <v>0</v>
      </c>
      <c r="F40" s="122"/>
    </row>
    <row r="48" spans="1:11">
      <c r="A48" s="66" t="s">
        <v>84</v>
      </c>
      <c r="C48" s="121">
        <f ca="1">TODAY()</f>
        <v>44871</v>
      </c>
      <c r="D48" s="122"/>
      <c r="E48" s="122"/>
    </row>
  </sheetData>
  <sheetProtection algorithmName="SHA-512" hashValue="zoAFmrjVJ9sVVzmK1CwigPba4msSfd04eBJDFvIb1Orz+jdKGXmrmSl4OQWsBkK+NLuvyokS2MSmmr6Kl79nnQ==" saltValue="yVz30sRtHhAwaQ/W8w4ssg==" spinCount="100000" sheet="1" objects="1" scenarios="1" selectLockedCells="1"/>
  <mergeCells count="118">
    <mergeCell ref="B7:K7"/>
    <mergeCell ref="A9:K10"/>
    <mergeCell ref="B11:E11"/>
    <mergeCell ref="F11:G11"/>
    <mergeCell ref="H11:I11"/>
    <mergeCell ref="J11:K11"/>
    <mergeCell ref="B1:K1"/>
    <mergeCell ref="B2:K2"/>
    <mergeCell ref="B3:K3"/>
    <mergeCell ref="B4:K4"/>
    <mergeCell ref="B5:K5"/>
    <mergeCell ref="A6:C6"/>
    <mergeCell ref="D6:K6"/>
    <mergeCell ref="B14:E14"/>
    <mergeCell ref="F14:G14"/>
    <mergeCell ref="H14:I14"/>
    <mergeCell ref="J14:K14"/>
    <mergeCell ref="B15:E15"/>
    <mergeCell ref="F15:G15"/>
    <mergeCell ref="H15:I15"/>
    <mergeCell ref="J15:K15"/>
    <mergeCell ref="B12:E12"/>
    <mergeCell ref="F12:G12"/>
    <mergeCell ref="H12:I12"/>
    <mergeCell ref="J12:K12"/>
    <mergeCell ref="B13:E13"/>
    <mergeCell ref="F13:G13"/>
    <mergeCell ref="H13:I13"/>
    <mergeCell ref="J13:K13"/>
    <mergeCell ref="B18:E18"/>
    <mergeCell ref="F18:G18"/>
    <mergeCell ref="H18:I18"/>
    <mergeCell ref="J18:K18"/>
    <mergeCell ref="B19:E19"/>
    <mergeCell ref="F19:G19"/>
    <mergeCell ref="H19:I19"/>
    <mergeCell ref="J19:K19"/>
    <mergeCell ref="B16:E16"/>
    <mergeCell ref="F16:G16"/>
    <mergeCell ref="H16:I16"/>
    <mergeCell ref="J16:K16"/>
    <mergeCell ref="B17:E17"/>
    <mergeCell ref="F17:G17"/>
    <mergeCell ref="H17:I17"/>
    <mergeCell ref="J17:K17"/>
    <mergeCell ref="B22:E22"/>
    <mergeCell ref="F22:G22"/>
    <mergeCell ref="H22:I22"/>
    <mergeCell ref="J22:K22"/>
    <mergeCell ref="B23:E23"/>
    <mergeCell ref="F23:G23"/>
    <mergeCell ref="H23:I23"/>
    <mergeCell ref="J23:K23"/>
    <mergeCell ref="B20:E20"/>
    <mergeCell ref="F20:G20"/>
    <mergeCell ref="H20:I20"/>
    <mergeCell ref="J20:K20"/>
    <mergeCell ref="B21:E21"/>
    <mergeCell ref="F21:G21"/>
    <mergeCell ref="H21:I21"/>
    <mergeCell ref="J21:K21"/>
    <mergeCell ref="B26:E26"/>
    <mergeCell ref="F26:G26"/>
    <mergeCell ref="H26:I26"/>
    <mergeCell ref="J26:K26"/>
    <mergeCell ref="B27:E27"/>
    <mergeCell ref="F27:G27"/>
    <mergeCell ref="H27:I27"/>
    <mergeCell ref="J27:K27"/>
    <mergeCell ref="B24:E24"/>
    <mergeCell ref="F24:G24"/>
    <mergeCell ref="H24:I24"/>
    <mergeCell ref="J24:K24"/>
    <mergeCell ref="B25:E25"/>
    <mergeCell ref="F25:G25"/>
    <mergeCell ref="H25:I25"/>
    <mergeCell ref="J25:K25"/>
    <mergeCell ref="B30:E30"/>
    <mergeCell ref="F30:G30"/>
    <mergeCell ref="H30:I30"/>
    <mergeCell ref="J30:K30"/>
    <mergeCell ref="B31:E31"/>
    <mergeCell ref="F31:G31"/>
    <mergeCell ref="H31:I31"/>
    <mergeCell ref="J31:K31"/>
    <mergeCell ref="B28:E28"/>
    <mergeCell ref="F28:G28"/>
    <mergeCell ref="H28:I28"/>
    <mergeCell ref="J28:K28"/>
    <mergeCell ref="B29:E29"/>
    <mergeCell ref="F29:G29"/>
    <mergeCell ref="H29:I29"/>
    <mergeCell ref="J29:K29"/>
    <mergeCell ref="B34:E34"/>
    <mergeCell ref="F34:G34"/>
    <mergeCell ref="H34:I34"/>
    <mergeCell ref="J34:K34"/>
    <mergeCell ref="B35:E35"/>
    <mergeCell ref="F35:G35"/>
    <mergeCell ref="H35:I35"/>
    <mergeCell ref="J35:K35"/>
    <mergeCell ref="B32:E32"/>
    <mergeCell ref="F32:G32"/>
    <mergeCell ref="H32:I32"/>
    <mergeCell ref="J32:K32"/>
    <mergeCell ref="B33:E33"/>
    <mergeCell ref="F33:G33"/>
    <mergeCell ref="H33:I33"/>
    <mergeCell ref="J33:K33"/>
    <mergeCell ref="E39:F39"/>
    <mergeCell ref="E40:F40"/>
    <mergeCell ref="C48:E48"/>
    <mergeCell ref="B36:E36"/>
    <mergeCell ref="F36:G36"/>
    <mergeCell ref="H36:I36"/>
    <mergeCell ref="J36:K36"/>
    <mergeCell ref="A38:D38"/>
    <mergeCell ref="E38:F38"/>
  </mergeCells>
  <conditionalFormatting sqref="A12:K36">
    <cfRule type="expression" dxfId="230" priority="1">
      <formula>IF($J12&lt;&gt;"",1,0)</formula>
    </cfRule>
  </conditionalFormatting>
  <conditionalFormatting sqref="B2 B3:B5 D6">
    <cfRule type="expression" dxfId="229" priority="2">
      <formula>ROW()=CELL("LIN")</formula>
    </cfRule>
  </conditionalFormatting>
  <pageMargins left="0.39370078740157483" right="0.3543307086614173" top="1.1417322834645669" bottom="0.39370078740157483" header="0.31496062992125984" footer="0.31496062992125984"/>
  <pageSetup paperSize="9" scale="96" fitToHeight="0" orientation="portrait" horizontalDpi="300" verticalDpi="3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F161A-97DE-4CC6-9871-04227E419BC3}">
  <sheetPr codeName="Plan4">
    <pageSetUpPr fitToPage="1"/>
  </sheetPr>
  <dimension ref="A1:U27"/>
  <sheetViews>
    <sheetView showGridLines="0" showRowColHeaders="0" view="pageBreakPreview" zoomScale="60" zoomScaleNormal="60" zoomScalePageLayoutView="40" workbookViewId="0">
      <pane ySplit="1" topLeftCell="A2" activePane="bottomLeft" state="frozen"/>
      <selection pane="bottomLeft" activeCell="C3" sqref="C3"/>
    </sheetView>
  </sheetViews>
  <sheetFormatPr defaultColWidth="9.140625" defaultRowHeight="15"/>
  <cols>
    <col min="1" max="1" width="8.5703125" style="17" customWidth="1"/>
    <col min="2" max="2" width="42" style="17" customWidth="1"/>
    <col min="3" max="3" width="17" style="18" bestFit="1" customWidth="1"/>
    <col min="4" max="4" width="23.85546875" style="19" customWidth="1"/>
    <col min="5" max="5" width="28.5703125" style="17" customWidth="1"/>
    <col min="6" max="6" width="30.5703125" style="27" bestFit="1" customWidth="1"/>
    <col min="7" max="7" width="25.7109375" style="27" customWidth="1"/>
    <col min="8" max="8" width="21.140625" style="17" customWidth="1"/>
    <col min="9" max="9" width="17.5703125" style="17" customWidth="1"/>
    <col min="10" max="10" width="44.42578125" style="17" customWidth="1"/>
    <col min="11" max="11" width="9.7109375" style="17" customWidth="1"/>
    <col min="12" max="12" width="9.28515625" style="17" customWidth="1"/>
    <col min="13" max="13" width="9.140625" style="17"/>
    <col min="14" max="14" width="16.140625" style="17" customWidth="1"/>
    <col min="15" max="15" width="12.7109375" style="17" customWidth="1"/>
    <col min="16" max="16384" width="9.140625" style="17"/>
  </cols>
  <sheetData>
    <row r="1" spans="1:21" ht="75" customHeight="1"/>
    <row r="2" spans="1:21" ht="60">
      <c r="A2" s="20" t="s">
        <v>9</v>
      </c>
      <c r="B2" s="21" t="s">
        <v>10</v>
      </c>
      <c r="C2" s="22" t="s">
        <v>13</v>
      </c>
      <c r="D2" s="23" t="s">
        <v>16</v>
      </c>
      <c r="E2" s="22" t="s">
        <v>11</v>
      </c>
      <c r="F2" s="22" t="s">
        <v>12</v>
      </c>
      <c r="G2" s="22" t="s">
        <v>14</v>
      </c>
      <c r="H2" s="22" t="s">
        <v>15</v>
      </c>
      <c r="I2" s="22" t="s">
        <v>17</v>
      </c>
      <c r="J2" s="21" t="s">
        <v>18</v>
      </c>
      <c r="K2" s="26" t="s">
        <v>19</v>
      </c>
      <c r="L2" s="67"/>
      <c r="M2" s="68"/>
      <c r="N2" s="68"/>
      <c r="O2" s="68"/>
      <c r="P2" s="69" t="s">
        <v>0</v>
      </c>
      <c r="Q2" s="70" t="s">
        <v>90</v>
      </c>
      <c r="R2" s="70" t="s">
        <v>91</v>
      </c>
      <c r="S2" s="71" t="s">
        <v>3</v>
      </c>
      <c r="T2" s="70" t="s">
        <v>4</v>
      </c>
      <c r="U2" s="68"/>
    </row>
    <row r="3" spans="1:21">
      <c r="A3" s="81">
        <v>1</v>
      </c>
      <c r="B3" s="44"/>
      <c r="C3" s="45"/>
      <c r="D3" s="47"/>
      <c r="E3" s="46">
        <v>0</v>
      </c>
      <c r="F3" s="51"/>
      <c r="G3" s="52"/>
      <c r="H3" s="52"/>
      <c r="I3" s="47"/>
      <c r="J3" s="44"/>
      <c r="K3" s="24">
        <f t="shared" ref="K3:K27" ca="1" si="0">QUOTIENT(IF(DATEDIF(C3,TODAY(),"y")&gt;90,0,DATEDIF(C3,TODAY(),"m")),12)</f>
        <v>0</v>
      </c>
      <c r="L3" s="68">
        <f t="shared" ref="L3:L27" ca="1" si="1">IF($K3=0,0,IF($K3&lt;($P$3),1,0))</f>
        <v>0</v>
      </c>
      <c r="M3" s="68">
        <f t="shared" ref="M3:M27" ca="1" si="2">IF($K3&gt;($P$3),1,0)</f>
        <v>0</v>
      </c>
      <c r="N3" s="68" t="b">
        <f ca="1">IF(IF(DATEDIF(C3,TODAY(),"y")&gt;90,0,DATEDIF(C3,TODAY(),"m"))&gt;0,CONCATENATE(QUOTIENT(IF(DATEDIF(C3,TODAY(),"y")&gt;90,0,DATEDIF(C3,TODAY(),"m")),12)," anos e ",MOD(IF(DATEDIF(C3,TODAY(),"y")&gt;90,0,DATEDIF(C3,TODAY(),"m")),12)," mês"))</f>
        <v>0</v>
      </c>
      <c r="O3" s="68" t="str">
        <f ca="1">IF(C3="","",DATEDIF($C3,TODAY(),"m"))</f>
        <v/>
      </c>
      <c r="P3" s="68">
        <v>5</v>
      </c>
      <c r="Q3" s="68">
        <f ca="1">SUM(L3:L27)</f>
        <v>0</v>
      </c>
      <c r="R3" s="68">
        <f ca="1">SUM(M3:M27)</f>
        <v>0</v>
      </c>
      <c r="S3" s="71" t="s">
        <v>7</v>
      </c>
      <c r="T3" s="68">
        <f>($P$3*12)</f>
        <v>60</v>
      </c>
      <c r="U3" s="68"/>
    </row>
    <row r="4" spans="1:21" ht="15.75">
      <c r="A4" s="81">
        <v>2</v>
      </c>
      <c r="B4" s="44"/>
      <c r="C4" s="45"/>
      <c r="D4" s="47"/>
      <c r="E4" s="46">
        <v>0</v>
      </c>
      <c r="F4" s="51"/>
      <c r="G4" s="52"/>
      <c r="H4" s="52"/>
      <c r="I4" s="47"/>
      <c r="J4" s="44"/>
      <c r="K4" s="24">
        <f t="shared" ca="1" si="0"/>
        <v>0</v>
      </c>
      <c r="L4" s="68">
        <f t="shared" ca="1" si="1"/>
        <v>0</v>
      </c>
      <c r="M4" s="68">
        <f t="shared" ca="1" si="2"/>
        <v>0</v>
      </c>
      <c r="N4" s="68" t="b">
        <f t="shared" ref="N4:N27" ca="1" si="3">IF(IF(DATEDIF(C4,TODAY(),"y")&gt;90,0,DATEDIF(C4,TODAY(),"m"))&gt;0,CONCATENATE(QUOTIENT(IF(DATEDIF(C4,TODAY(),"y")&gt;90,0,DATEDIF(C4,TODAY(),"m")),12)," anos e ",MOD(IF(DATEDIF(C4,TODAY(),"y")&gt;90,0,DATEDIF(C4,TODAY(),"m")),12)," mês"))</f>
        <v>0</v>
      </c>
      <c r="O4" s="68" t="str">
        <f ca="1">IF(C4="","",DATEDIF($C4,TODAY(),"m"))</f>
        <v/>
      </c>
      <c r="P4" s="123" t="s">
        <v>6</v>
      </c>
      <c r="Q4" s="123"/>
      <c r="R4" s="123"/>
      <c r="S4" s="123"/>
      <c r="T4" s="123"/>
      <c r="U4" s="68">
        <f>COUNTA(B3:B27)-COUNTA(D3:D27)</f>
        <v>0</v>
      </c>
    </row>
    <row r="5" spans="1:21">
      <c r="A5" s="81">
        <v>3</v>
      </c>
      <c r="B5" s="44"/>
      <c r="C5" s="45"/>
      <c r="D5" s="47"/>
      <c r="E5" s="46">
        <v>0</v>
      </c>
      <c r="F5" s="51"/>
      <c r="G5" s="52"/>
      <c r="H5" s="52"/>
      <c r="I5" s="47"/>
      <c r="J5" s="44"/>
      <c r="K5" s="24">
        <f t="shared" ca="1" si="0"/>
        <v>0</v>
      </c>
      <c r="L5" s="68">
        <f t="shared" ca="1" si="1"/>
        <v>0</v>
      </c>
      <c r="M5" s="68">
        <f t="shared" ca="1" si="2"/>
        <v>0</v>
      </c>
      <c r="N5" s="68" t="b">
        <f t="shared" ca="1" si="3"/>
        <v>0</v>
      </c>
      <c r="O5" s="68" t="str">
        <f ca="1">IF(C5="","",DATEDIF($C5,TODAY(),"m"))</f>
        <v/>
      </c>
      <c r="P5" s="68"/>
      <c r="Q5" s="68"/>
      <c r="R5" s="68"/>
      <c r="S5" s="68"/>
      <c r="T5" s="68"/>
      <c r="U5" s="68"/>
    </row>
    <row r="6" spans="1:21">
      <c r="A6" s="81">
        <v>4</v>
      </c>
      <c r="B6" s="44"/>
      <c r="C6" s="45"/>
      <c r="D6" s="47"/>
      <c r="E6" s="46">
        <v>0</v>
      </c>
      <c r="F6" s="51"/>
      <c r="G6" s="52"/>
      <c r="H6" s="52"/>
      <c r="I6" s="47"/>
      <c r="J6" s="44"/>
      <c r="K6" s="24">
        <f t="shared" ca="1" si="0"/>
        <v>0</v>
      </c>
      <c r="L6" s="68">
        <f t="shared" ca="1" si="1"/>
        <v>0</v>
      </c>
      <c r="M6" s="68">
        <f t="shared" ca="1" si="2"/>
        <v>0</v>
      </c>
      <c r="N6" s="68" t="b">
        <f t="shared" ca="1" si="3"/>
        <v>0</v>
      </c>
      <c r="O6" s="68" t="str">
        <f t="shared" ref="O6:O26" ca="1" si="4">IF(C5="","",DATEDIF($C5,TODAY(),"m"))</f>
        <v/>
      </c>
      <c r="P6" s="68"/>
      <c r="Q6" s="68"/>
      <c r="R6" s="68"/>
      <c r="S6" s="68"/>
      <c r="T6" s="68"/>
      <c r="U6" s="68"/>
    </row>
    <row r="7" spans="1:21">
      <c r="A7" s="81">
        <v>5</v>
      </c>
      <c r="B7" s="44"/>
      <c r="C7" s="45"/>
      <c r="D7" s="47"/>
      <c r="E7" s="46">
        <v>0</v>
      </c>
      <c r="F7" s="51"/>
      <c r="G7" s="52"/>
      <c r="H7" s="52"/>
      <c r="I7" s="47"/>
      <c r="J7" s="44"/>
      <c r="K7" s="24">
        <f t="shared" ca="1" si="0"/>
        <v>0</v>
      </c>
      <c r="L7" s="68">
        <f t="shared" ca="1" si="1"/>
        <v>0</v>
      </c>
      <c r="M7" s="68">
        <f t="shared" ca="1" si="2"/>
        <v>0</v>
      </c>
      <c r="N7" s="68" t="b">
        <f t="shared" ca="1" si="3"/>
        <v>0</v>
      </c>
      <c r="O7" s="68" t="str">
        <f t="shared" ca="1" si="4"/>
        <v/>
      </c>
      <c r="P7" s="68"/>
      <c r="Q7" s="68"/>
      <c r="R7" s="68"/>
      <c r="S7" s="68"/>
      <c r="T7" s="68"/>
      <c r="U7" s="68"/>
    </row>
    <row r="8" spans="1:21">
      <c r="A8" s="81">
        <v>6</v>
      </c>
      <c r="B8" s="44"/>
      <c r="C8" s="45"/>
      <c r="D8" s="47"/>
      <c r="E8" s="46">
        <v>0</v>
      </c>
      <c r="F8" s="51"/>
      <c r="G8" s="52"/>
      <c r="H8" s="52"/>
      <c r="I8" s="47"/>
      <c r="J8" s="44"/>
      <c r="K8" s="24">
        <f t="shared" ca="1" si="0"/>
        <v>0</v>
      </c>
      <c r="L8" s="68">
        <f t="shared" ca="1" si="1"/>
        <v>0</v>
      </c>
      <c r="M8" s="68">
        <f t="shared" ca="1" si="2"/>
        <v>0</v>
      </c>
      <c r="N8" s="68" t="b">
        <f t="shared" ca="1" si="3"/>
        <v>0</v>
      </c>
      <c r="O8" s="68" t="str">
        <f t="shared" ca="1" si="4"/>
        <v/>
      </c>
      <c r="P8" s="68"/>
      <c r="Q8" s="68"/>
      <c r="R8" s="68"/>
      <c r="S8" s="68"/>
      <c r="T8" s="68"/>
      <c r="U8" s="68"/>
    </row>
    <row r="9" spans="1:21">
      <c r="A9" s="81">
        <v>7</v>
      </c>
      <c r="B9" s="44"/>
      <c r="C9" s="45"/>
      <c r="D9" s="47"/>
      <c r="E9" s="46">
        <v>0</v>
      </c>
      <c r="F9" s="51"/>
      <c r="G9" s="52"/>
      <c r="H9" s="52"/>
      <c r="I9" s="47"/>
      <c r="J9" s="44"/>
      <c r="K9" s="24">
        <f t="shared" ca="1" si="0"/>
        <v>0</v>
      </c>
      <c r="L9" s="68">
        <f t="shared" ca="1" si="1"/>
        <v>0</v>
      </c>
      <c r="M9" s="68">
        <f t="shared" ca="1" si="2"/>
        <v>0</v>
      </c>
      <c r="N9" s="68" t="b">
        <f t="shared" ca="1" si="3"/>
        <v>0</v>
      </c>
      <c r="O9" s="68" t="str">
        <f t="shared" ca="1" si="4"/>
        <v/>
      </c>
      <c r="P9" s="68"/>
      <c r="Q9" s="68"/>
      <c r="R9" s="68"/>
      <c r="S9" s="68"/>
      <c r="T9" s="68"/>
      <c r="U9" s="68"/>
    </row>
    <row r="10" spans="1:21">
      <c r="A10" s="81">
        <v>8</v>
      </c>
      <c r="B10" s="44"/>
      <c r="C10" s="45"/>
      <c r="D10" s="47"/>
      <c r="E10" s="46">
        <v>0</v>
      </c>
      <c r="F10" s="51"/>
      <c r="G10" s="52"/>
      <c r="H10" s="52"/>
      <c r="I10" s="47"/>
      <c r="J10" s="44"/>
      <c r="K10" s="24">
        <f t="shared" ca="1" si="0"/>
        <v>0</v>
      </c>
      <c r="L10" s="68">
        <f t="shared" ca="1" si="1"/>
        <v>0</v>
      </c>
      <c r="M10" s="68">
        <f t="shared" ca="1" si="2"/>
        <v>0</v>
      </c>
      <c r="N10" s="68" t="b">
        <f t="shared" ca="1" si="3"/>
        <v>0</v>
      </c>
      <c r="O10" s="68" t="str">
        <f t="shared" ca="1" si="4"/>
        <v/>
      </c>
      <c r="P10" s="68"/>
      <c r="Q10" s="68"/>
      <c r="R10" s="68"/>
      <c r="S10" s="68"/>
      <c r="T10" s="68"/>
      <c r="U10" s="68"/>
    </row>
    <row r="11" spans="1:21">
      <c r="A11" s="81">
        <v>9</v>
      </c>
      <c r="B11" s="44"/>
      <c r="C11" s="45"/>
      <c r="D11" s="47"/>
      <c r="E11" s="46">
        <v>0</v>
      </c>
      <c r="F11" s="51"/>
      <c r="G11" s="52"/>
      <c r="H11" s="52"/>
      <c r="I11" s="47"/>
      <c r="J11" s="44"/>
      <c r="K11" s="24">
        <f t="shared" ca="1" si="0"/>
        <v>0</v>
      </c>
      <c r="L11" s="68">
        <f t="shared" ca="1" si="1"/>
        <v>0</v>
      </c>
      <c r="M11" s="68">
        <f t="shared" ca="1" si="2"/>
        <v>0</v>
      </c>
      <c r="N11" s="68" t="b">
        <f t="shared" ca="1" si="3"/>
        <v>0</v>
      </c>
      <c r="O11" s="68" t="str">
        <f t="shared" ca="1" si="4"/>
        <v/>
      </c>
      <c r="P11" s="68"/>
      <c r="Q11" s="68"/>
      <c r="R11" s="68"/>
      <c r="S11" s="68"/>
      <c r="T11" s="68"/>
      <c r="U11" s="68"/>
    </row>
    <row r="12" spans="1:21">
      <c r="A12" s="81">
        <v>10</v>
      </c>
      <c r="B12" s="44"/>
      <c r="C12" s="45"/>
      <c r="D12" s="47"/>
      <c r="E12" s="46">
        <v>0</v>
      </c>
      <c r="F12" s="51"/>
      <c r="G12" s="52"/>
      <c r="H12" s="52"/>
      <c r="I12" s="47"/>
      <c r="J12" s="44"/>
      <c r="K12" s="24">
        <f t="shared" ca="1" si="0"/>
        <v>0</v>
      </c>
      <c r="L12" s="68">
        <f t="shared" ca="1" si="1"/>
        <v>0</v>
      </c>
      <c r="M12" s="68">
        <f t="shared" ca="1" si="2"/>
        <v>0</v>
      </c>
      <c r="N12" s="68" t="b">
        <f t="shared" ca="1" si="3"/>
        <v>0</v>
      </c>
      <c r="O12" s="68" t="str">
        <f t="shared" ca="1" si="4"/>
        <v/>
      </c>
      <c r="P12" s="68"/>
      <c r="Q12" s="68"/>
      <c r="R12" s="68"/>
      <c r="S12" s="68"/>
      <c r="T12" s="68"/>
      <c r="U12" s="68"/>
    </row>
    <row r="13" spans="1:21">
      <c r="A13" s="81">
        <v>11</v>
      </c>
      <c r="B13" s="44"/>
      <c r="C13" s="45"/>
      <c r="D13" s="47"/>
      <c r="E13" s="46">
        <v>0</v>
      </c>
      <c r="F13" s="51"/>
      <c r="G13" s="52"/>
      <c r="H13" s="52"/>
      <c r="I13" s="47"/>
      <c r="J13" s="44"/>
      <c r="K13" s="24">
        <f t="shared" ca="1" si="0"/>
        <v>0</v>
      </c>
      <c r="L13" s="68">
        <f t="shared" ca="1" si="1"/>
        <v>0</v>
      </c>
      <c r="M13" s="68">
        <f t="shared" ca="1" si="2"/>
        <v>0</v>
      </c>
      <c r="N13" s="68" t="b">
        <f t="shared" ca="1" si="3"/>
        <v>0</v>
      </c>
      <c r="O13" s="68" t="str">
        <f t="shared" ca="1" si="4"/>
        <v/>
      </c>
      <c r="P13" s="68"/>
      <c r="Q13" s="68"/>
      <c r="R13" s="68"/>
      <c r="S13" s="68"/>
      <c r="T13" s="68"/>
      <c r="U13" s="68"/>
    </row>
    <row r="14" spans="1:21">
      <c r="A14" s="81">
        <v>12</v>
      </c>
      <c r="B14" s="44"/>
      <c r="C14" s="45"/>
      <c r="D14" s="47"/>
      <c r="E14" s="46">
        <v>0</v>
      </c>
      <c r="F14" s="51"/>
      <c r="G14" s="52"/>
      <c r="H14" s="52"/>
      <c r="I14" s="47"/>
      <c r="J14" s="44"/>
      <c r="K14" s="24">
        <f t="shared" ca="1" si="0"/>
        <v>0</v>
      </c>
      <c r="L14" s="68">
        <f t="shared" ca="1" si="1"/>
        <v>0</v>
      </c>
      <c r="M14" s="68">
        <f t="shared" ca="1" si="2"/>
        <v>0</v>
      </c>
      <c r="N14" s="68" t="b">
        <f t="shared" ca="1" si="3"/>
        <v>0</v>
      </c>
      <c r="O14" s="68" t="str">
        <f t="shared" ca="1" si="4"/>
        <v/>
      </c>
      <c r="P14" s="68"/>
      <c r="Q14" s="68"/>
      <c r="R14" s="68"/>
      <c r="S14" s="68"/>
      <c r="T14" s="68"/>
      <c r="U14" s="68"/>
    </row>
    <row r="15" spans="1:21">
      <c r="A15" s="81">
        <v>13</v>
      </c>
      <c r="B15" s="44"/>
      <c r="C15" s="45"/>
      <c r="D15" s="47"/>
      <c r="E15" s="46">
        <v>0</v>
      </c>
      <c r="F15" s="51"/>
      <c r="G15" s="52"/>
      <c r="H15" s="52"/>
      <c r="I15" s="47"/>
      <c r="J15" s="44"/>
      <c r="K15" s="24">
        <f t="shared" ca="1" si="0"/>
        <v>0</v>
      </c>
      <c r="L15" s="68">
        <f t="shared" ca="1" si="1"/>
        <v>0</v>
      </c>
      <c r="M15" s="68">
        <f t="shared" ca="1" si="2"/>
        <v>0</v>
      </c>
      <c r="N15" s="68" t="b">
        <f t="shared" ca="1" si="3"/>
        <v>0</v>
      </c>
      <c r="O15" s="68" t="str">
        <f t="shared" ca="1" si="4"/>
        <v/>
      </c>
      <c r="P15" s="68"/>
      <c r="Q15" s="68"/>
      <c r="R15" s="68"/>
      <c r="S15" s="68"/>
      <c r="T15" s="68"/>
      <c r="U15" s="68"/>
    </row>
    <row r="16" spans="1:21">
      <c r="A16" s="81">
        <v>14</v>
      </c>
      <c r="B16" s="44"/>
      <c r="C16" s="45"/>
      <c r="D16" s="47"/>
      <c r="E16" s="46">
        <v>0</v>
      </c>
      <c r="F16" s="51"/>
      <c r="G16" s="52"/>
      <c r="H16" s="52"/>
      <c r="I16" s="47"/>
      <c r="J16" s="44"/>
      <c r="K16" s="24">
        <f t="shared" ca="1" si="0"/>
        <v>0</v>
      </c>
      <c r="L16" s="68">
        <f t="shared" ca="1" si="1"/>
        <v>0</v>
      </c>
      <c r="M16" s="68">
        <f t="shared" ca="1" si="2"/>
        <v>0</v>
      </c>
      <c r="N16" s="68" t="b">
        <f t="shared" ca="1" si="3"/>
        <v>0</v>
      </c>
      <c r="O16" s="68" t="str">
        <f t="shared" ca="1" si="4"/>
        <v/>
      </c>
      <c r="P16" s="68"/>
      <c r="Q16" s="68"/>
      <c r="R16" s="68"/>
      <c r="S16" s="68"/>
      <c r="T16" s="68"/>
      <c r="U16" s="68"/>
    </row>
    <row r="17" spans="1:21">
      <c r="A17" s="81">
        <v>15</v>
      </c>
      <c r="B17" s="44"/>
      <c r="C17" s="45"/>
      <c r="D17" s="47"/>
      <c r="E17" s="46">
        <v>0</v>
      </c>
      <c r="F17" s="51"/>
      <c r="G17" s="52"/>
      <c r="H17" s="52"/>
      <c r="I17" s="53"/>
      <c r="J17" s="44"/>
      <c r="K17" s="24">
        <f t="shared" ca="1" si="0"/>
        <v>0</v>
      </c>
      <c r="L17" s="68">
        <f t="shared" ca="1" si="1"/>
        <v>0</v>
      </c>
      <c r="M17" s="68">
        <f t="shared" ca="1" si="2"/>
        <v>0</v>
      </c>
      <c r="N17" s="68" t="b">
        <f t="shared" ca="1" si="3"/>
        <v>0</v>
      </c>
      <c r="O17" s="68" t="str">
        <f t="shared" ca="1" si="4"/>
        <v/>
      </c>
      <c r="P17" s="68"/>
      <c r="Q17" s="68"/>
      <c r="R17" s="68"/>
      <c r="S17" s="68"/>
      <c r="T17" s="68"/>
      <c r="U17" s="68"/>
    </row>
    <row r="18" spans="1:21">
      <c r="A18" s="81">
        <v>16</v>
      </c>
      <c r="B18" s="44"/>
      <c r="C18" s="45"/>
      <c r="D18" s="47"/>
      <c r="E18" s="46">
        <v>0</v>
      </c>
      <c r="F18" s="51"/>
      <c r="G18" s="52"/>
      <c r="H18" s="52"/>
      <c r="I18" s="47"/>
      <c r="J18" s="44"/>
      <c r="K18" s="24">
        <f t="shared" ca="1" si="0"/>
        <v>0</v>
      </c>
      <c r="L18" s="68">
        <f t="shared" ca="1" si="1"/>
        <v>0</v>
      </c>
      <c r="M18" s="68">
        <f t="shared" ca="1" si="2"/>
        <v>0</v>
      </c>
      <c r="N18" s="68" t="b">
        <f t="shared" ca="1" si="3"/>
        <v>0</v>
      </c>
      <c r="O18" s="68" t="str">
        <f t="shared" ca="1" si="4"/>
        <v/>
      </c>
      <c r="P18" s="68"/>
      <c r="Q18" s="68"/>
      <c r="R18" s="68"/>
      <c r="S18" s="68"/>
      <c r="T18" s="68"/>
      <c r="U18" s="68"/>
    </row>
    <row r="19" spans="1:21">
      <c r="A19" s="81">
        <v>17</v>
      </c>
      <c r="B19" s="44"/>
      <c r="C19" s="45"/>
      <c r="D19" s="47"/>
      <c r="E19" s="46">
        <v>0</v>
      </c>
      <c r="F19" s="51"/>
      <c r="G19" s="52"/>
      <c r="H19" s="52"/>
      <c r="I19" s="53"/>
      <c r="J19" s="44"/>
      <c r="K19" s="24">
        <f t="shared" ca="1" si="0"/>
        <v>0</v>
      </c>
      <c r="L19" s="68">
        <f t="shared" ca="1" si="1"/>
        <v>0</v>
      </c>
      <c r="M19" s="68">
        <f t="shared" ca="1" si="2"/>
        <v>0</v>
      </c>
      <c r="N19" s="68" t="b">
        <f t="shared" ca="1" si="3"/>
        <v>0</v>
      </c>
      <c r="O19" s="68" t="str">
        <f t="shared" ca="1" si="4"/>
        <v/>
      </c>
      <c r="P19" s="68"/>
      <c r="Q19" s="68"/>
      <c r="R19" s="68"/>
      <c r="S19" s="68"/>
      <c r="T19" s="68"/>
      <c r="U19" s="68"/>
    </row>
    <row r="20" spans="1:21">
      <c r="A20" s="81">
        <v>18</v>
      </c>
      <c r="B20" s="44"/>
      <c r="C20" s="45"/>
      <c r="D20" s="47"/>
      <c r="E20" s="46">
        <v>0</v>
      </c>
      <c r="F20" s="51"/>
      <c r="G20" s="52"/>
      <c r="H20" s="52"/>
      <c r="I20" s="47"/>
      <c r="J20" s="44"/>
      <c r="K20" s="24">
        <f t="shared" ca="1" si="0"/>
        <v>0</v>
      </c>
      <c r="L20" s="68">
        <f t="shared" ca="1" si="1"/>
        <v>0</v>
      </c>
      <c r="M20" s="68">
        <f t="shared" ca="1" si="2"/>
        <v>0</v>
      </c>
      <c r="N20" s="68" t="b">
        <f t="shared" ca="1" si="3"/>
        <v>0</v>
      </c>
      <c r="O20" s="68" t="str">
        <f t="shared" ca="1" si="4"/>
        <v/>
      </c>
      <c r="P20" s="68"/>
      <c r="Q20" s="68"/>
      <c r="R20" s="68"/>
      <c r="S20" s="68"/>
      <c r="T20" s="68"/>
      <c r="U20" s="68"/>
    </row>
    <row r="21" spans="1:21">
      <c r="A21" s="81">
        <v>19</v>
      </c>
      <c r="B21" s="44"/>
      <c r="C21" s="45"/>
      <c r="D21" s="47"/>
      <c r="E21" s="46">
        <v>0</v>
      </c>
      <c r="F21" s="51"/>
      <c r="G21" s="52"/>
      <c r="H21" s="52"/>
      <c r="I21" s="47"/>
      <c r="J21" s="44"/>
      <c r="K21" s="24">
        <f t="shared" ca="1" si="0"/>
        <v>0</v>
      </c>
      <c r="L21" s="68">
        <f t="shared" ca="1" si="1"/>
        <v>0</v>
      </c>
      <c r="M21" s="68">
        <f t="shared" ca="1" si="2"/>
        <v>0</v>
      </c>
      <c r="N21" s="68" t="b">
        <f t="shared" ca="1" si="3"/>
        <v>0</v>
      </c>
      <c r="O21" s="68" t="str">
        <f t="shared" ca="1" si="4"/>
        <v/>
      </c>
      <c r="P21" s="68"/>
      <c r="Q21" s="68"/>
      <c r="R21" s="68"/>
      <c r="S21" s="68"/>
      <c r="T21" s="68"/>
      <c r="U21" s="68"/>
    </row>
    <row r="22" spans="1:21">
      <c r="A22" s="81">
        <v>20</v>
      </c>
      <c r="B22" s="44"/>
      <c r="C22" s="45"/>
      <c r="D22" s="47"/>
      <c r="E22" s="46">
        <v>0</v>
      </c>
      <c r="F22" s="51"/>
      <c r="G22" s="52"/>
      <c r="H22" s="52"/>
      <c r="I22" s="47"/>
      <c r="J22" s="44"/>
      <c r="K22" s="24">
        <f t="shared" ca="1" si="0"/>
        <v>0</v>
      </c>
      <c r="L22" s="68">
        <f t="shared" ca="1" si="1"/>
        <v>0</v>
      </c>
      <c r="M22" s="68">
        <f t="shared" ca="1" si="2"/>
        <v>0</v>
      </c>
      <c r="N22" s="68" t="b">
        <f t="shared" ca="1" si="3"/>
        <v>0</v>
      </c>
      <c r="O22" s="68" t="str">
        <f t="shared" ca="1" si="4"/>
        <v/>
      </c>
      <c r="P22" s="68"/>
      <c r="Q22" s="68"/>
      <c r="R22" s="68"/>
      <c r="S22" s="68"/>
      <c r="T22" s="68"/>
      <c r="U22" s="68"/>
    </row>
    <row r="23" spans="1:21" ht="15.75">
      <c r="A23" s="82">
        <v>21</v>
      </c>
      <c r="B23" s="44"/>
      <c r="C23" s="45"/>
      <c r="D23" s="47"/>
      <c r="E23" s="46">
        <v>0</v>
      </c>
      <c r="F23" s="51"/>
      <c r="G23" s="52"/>
      <c r="H23" s="52"/>
      <c r="I23" s="47"/>
      <c r="J23" s="44"/>
      <c r="K23" s="24">
        <f t="shared" ca="1" si="0"/>
        <v>0</v>
      </c>
      <c r="L23" s="68">
        <f t="shared" ca="1" si="1"/>
        <v>0</v>
      </c>
      <c r="M23" s="68">
        <f t="shared" ca="1" si="2"/>
        <v>0</v>
      </c>
      <c r="N23" s="68" t="b">
        <f t="shared" ca="1" si="3"/>
        <v>0</v>
      </c>
      <c r="O23" s="68" t="str">
        <f t="shared" ca="1" si="4"/>
        <v/>
      </c>
      <c r="P23" s="68"/>
      <c r="Q23" s="68"/>
      <c r="R23" s="68"/>
      <c r="S23" s="68"/>
      <c r="T23" s="68"/>
      <c r="U23" s="68"/>
    </row>
    <row r="24" spans="1:21" ht="15.75">
      <c r="A24" s="82">
        <v>22</v>
      </c>
      <c r="B24" s="44"/>
      <c r="C24" s="45"/>
      <c r="D24" s="47"/>
      <c r="E24" s="46">
        <v>0</v>
      </c>
      <c r="F24" s="51"/>
      <c r="G24" s="52"/>
      <c r="H24" s="52"/>
      <c r="I24" s="47"/>
      <c r="J24" s="44"/>
      <c r="K24" s="24">
        <f t="shared" ca="1" si="0"/>
        <v>0</v>
      </c>
      <c r="L24" s="68">
        <f t="shared" ca="1" si="1"/>
        <v>0</v>
      </c>
      <c r="M24" s="68">
        <f t="shared" ca="1" si="2"/>
        <v>0</v>
      </c>
      <c r="N24" s="68" t="b">
        <f t="shared" ca="1" si="3"/>
        <v>0</v>
      </c>
      <c r="O24" s="68" t="str">
        <f t="shared" ca="1" si="4"/>
        <v/>
      </c>
      <c r="P24" s="68"/>
      <c r="Q24" s="68"/>
      <c r="R24" s="68"/>
      <c r="S24" s="68"/>
      <c r="T24" s="68"/>
      <c r="U24" s="68"/>
    </row>
    <row r="25" spans="1:21" ht="15.75">
      <c r="A25" s="82">
        <v>23</v>
      </c>
      <c r="B25" s="44"/>
      <c r="C25" s="45"/>
      <c r="D25" s="47"/>
      <c r="E25" s="46">
        <v>0</v>
      </c>
      <c r="F25" s="51"/>
      <c r="G25" s="52"/>
      <c r="H25" s="52"/>
      <c r="I25" s="47"/>
      <c r="J25" s="44"/>
      <c r="K25" s="24">
        <f t="shared" ca="1" si="0"/>
        <v>0</v>
      </c>
      <c r="L25" s="68">
        <f t="shared" ca="1" si="1"/>
        <v>0</v>
      </c>
      <c r="M25" s="68">
        <f t="shared" ca="1" si="2"/>
        <v>0</v>
      </c>
      <c r="N25" s="68" t="b">
        <f t="shared" ca="1" si="3"/>
        <v>0</v>
      </c>
      <c r="O25" s="68" t="str">
        <f t="shared" ca="1" si="4"/>
        <v/>
      </c>
      <c r="P25" s="68"/>
      <c r="Q25" s="68"/>
      <c r="R25" s="68"/>
      <c r="S25" s="68"/>
      <c r="T25" s="68"/>
      <c r="U25" s="68"/>
    </row>
    <row r="26" spans="1:21" ht="15.75">
      <c r="A26" s="82">
        <v>24</v>
      </c>
      <c r="B26" s="44"/>
      <c r="C26" s="45"/>
      <c r="D26" s="54"/>
      <c r="E26" s="46">
        <v>0</v>
      </c>
      <c r="F26" s="51"/>
      <c r="G26" s="52"/>
      <c r="H26" s="52"/>
      <c r="I26" s="47"/>
      <c r="J26" s="44"/>
      <c r="K26" s="24">
        <f t="shared" ca="1" si="0"/>
        <v>0</v>
      </c>
      <c r="L26" s="68">
        <f t="shared" ca="1" si="1"/>
        <v>0</v>
      </c>
      <c r="M26" s="68">
        <f t="shared" ca="1" si="2"/>
        <v>0</v>
      </c>
      <c r="N26" s="68" t="b">
        <f t="shared" ca="1" si="3"/>
        <v>0</v>
      </c>
      <c r="O26" s="68" t="str">
        <f t="shared" ca="1" si="4"/>
        <v/>
      </c>
      <c r="P26" s="68"/>
      <c r="Q26" s="68"/>
      <c r="R26" s="68"/>
      <c r="S26" s="68"/>
      <c r="T26" s="68"/>
      <c r="U26" s="68"/>
    </row>
    <row r="27" spans="1:21" ht="15.75">
      <c r="A27" s="83">
        <v>25</v>
      </c>
      <c r="B27" s="48"/>
      <c r="C27" s="49"/>
      <c r="D27" s="50"/>
      <c r="E27" s="46">
        <v>0</v>
      </c>
      <c r="F27" s="55"/>
      <c r="G27" s="56"/>
      <c r="H27" s="56"/>
      <c r="I27" s="50"/>
      <c r="J27" s="48"/>
      <c r="K27" s="25">
        <f t="shared" ca="1" si="0"/>
        <v>0</v>
      </c>
      <c r="L27" s="68">
        <f t="shared" ca="1" si="1"/>
        <v>0</v>
      </c>
      <c r="M27" s="68">
        <f t="shared" ca="1" si="2"/>
        <v>0</v>
      </c>
      <c r="N27" s="68" t="b">
        <f t="shared" ca="1" si="3"/>
        <v>0</v>
      </c>
      <c r="O27" s="68" t="str">
        <f ca="1">IF(C27="","",DATEDIF($C27,TODAY(),"m"))</f>
        <v/>
      </c>
      <c r="P27" s="68"/>
      <c r="Q27" s="68"/>
      <c r="R27" s="68"/>
      <c r="S27" s="68"/>
      <c r="T27" s="68"/>
      <c r="U27" s="68"/>
    </row>
  </sheetData>
  <sheetProtection algorithmName="SHA-512" hashValue="zsVZiqcMXWWupC1L3La87OiaLGrXnVc/4LZOt9mvanBkEKuI7WQX0CK/GbumELQr+4KabCorUnryil1gqML6Bw==" saltValue="t2gOVWOCRrA1QiYeFs+5wQ==" spinCount="100000" sheet="1" objects="1" scenarios="1" selectLockedCells="1"/>
  <mergeCells count="1">
    <mergeCell ref="P4:T4"/>
  </mergeCells>
  <conditionalFormatting sqref="A3:K27">
    <cfRule type="expression" dxfId="228" priority="1">
      <formula>ROW()=CELL("LIN")</formula>
    </cfRule>
    <cfRule type="expression" dxfId="227" priority="2">
      <formula>IF($D3&lt;&gt;"",1,0)</formula>
    </cfRule>
  </conditionalFormatting>
  <conditionalFormatting sqref="O3:O27">
    <cfRule type="cellIs" dxfId="226" priority="3" operator="lessThan">
      <formula>$T$3</formula>
    </cfRule>
  </conditionalFormatting>
  <pageMargins left="1" right="1" top="1" bottom="1" header="0.5" footer="0.5"/>
  <pageSetup paperSize="9" scale="51" fitToHeight="0" orientation="landscape" horizontalDpi="300" verticalDpi="300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2C6008-AB49-4BA6-BAEF-0855CAD4C0AA}">
  <sheetPr codeName="Planilha5"/>
  <dimension ref="A1:AE29"/>
  <sheetViews>
    <sheetView showGridLines="0" showRowColHeaders="0" view="pageBreakPreview" zoomScale="60" zoomScaleNormal="70" workbookViewId="0">
      <pane xSplit="4" topLeftCell="E1" activePane="topRight" state="frozen"/>
      <selection sqref="A1:D3"/>
      <selection pane="topRight" activeCell="A5" sqref="A5"/>
    </sheetView>
  </sheetViews>
  <sheetFormatPr defaultRowHeight="12.75"/>
  <cols>
    <col min="2" max="2" width="39.28515625" bestFit="1" customWidth="1"/>
    <col min="3" max="3" width="14.28515625" customWidth="1"/>
    <col min="4" max="4" width="40.140625" customWidth="1"/>
    <col min="5" max="5" width="15.28515625" customWidth="1"/>
    <col min="6" max="6" width="16.28515625" customWidth="1"/>
    <col min="7" max="7" width="24.7109375" customWidth="1"/>
    <col min="8" max="8" width="15.140625" customWidth="1"/>
    <col min="9" max="9" width="14.5703125" customWidth="1"/>
    <col min="10" max="10" width="24.5703125" customWidth="1"/>
    <col min="12" max="12" width="14.140625" customWidth="1"/>
    <col min="13" max="13" width="15.140625" customWidth="1"/>
    <col min="14" max="14" width="23.5703125" customWidth="1"/>
    <col min="15" max="15" width="14.85546875" customWidth="1"/>
    <col min="16" max="16" width="15.85546875" customWidth="1"/>
    <col min="17" max="17" width="24.28515625" customWidth="1"/>
    <col min="19" max="19" width="15.140625" customWidth="1"/>
    <col min="20" max="20" width="16.140625" customWidth="1"/>
    <col min="21" max="21" width="24.5703125" customWidth="1"/>
    <col min="22" max="22" width="14.7109375" customWidth="1"/>
    <col min="23" max="23" width="15.7109375" customWidth="1"/>
    <col min="24" max="24" width="24.140625" customWidth="1"/>
    <col min="26" max="26" width="15" customWidth="1"/>
    <col min="27" max="27" width="16" customWidth="1"/>
    <col min="28" max="28" width="24.42578125" customWidth="1"/>
    <col min="29" max="29" width="15.140625" customWidth="1"/>
    <col min="30" max="30" width="16.140625" customWidth="1"/>
    <col min="31" max="31" width="24.5703125" customWidth="1"/>
  </cols>
  <sheetData>
    <row r="1" spans="1:31" ht="30" customHeight="1" thickBot="1">
      <c r="A1" s="124" t="str">
        <f>CONCATENATE('2P-B-Turma'!B2&amp;" - ",'2P-B-Turma'!B3)</f>
        <v>2º Periodo - B - Manhã</v>
      </c>
      <c r="B1" s="124"/>
      <c r="C1" s="124"/>
      <c r="D1" s="125"/>
      <c r="E1" s="128" t="s">
        <v>41</v>
      </c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  <c r="V1" s="129"/>
      <c r="W1" s="129"/>
      <c r="X1" s="129"/>
      <c r="Y1" s="129"/>
      <c r="Z1" s="129"/>
      <c r="AA1" s="129"/>
      <c r="AB1" s="129"/>
      <c r="AC1" s="129"/>
      <c r="AD1" s="129"/>
      <c r="AE1" s="130"/>
    </row>
    <row r="2" spans="1:31" ht="16.5" thickBot="1">
      <c r="A2" s="124"/>
      <c r="B2" s="124"/>
      <c r="C2" s="124"/>
      <c r="D2" s="125"/>
      <c r="E2" s="131" t="s">
        <v>37</v>
      </c>
      <c r="F2" s="132"/>
      <c r="G2" s="132"/>
      <c r="H2" s="132"/>
      <c r="I2" s="132"/>
      <c r="J2" s="132"/>
      <c r="K2" s="132"/>
      <c r="L2" s="132"/>
      <c r="M2" s="132"/>
      <c r="N2" s="132"/>
      <c r="O2" s="132"/>
      <c r="P2" s="132"/>
      <c r="Q2" s="133"/>
      <c r="R2" s="64"/>
      <c r="S2" s="131" t="s">
        <v>38</v>
      </c>
      <c r="T2" s="132"/>
      <c r="U2" s="132"/>
      <c r="V2" s="132"/>
      <c r="W2" s="132"/>
      <c r="X2" s="132"/>
      <c r="Y2" s="132"/>
      <c r="Z2" s="132"/>
      <c r="AA2" s="132"/>
      <c r="AB2" s="132"/>
      <c r="AC2" s="132"/>
      <c r="AD2" s="132"/>
      <c r="AE2" s="133"/>
    </row>
    <row r="3" spans="1:31" ht="15">
      <c r="A3" s="126"/>
      <c r="B3" s="126"/>
      <c r="C3" s="126"/>
      <c r="D3" s="127"/>
      <c r="E3" s="134" t="s">
        <v>33</v>
      </c>
      <c r="F3" s="135"/>
      <c r="G3" s="136"/>
      <c r="H3" s="138" t="s">
        <v>34</v>
      </c>
      <c r="I3" s="139"/>
      <c r="J3" s="140"/>
      <c r="K3" s="64"/>
      <c r="L3" s="134" t="s">
        <v>35</v>
      </c>
      <c r="M3" s="135"/>
      <c r="N3" s="136"/>
      <c r="O3" s="138" t="s">
        <v>36</v>
      </c>
      <c r="P3" s="139"/>
      <c r="Q3" s="140"/>
      <c r="R3" s="64"/>
      <c r="S3" s="137" t="s">
        <v>39</v>
      </c>
      <c r="T3" s="135"/>
      <c r="U3" s="136"/>
      <c r="V3" s="141" t="s">
        <v>40</v>
      </c>
      <c r="W3" s="139"/>
      <c r="X3" s="140"/>
      <c r="Y3" s="64"/>
      <c r="Z3" s="134" t="s">
        <v>31</v>
      </c>
      <c r="AA3" s="135"/>
      <c r="AB3" s="136"/>
      <c r="AC3" s="138" t="s">
        <v>32</v>
      </c>
      <c r="AD3" s="139"/>
      <c r="AE3" s="140"/>
    </row>
    <row r="4" spans="1:31" ht="31.5">
      <c r="A4" s="63" t="s">
        <v>9</v>
      </c>
      <c r="B4" s="57" t="s">
        <v>10</v>
      </c>
      <c r="C4" s="58" t="s">
        <v>13</v>
      </c>
      <c r="D4" s="59" t="s">
        <v>16</v>
      </c>
      <c r="E4" s="31" t="s">
        <v>42</v>
      </c>
      <c r="F4" s="32" t="s">
        <v>43</v>
      </c>
      <c r="G4" s="33" t="s">
        <v>44</v>
      </c>
      <c r="H4" s="34" t="s">
        <v>46</v>
      </c>
      <c r="I4" s="35" t="s">
        <v>45</v>
      </c>
      <c r="J4" s="36" t="s">
        <v>51</v>
      </c>
      <c r="K4" s="65" t="s">
        <v>47</v>
      </c>
      <c r="L4" s="37" t="s">
        <v>48</v>
      </c>
      <c r="M4" s="32" t="s">
        <v>49</v>
      </c>
      <c r="N4" s="33" t="s">
        <v>50</v>
      </c>
      <c r="O4" s="34" t="s">
        <v>52</v>
      </c>
      <c r="P4" s="35" t="s">
        <v>53</v>
      </c>
      <c r="Q4" s="36" t="s">
        <v>54</v>
      </c>
      <c r="R4" s="65" t="s">
        <v>55</v>
      </c>
      <c r="S4" s="37" t="s">
        <v>56</v>
      </c>
      <c r="T4" s="32" t="s">
        <v>57</v>
      </c>
      <c r="U4" s="33" t="s">
        <v>58</v>
      </c>
      <c r="V4" s="34" t="s">
        <v>59</v>
      </c>
      <c r="W4" s="35" t="s">
        <v>60</v>
      </c>
      <c r="X4" s="36" t="s">
        <v>61</v>
      </c>
      <c r="Y4" s="65" t="s">
        <v>62</v>
      </c>
      <c r="Z4" s="37" t="s">
        <v>63</v>
      </c>
      <c r="AA4" s="32" t="s">
        <v>64</v>
      </c>
      <c r="AB4" s="33" t="s">
        <v>65</v>
      </c>
      <c r="AC4" s="34" t="s">
        <v>66</v>
      </c>
      <c r="AD4" s="35" t="s">
        <v>67</v>
      </c>
      <c r="AE4" s="38" t="s">
        <v>68</v>
      </c>
    </row>
    <row r="5" spans="1:31" ht="15">
      <c r="A5" s="72">
        <v>1</v>
      </c>
      <c r="B5" s="60" t="str">
        <f>IF('2P-B'!B3&lt;&gt;0,'2P-B'!B3,"")</f>
        <v/>
      </c>
      <c r="C5" s="61" t="str">
        <f>IF('2P-B'!C3&lt;&gt;0,'2P-B'!C3,"")</f>
        <v/>
      </c>
      <c r="D5" s="62" t="str">
        <f>IF('2P-B'!D3&lt;&gt;0,'2P-B'!D3,"")</f>
        <v/>
      </c>
      <c r="E5" s="43">
        <v>6</v>
      </c>
      <c r="F5" s="42">
        <v>4</v>
      </c>
      <c r="G5" s="28">
        <f t="shared" ref="G5:G29" si="0">ROUND((E5*100)/(E5+F5),0)/100</f>
        <v>0.6</v>
      </c>
      <c r="H5" s="39"/>
      <c r="I5" s="40"/>
      <c r="J5" s="29" t="e">
        <f t="shared" ref="J5:J29" si="1">ROUND((H5*100)/(H5+I5),0)/100</f>
        <v>#DIV/0!</v>
      </c>
      <c r="K5" s="87">
        <f>Tabela27368[[#This Row],[Nº]]</f>
        <v>1</v>
      </c>
      <c r="L5" s="41"/>
      <c r="M5" s="42"/>
      <c r="N5" s="28" t="e">
        <f t="shared" ref="N5:N29" si="2">ROUND((L5*100)/(L5+M5),0)/100</f>
        <v>#DIV/0!</v>
      </c>
      <c r="O5" s="39"/>
      <c r="P5" s="40"/>
      <c r="Q5" s="29" t="e">
        <f t="shared" ref="Q5:Q29" si="3">ROUND((O5*100)/(O5+P5),0)/100</f>
        <v>#DIV/0!</v>
      </c>
      <c r="R5" s="87">
        <f>Tabela27368[[#This Row],[Nº]]</f>
        <v>1</v>
      </c>
      <c r="S5" s="41"/>
      <c r="T5" s="42"/>
      <c r="U5" s="28" t="e">
        <f t="shared" ref="U5:U29" si="4">ROUND((S5*100)/(S5+T5),0)/100</f>
        <v>#DIV/0!</v>
      </c>
      <c r="V5" s="39"/>
      <c r="W5" s="40"/>
      <c r="X5" s="29" t="e">
        <f t="shared" ref="X5:X29" si="5">ROUND((V5*100)/(V5+W5),0)/100</f>
        <v>#DIV/0!</v>
      </c>
      <c r="Y5" s="87">
        <f>Tabela27368[[#This Row],[Nº]]</f>
        <v>1</v>
      </c>
      <c r="Z5" s="41"/>
      <c r="AA5" s="42"/>
      <c r="AB5" s="28" t="e">
        <f t="shared" ref="AB5:AB29" si="6">ROUND((Z5*100)/(Z5+AA5),0)/100</f>
        <v>#DIV/0!</v>
      </c>
      <c r="AC5" s="39"/>
      <c r="AD5" s="40"/>
      <c r="AE5" s="30" t="e">
        <f t="shared" ref="AE5:AE29" si="7">ROUND((AC5*100)/(AC5+AD5),0)/100</f>
        <v>#DIV/0!</v>
      </c>
    </row>
    <row r="6" spans="1:31" ht="15">
      <c r="A6" s="72">
        <v>2</v>
      </c>
      <c r="B6" s="60" t="str">
        <f>IF('2P-B'!B4&lt;&gt;0,'2P-B'!B4,"")</f>
        <v/>
      </c>
      <c r="C6" s="61" t="str">
        <f>IF('2P-B'!C4&lt;&gt;0,'2P-B'!C4,"")</f>
        <v/>
      </c>
      <c r="D6" s="62" t="str">
        <f>IF('2P-B'!D4&lt;&gt;0,'2P-B'!D4,"")</f>
        <v/>
      </c>
      <c r="E6" s="43"/>
      <c r="F6" s="42"/>
      <c r="G6" s="28" t="e">
        <f t="shared" si="0"/>
        <v>#DIV/0!</v>
      </c>
      <c r="H6" s="39"/>
      <c r="I6" s="40"/>
      <c r="J6" s="29" t="e">
        <f t="shared" si="1"/>
        <v>#DIV/0!</v>
      </c>
      <c r="K6" s="87">
        <f>Tabela27368[[#This Row],[Nº]]</f>
        <v>2</v>
      </c>
      <c r="L6" s="41"/>
      <c r="M6" s="42"/>
      <c r="N6" s="28" t="e">
        <f t="shared" si="2"/>
        <v>#DIV/0!</v>
      </c>
      <c r="O6" s="39"/>
      <c r="P6" s="40"/>
      <c r="Q6" s="29" t="e">
        <f t="shared" si="3"/>
        <v>#DIV/0!</v>
      </c>
      <c r="R6" s="87">
        <f>Tabela27368[[#This Row],[Nº]]</f>
        <v>2</v>
      </c>
      <c r="S6" s="41"/>
      <c r="T6" s="42"/>
      <c r="U6" s="28" t="e">
        <f t="shared" si="4"/>
        <v>#DIV/0!</v>
      </c>
      <c r="V6" s="39"/>
      <c r="W6" s="40"/>
      <c r="X6" s="29" t="e">
        <f t="shared" si="5"/>
        <v>#DIV/0!</v>
      </c>
      <c r="Y6" s="87">
        <f>Tabela27368[[#This Row],[Nº]]</f>
        <v>2</v>
      </c>
      <c r="Z6" s="41"/>
      <c r="AA6" s="42"/>
      <c r="AB6" s="28" t="e">
        <f t="shared" si="6"/>
        <v>#DIV/0!</v>
      </c>
      <c r="AC6" s="39"/>
      <c r="AD6" s="40"/>
      <c r="AE6" s="30" t="e">
        <f t="shared" si="7"/>
        <v>#DIV/0!</v>
      </c>
    </row>
    <row r="7" spans="1:31" ht="15">
      <c r="A7" s="72">
        <v>3</v>
      </c>
      <c r="B7" s="60" t="str">
        <f>IF('2P-B'!B5&lt;&gt;0,'2P-B'!B5,"")</f>
        <v/>
      </c>
      <c r="C7" s="61" t="str">
        <f>IF('2P-B'!C5&lt;&gt;0,'2P-B'!C5,"")</f>
        <v/>
      </c>
      <c r="D7" s="62" t="str">
        <f>IF('2P-B'!D5&lt;&gt;0,'2P-B'!D5,"")</f>
        <v/>
      </c>
      <c r="E7" s="43"/>
      <c r="F7" s="42"/>
      <c r="G7" s="28" t="e">
        <f t="shared" si="0"/>
        <v>#DIV/0!</v>
      </c>
      <c r="H7" s="39"/>
      <c r="I7" s="40"/>
      <c r="J7" s="29" t="e">
        <f t="shared" si="1"/>
        <v>#DIV/0!</v>
      </c>
      <c r="K7" s="87">
        <f>Tabela27368[[#This Row],[Nº]]</f>
        <v>3</v>
      </c>
      <c r="L7" s="41"/>
      <c r="M7" s="42"/>
      <c r="N7" s="28" t="e">
        <f t="shared" si="2"/>
        <v>#DIV/0!</v>
      </c>
      <c r="O7" s="39"/>
      <c r="P7" s="40"/>
      <c r="Q7" s="29" t="e">
        <f t="shared" si="3"/>
        <v>#DIV/0!</v>
      </c>
      <c r="R7" s="87">
        <f>Tabela27368[[#This Row],[Nº]]</f>
        <v>3</v>
      </c>
      <c r="S7" s="41"/>
      <c r="T7" s="42"/>
      <c r="U7" s="28" t="e">
        <f t="shared" si="4"/>
        <v>#DIV/0!</v>
      </c>
      <c r="V7" s="39"/>
      <c r="W7" s="40"/>
      <c r="X7" s="29" t="e">
        <f t="shared" si="5"/>
        <v>#DIV/0!</v>
      </c>
      <c r="Y7" s="87">
        <f>Tabela27368[[#This Row],[Nº]]</f>
        <v>3</v>
      </c>
      <c r="Z7" s="41"/>
      <c r="AA7" s="42"/>
      <c r="AB7" s="28" t="e">
        <f t="shared" si="6"/>
        <v>#DIV/0!</v>
      </c>
      <c r="AC7" s="39"/>
      <c r="AD7" s="40"/>
      <c r="AE7" s="30" t="e">
        <f t="shared" si="7"/>
        <v>#DIV/0!</v>
      </c>
    </row>
    <row r="8" spans="1:31" ht="15">
      <c r="A8" s="72">
        <v>4</v>
      </c>
      <c r="B8" s="60" t="str">
        <f>IF('2P-B'!B6&lt;&gt;0,'2P-B'!B6,"")</f>
        <v/>
      </c>
      <c r="C8" s="61" t="str">
        <f>IF('2P-B'!C6&lt;&gt;0,'2P-B'!C6,"")</f>
        <v/>
      </c>
      <c r="D8" s="62" t="str">
        <f>IF('2P-B'!D6&lt;&gt;0,'2P-B'!D6,"")</f>
        <v/>
      </c>
      <c r="E8" s="43"/>
      <c r="F8" s="42"/>
      <c r="G8" s="28" t="e">
        <f t="shared" si="0"/>
        <v>#DIV/0!</v>
      </c>
      <c r="H8" s="39"/>
      <c r="I8" s="40"/>
      <c r="J8" s="29" t="e">
        <f t="shared" si="1"/>
        <v>#DIV/0!</v>
      </c>
      <c r="K8" s="87">
        <f>Tabela27368[[#This Row],[Nº]]</f>
        <v>4</v>
      </c>
      <c r="L8" s="41"/>
      <c r="M8" s="42"/>
      <c r="N8" s="28" t="e">
        <f t="shared" si="2"/>
        <v>#DIV/0!</v>
      </c>
      <c r="O8" s="39"/>
      <c r="P8" s="40"/>
      <c r="Q8" s="29" t="e">
        <f t="shared" si="3"/>
        <v>#DIV/0!</v>
      </c>
      <c r="R8" s="87">
        <f>Tabela27368[[#This Row],[Nº]]</f>
        <v>4</v>
      </c>
      <c r="S8" s="41"/>
      <c r="T8" s="42"/>
      <c r="U8" s="28" t="e">
        <f t="shared" si="4"/>
        <v>#DIV/0!</v>
      </c>
      <c r="V8" s="39"/>
      <c r="W8" s="40"/>
      <c r="X8" s="29" t="e">
        <f t="shared" si="5"/>
        <v>#DIV/0!</v>
      </c>
      <c r="Y8" s="87">
        <f>Tabela27368[[#This Row],[Nº]]</f>
        <v>4</v>
      </c>
      <c r="Z8" s="41"/>
      <c r="AA8" s="42"/>
      <c r="AB8" s="28" t="e">
        <f t="shared" si="6"/>
        <v>#DIV/0!</v>
      </c>
      <c r="AC8" s="39"/>
      <c r="AD8" s="40"/>
      <c r="AE8" s="30" t="e">
        <f t="shared" si="7"/>
        <v>#DIV/0!</v>
      </c>
    </row>
    <row r="9" spans="1:31" ht="15">
      <c r="A9" s="72">
        <v>5</v>
      </c>
      <c r="B9" s="60" t="str">
        <f>IF('2P-B'!B7&lt;&gt;0,'2P-B'!B7,"")</f>
        <v/>
      </c>
      <c r="C9" s="61" t="str">
        <f>IF('2P-B'!C7&lt;&gt;0,'2P-B'!C7,"")</f>
        <v/>
      </c>
      <c r="D9" s="62" t="str">
        <f>IF('2P-B'!D7&lt;&gt;0,'2P-B'!D7,"")</f>
        <v/>
      </c>
      <c r="E9" s="43"/>
      <c r="F9" s="42"/>
      <c r="G9" s="28" t="e">
        <f t="shared" si="0"/>
        <v>#DIV/0!</v>
      </c>
      <c r="H9" s="39"/>
      <c r="I9" s="40"/>
      <c r="J9" s="29" t="e">
        <f t="shared" si="1"/>
        <v>#DIV/0!</v>
      </c>
      <c r="K9" s="87">
        <f>Tabela27368[[#This Row],[Nº]]</f>
        <v>5</v>
      </c>
      <c r="L9" s="41"/>
      <c r="M9" s="42"/>
      <c r="N9" s="28" t="e">
        <f t="shared" si="2"/>
        <v>#DIV/0!</v>
      </c>
      <c r="O9" s="39"/>
      <c r="P9" s="40"/>
      <c r="Q9" s="29" t="e">
        <f t="shared" si="3"/>
        <v>#DIV/0!</v>
      </c>
      <c r="R9" s="87">
        <f>Tabela27368[[#This Row],[Nº]]</f>
        <v>5</v>
      </c>
      <c r="S9" s="41"/>
      <c r="T9" s="42"/>
      <c r="U9" s="28" t="e">
        <f t="shared" si="4"/>
        <v>#DIV/0!</v>
      </c>
      <c r="V9" s="39"/>
      <c r="W9" s="40"/>
      <c r="X9" s="29" t="e">
        <f t="shared" si="5"/>
        <v>#DIV/0!</v>
      </c>
      <c r="Y9" s="87">
        <f>Tabela27368[[#This Row],[Nº]]</f>
        <v>5</v>
      </c>
      <c r="Z9" s="41"/>
      <c r="AA9" s="42"/>
      <c r="AB9" s="28" t="e">
        <f t="shared" si="6"/>
        <v>#DIV/0!</v>
      </c>
      <c r="AC9" s="39"/>
      <c r="AD9" s="40"/>
      <c r="AE9" s="30" t="e">
        <f t="shared" si="7"/>
        <v>#DIV/0!</v>
      </c>
    </row>
    <row r="10" spans="1:31" ht="15">
      <c r="A10" s="72">
        <v>6</v>
      </c>
      <c r="B10" s="60" t="str">
        <f>IF('2P-B'!B8&lt;&gt;0,'2P-B'!B8,"")</f>
        <v/>
      </c>
      <c r="C10" s="61" t="str">
        <f>IF('2P-B'!C8&lt;&gt;0,'2P-B'!C8,"")</f>
        <v/>
      </c>
      <c r="D10" s="62" t="str">
        <f>IF('2P-B'!D8&lt;&gt;0,'2P-B'!D8,"")</f>
        <v/>
      </c>
      <c r="E10" s="43"/>
      <c r="F10" s="42"/>
      <c r="G10" s="28" t="e">
        <f t="shared" si="0"/>
        <v>#DIV/0!</v>
      </c>
      <c r="H10" s="39"/>
      <c r="I10" s="40"/>
      <c r="J10" s="29" t="e">
        <f t="shared" si="1"/>
        <v>#DIV/0!</v>
      </c>
      <c r="K10" s="87">
        <f>Tabela27368[[#This Row],[Nº]]</f>
        <v>6</v>
      </c>
      <c r="L10" s="41"/>
      <c r="M10" s="42"/>
      <c r="N10" s="28" t="e">
        <f t="shared" si="2"/>
        <v>#DIV/0!</v>
      </c>
      <c r="O10" s="39"/>
      <c r="P10" s="40"/>
      <c r="Q10" s="29" t="e">
        <f t="shared" si="3"/>
        <v>#DIV/0!</v>
      </c>
      <c r="R10" s="87">
        <f>Tabela27368[[#This Row],[Nº]]</f>
        <v>6</v>
      </c>
      <c r="S10" s="41"/>
      <c r="T10" s="42"/>
      <c r="U10" s="28" t="e">
        <f t="shared" si="4"/>
        <v>#DIV/0!</v>
      </c>
      <c r="V10" s="39"/>
      <c r="W10" s="40"/>
      <c r="X10" s="29" t="e">
        <f t="shared" si="5"/>
        <v>#DIV/0!</v>
      </c>
      <c r="Y10" s="87">
        <f>Tabela27368[[#This Row],[Nº]]</f>
        <v>6</v>
      </c>
      <c r="Z10" s="41"/>
      <c r="AA10" s="42"/>
      <c r="AB10" s="28" t="e">
        <f t="shared" si="6"/>
        <v>#DIV/0!</v>
      </c>
      <c r="AC10" s="39"/>
      <c r="AD10" s="40"/>
      <c r="AE10" s="30" t="e">
        <f t="shared" si="7"/>
        <v>#DIV/0!</v>
      </c>
    </row>
    <row r="11" spans="1:31" ht="15">
      <c r="A11" s="72">
        <v>7</v>
      </c>
      <c r="B11" s="60" t="str">
        <f>IF('2P-B'!B9&lt;&gt;0,'2P-B'!B9,"")</f>
        <v/>
      </c>
      <c r="C11" s="61" t="str">
        <f>IF('2P-B'!C9&lt;&gt;0,'2P-B'!C9,"")</f>
        <v/>
      </c>
      <c r="D11" s="62" t="str">
        <f>IF('2P-B'!D9&lt;&gt;0,'2P-B'!D9,"")</f>
        <v/>
      </c>
      <c r="E11" s="43"/>
      <c r="F11" s="42"/>
      <c r="G11" s="28" t="e">
        <f t="shared" si="0"/>
        <v>#DIV/0!</v>
      </c>
      <c r="H11" s="39"/>
      <c r="I11" s="40"/>
      <c r="J11" s="29" t="e">
        <f t="shared" si="1"/>
        <v>#DIV/0!</v>
      </c>
      <c r="K11" s="87">
        <f>Tabela27368[[#This Row],[Nº]]</f>
        <v>7</v>
      </c>
      <c r="L11" s="41"/>
      <c r="M11" s="42"/>
      <c r="N11" s="28" t="e">
        <f t="shared" si="2"/>
        <v>#DIV/0!</v>
      </c>
      <c r="O11" s="39"/>
      <c r="P11" s="40"/>
      <c r="Q11" s="29" t="e">
        <f t="shared" si="3"/>
        <v>#DIV/0!</v>
      </c>
      <c r="R11" s="87">
        <f>Tabela27368[[#This Row],[Nº]]</f>
        <v>7</v>
      </c>
      <c r="S11" s="41"/>
      <c r="T11" s="42"/>
      <c r="U11" s="28" t="e">
        <f t="shared" si="4"/>
        <v>#DIV/0!</v>
      </c>
      <c r="V11" s="39"/>
      <c r="W11" s="40"/>
      <c r="X11" s="29" t="e">
        <f t="shared" si="5"/>
        <v>#DIV/0!</v>
      </c>
      <c r="Y11" s="87">
        <f>Tabela27368[[#This Row],[Nº]]</f>
        <v>7</v>
      </c>
      <c r="Z11" s="41"/>
      <c r="AA11" s="42"/>
      <c r="AB11" s="28" t="e">
        <f t="shared" si="6"/>
        <v>#DIV/0!</v>
      </c>
      <c r="AC11" s="39"/>
      <c r="AD11" s="40"/>
      <c r="AE11" s="30" t="e">
        <f t="shared" si="7"/>
        <v>#DIV/0!</v>
      </c>
    </row>
    <row r="12" spans="1:31" ht="15">
      <c r="A12" s="72">
        <v>8</v>
      </c>
      <c r="B12" s="60" t="str">
        <f>IF('2P-B'!B10&lt;&gt;0,'2P-B'!B10,"")</f>
        <v/>
      </c>
      <c r="C12" s="61" t="str">
        <f>IF('2P-B'!C10&lt;&gt;0,'2P-B'!C10,"")</f>
        <v/>
      </c>
      <c r="D12" s="62" t="str">
        <f>IF('2P-B'!D10&lt;&gt;0,'2P-B'!D10,"")</f>
        <v/>
      </c>
      <c r="E12" s="43"/>
      <c r="F12" s="42"/>
      <c r="G12" s="28" t="e">
        <f t="shared" si="0"/>
        <v>#DIV/0!</v>
      </c>
      <c r="H12" s="39"/>
      <c r="I12" s="40"/>
      <c r="J12" s="29" t="e">
        <f t="shared" si="1"/>
        <v>#DIV/0!</v>
      </c>
      <c r="K12" s="87">
        <f>Tabela27368[[#This Row],[Nº]]</f>
        <v>8</v>
      </c>
      <c r="L12" s="41"/>
      <c r="M12" s="42"/>
      <c r="N12" s="28" t="e">
        <f t="shared" si="2"/>
        <v>#DIV/0!</v>
      </c>
      <c r="O12" s="39"/>
      <c r="P12" s="40"/>
      <c r="Q12" s="29" t="e">
        <f t="shared" si="3"/>
        <v>#DIV/0!</v>
      </c>
      <c r="R12" s="87">
        <f>Tabela27368[[#This Row],[Nº]]</f>
        <v>8</v>
      </c>
      <c r="S12" s="41"/>
      <c r="T12" s="42"/>
      <c r="U12" s="28" t="e">
        <f t="shared" si="4"/>
        <v>#DIV/0!</v>
      </c>
      <c r="V12" s="39"/>
      <c r="W12" s="40"/>
      <c r="X12" s="29" t="e">
        <f t="shared" si="5"/>
        <v>#DIV/0!</v>
      </c>
      <c r="Y12" s="87">
        <f>Tabela27368[[#This Row],[Nº]]</f>
        <v>8</v>
      </c>
      <c r="Z12" s="41"/>
      <c r="AA12" s="42"/>
      <c r="AB12" s="28" t="e">
        <f t="shared" si="6"/>
        <v>#DIV/0!</v>
      </c>
      <c r="AC12" s="39"/>
      <c r="AD12" s="40"/>
      <c r="AE12" s="30" t="e">
        <f t="shared" si="7"/>
        <v>#DIV/0!</v>
      </c>
    </row>
    <row r="13" spans="1:31" ht="15">
      <c r="A13" s="72">
        <v>9</v>
      </c>
      <c r="B13" s="60" t="str">
        <f>IF('2P-B'!B11&lt;&gt;0,'2P-B'!B11,"")</f>
        <v/>
      </c>
      <c r="C13" s="61" t="str">
        <f>IF('2P-B'!C11&lt;&gt;0,'2P-B'!C11,"")</f>
        <v/>
      </c>
      <c r="D13" s="62" t="str">
        <f>IF('2P-B'!D11&lt;&gt;0,'2P-B'!D11,"")</f>
        <v/>
      </c>
      <c r="E13" s="43"/>
      <c r="F13" s="42"/>
      <c r="G13" s="28" t="e">
        <f t="shared" si="0"/>
        <v>#DIV/0!</v>
      </c>
      <c r="H13" s="39"/>
      <c r="I13" s="40"/>
      <c r="J13" s="29" t="e">
        <f t="shared" si="1"/>
        <v>#DIV/0!</v>
      </c>
      <c r="K13" s="87">
        <f>Tabela27368[[#This Row],[Nº]]</f>
        <v>9</v>
      </c>
      <c r="L13" s="41"/>
      <c r="M13" s="42"/>
      <c r="N13" s="28" t="e">
        <f t="shared" si="2"/>
        <v>#DIV/0!</v>
      </c>
      <c r="O13" s="39"/>
      <c r="P13" s="40"/>
      <c r="Q13" s="29" t="e">
        <f t="shared" si="3"/>
        <v>#DIV/0!</v>
      </c>
      <c r="R13" s="87">
        <f>Tabela27368[[#This Row],[Nº]]</f>
        <v>9</v>
      </c>
      <c r="S13" s="41"/>
      <c r="T13" s="42"/>
      <c r="U13" s="28" t="e">
        <f t="shared" si="4"/>
        <v>#DIV/0!</v>
      </c>
      <c r="V13" s="39"/>
      <c r="W13" s="40"/>
      <c r="X13" s="29" t="e">
        <f t="shared" si="5"/>
        <v>#DIV/0!</v>
      </c>
      <c r="Y13" s="87">
        <f>Tabela27368[[#This Row],[Nº]]</f>
        <v>9</v>
      </c>
      <c r="Z13" s="41"/>
      <c r="AA13" s="42"/>
      <c r="AB13" s="28" t="e">
        <f t="shared" si="6"/>
        <v>#DIV/0!</v>
      </c>
      <c r="AC13" s="39"/>
      <c r="AD13" s="40"/>
      <c r="AE13" s="30" t="e">
        <f t="shared" si="7"/>
        <v>#DIV/0!</v>
      </c>
    </row>
    <row r="14" spans="1:31" ht="15">
      <c r="A14" s="72">
        <v>10</v>
      </c>
      <c r="B14" s="60" t="str">
        <f>IF('2P-B'!B12&lt;&gt;0,'2P-B'!B12,"")</f>
        <v/>
      </c>
      <c r="C14" s="61" t="str">
        <f>IF('2P-B'!C12&lt;&gt;0,'2P-B'!C12,"")</f>
        <v/>
      </c>
      <c r="D14" s="62" t="str">
        <f>IF('2P-B'!D12&lt;&gt;0,'2P-B'!D12,"")</f>
        <v/>
      </c>
      <c r="E14" s="43"/>
      <c r="F14" s="42"/>
      <c r="G14" s="28" t="e">
        <f t="shared" si="0"/>
        <v>#DIV/0!</v>
      </c>
      <c r="H14" s="39"/>
      <c r="I14" s="40"/>
      <c r="J14" s="29" t="e">
        <f t="shared" si="1"/>
        <v>#DIV/0!</v>
      </c>
      <c r="K14" s="87">
        <f>Tabela27368[[#This Row],[Nº]]</f>
        <v>10</v>
      </c>
      <c r="L14" s="41"/>
      <c r="M14" s="42"/>
      <c r="N14" s="28" t="e">
        <f t="shared" si="2"/>
        <v>#DIV/0!</v>
      </c>
      <c r="O14" s="39"/>
      <c r="P14" s="40"/>
      <c r="Q14" s="29" t="e">
        <f t="shared" si="3"/>
        <v>#DIV/0!</v>
      </c>
      <c r="R14" s="87">
        <f>Tabela27368[[#This Row],[Nº]]</f>
        <v>10</v>
      </c>
      <c r="S14" s="41"/>
      <c r="T14" s="42"/>
      <c r="U14" s="28" t="e">
        <f t="shared" si="4"/>
        <v>#DIV/0!</v>
      </c>
      <c r="V14" s="39"/>
      <c r="W14" s="40"/>
      <c r="X14" s="29" t="e">
        <f t="shared" si="5"/>
        <v>#DIV/0!</v>
      </c>
      <c r="Y14" s="87">
        <f>Tabela27368[[#This Row],[Nº]]</f>
        <v>10</v>
      </c>
      <c r="Z14" s="41"/>
      <c r="AA14" s="42"/>
      <c r="AB14" s="28" t="e">
        <f t="shared" si="6"/>
        <v>#DIV/0!</v>
      </c>
      <c r="AC14" s="39"/>
      <c r="AD14" s="40"/>
      <c r="AE14" s="30" t="e">
        <f t="shared" si="7"/>
        <v>#DIV/0!</v>
      </c>
    </row>
    <row r="15" spans="1:31" ht="15">
      <c r="A15" s="72">
        <v>11</v>
      </c>
      <c r="B15" s="60" t="str">
        <f>IF('2P-B'!B13&lt;&gt;0,'2P-B'!B13,"")</f>
        <v/>
      </c>
      <c r="C15" s="61" t="str">
        <f>IF('2P-B'!C13&lt;&gt;0,'2P-B'!C13,"")</f>
        <v/>
      </c>
      <c r="D15" s="62" t="str">
        <f>IF('2P-B'!D13&lt;&gt;0,'2P-B'!D13,"")</f>
        <v/>
      </c>
      <c r="E15" s="43"/>
      <c r="F15" s="42"/>
      <c r="G15" s="28" t="e">
        <f t="shared" si="0"/>
        <v>#DIV/0!</v>
      </c>
      <c r="H15" s="39"/>
      <c r="I15" s="40"/>
      <c r="J15" s="29" t="e">
        <f t="shared" si="1"/>
        <v>#DIV/0!</v>
      </c>
      <c r="K15" s="87">
        <f>Tabela27368[[#This Row],[Nº]]</f>
        <v>11</v>
      </c>
      <c r="L15" s="41"/>
      <c r="M15" s="42"/>
      <c r="N15" s="28" t="e">
        <f t="shared" si="2"/>
        <v>#DIV/0!</v>
      </c>
      <c r="O15" s="39"/>
      <c r="P15" s="40"/>
      <c r="Q15" s="29" t="e">
        <f t="shared" si="3"/>
        <v>#DIV/0!</v>
      </c>
      <c r="R15" s="87">
        <f>Tabela27368[[#This Row],[Nº]]</f>
        <v>11</v>
      </c>
      <c r="S15" s="41"/>
      <c r="T15" s="42"/>
      <c r="U15" s="28" t="e">
        <f t="shared" si="4"/>
        <v>#DIV/0!</v>
      </c>
      <c r="V15" s="39"/>
      <c r="W15" s="40"/>
      <c r="X15" s="29" t="e">
        <f t="shared" si="5"/>
        <v>#DIV/0!</v>
      </c>
      <c r="Y15" s="87">
        <f>Tabela27368[[#This Row],[Nº]]</f>
        <v>11</v>
      </c>
      <c r="Z15" s="41"/>
      <c r="AA15" s="42"/>
      <c r="AB15" s="28" t="e">
        <f t="shared" si="6"/>
        <v>#DIV/0!</v>
      </c>
      <c r="AC15" s="39"/>
      <c r="AD15" s="40"/>
      <c r="AE15" s="30" t="e">
        <f t="shared" si="7"/>
        <v>#DIV/0!</v>
      </c>
    </row>
    <row r="16" spans="1:31" ht="15">
      <c r="A16" s="72">
        <v>12</v>
      </c>
      <c r="B16" s="60" t="str">
        <f>IF('2P-B'!B14&lt;&gt;0,'2P-B'!B14,"")</f>
        <v/>
      </c>
      <c r="C16" s="61" t="str">
        <f>IF('2P-B'!C14&lt;&gt;0,'2P-B'!C14,"")</f>
        <v/>
      </c>
      <c r="D16" s="62" t="str">
        <f>IF('2P-B'!D14&lt;&gt;0,'2P-B'!D14,"")</f>
        <v/>
      </c>
      <c r="E16" s="43"/>
      <c r="F16" s="42"/>
      <c r="G16" s="28" t="e">
        <f t="shared" si="0"/>
        <v>#DIV/0!</v>
      </c>
      <c r="H16" s="39"/>
      <c r="I16" s="40"/>
      <c r="J16" s="29" t="e">
        <f t="shared" si="1"/>
        <v>#DIV/0!</v>
      </c>
      <c r="K16" s="87">
        <f>Tabela27368[[#This Row],[Nº]]</f>
        <v>12</v>
      </c>
      <c r="L16" s="41"/>
      <c r="M16" s="42"/>
      <c r="N16" s="28" t="e">
        <f t="shared" si="2"/>
        <v>#DIV/0!</v>
      </c>
      <c r="O16" s="39"/>
      <c r="P16" s="40"/>
      <c r="Q16" s="29" t="e">
        <f t="shared" si="3"/>
        <v>#DIV/0!</v>
      </c>
      <c r="R16" s="87">
        <f>Tabela27368[[#This Row],[Nº]]</f>
        <v>12</v>
      </c>
      <c r="S16" s="41"/>
      <c r="T16" s="42"/>
      <c r="U16" s="28" t="e">
        <f t="shared" si="4"/>
        <v>#DIV/0!</v>
      </c>
      <c r="V16" s="39"/>
      <c r="W16" s="40"/>
      <c r="X16" s="29" t="e">
        <f t="shared" si="5"/>
        <v>#DIV/0!</v>
      </c>
      <c r="Y16" s="87">
        <f>Tabela27368[[#This Row],[Nº]]</f>
        <v>12</v>
      </c>
      <c r="Z16" s="41"/>
      <c r="AA16" s="42"/>
      <c r="AB16" s="28" t="e">
        <f t="shared" si="6"/>
        <v>#DIV/0!</v>
      </c>
      <c r="AC16" s="39"/>
      <c r="AD16" s="40"/>
      <c r="AE16" s="30" t="e">
        <f t="shared" si="7"/>
        <v>#DIV/0!</v>
      </c>
    </row>
    <row r="17" spans="1:31" ht="15">
      <c r="A17" s="72">
        <v>13</v>
      </c>
      <c r="B17" s="60" t="str">
        <f>IF('2P-B'!B15&lt;&gt;0,'2P-B'!B15,"")</f>
        <v/>
      </c>
      <c r="C17" s="61" t="str">
        <f>IF('2P-B'!C15&lt;&gt;0,'2P-B'!C15,"")</f>
        <v/>
      </c>
      <c r="D17" s="62" t="str">
        <f>IF('2P-B'!D15&lt;&gt;0,'2P-B'!D15,"")</f>
        <v/>
      </c>
      <c r="E17" s="43"/>
      <c r="F17" s="42"/>
      <c r="G17" s="28" t="e">
        <f t="shared" si="0"/>
        <v>#DIV/0!</v>
      </c>
      <c r="H17" s="39"/>
      <c r="I17" s="40"/>
      <c r="J17" s="29" t="e">
        <f t="shared" si="1"/>
        <v>#DIV/0!</v>
      </c>
      <c r="K17" s="87">
        <f>Tabela27368[[#This Row],[Nº]]</f>
        <v>13</v>
      </c>
      <c r="L17" s="41"/>
      <c r="M17" s="42"/>
      <c r="N17" s="28" t="e">
        <f t="shared" si="2"/>
        <v>#DIV/0!</v>
      </c>
      <c r="O17" s="39"/>
      <c r="P17" s="40"/>
      <c r="Q17" s="29" t="e">
        <f t="shared" si="3"/>
        <v>#DIV/0!</v>
      </c>
      <c r="R17" s="87">
        <f>Tabela27368[[#This Row],[Nº]]</f>
        <v>13</v>
      </c>
      <c r="S17" s="41"/>
      <c r="T17" s="42"/>
      <c r="U17" s="28" t="e">
        <f t="shared" si="4"/>
        <v>#DIV/0!</v>
      </c>
      <c r="V17" s="39"/>
      <c r="W17" s="40"/>
      <c r="X17" s="29" t="e">
        <f t="shared" si="5"/>
        <v>#DIV/0!</v>
      </c>
      <c r="Y17" s="87">
        <f>Tabela27368[[#This Row],[Nº]]</f>
        <v>13</v>
      </c>
      <c r="Z17" s="41"/>
      <c r="AA17" s="42"/>
      <c r="AB17" s="28" t="e">
        <f t="shared" si="6"/>
        <v>#DIV/0!</v>
      </c>
      <c r="AC17" s="39"/>
      <c r="AD17" s="40"/>
      <c r="AE17" s="30" t="e">
        <f t="shared" si="7"/>
        <v>#DIV/0!</v>
      </c>
    </row>
    <row r="18" spans="1:31" ht="15">
      <c r="A18" s="72">
        <v>14</v>
      </c>
      <c r="B18" s="60" t="str">
        <f>IF('2P-B'!B16&lt;&gt;0,'2P-B'!B16,"")</f>
        <v/>
      </c>
      <c r="C18" s="61" t="str">
        <f>IF('2P-B'!C16&lt;&gt;0,'2P-B'!C16,"")</f>
        <v/>
      </c>
      <c r="D18" s="62" t="str">
        <f>IF('2P-B'!D16&lt;&gt;0,'2P-B'!D16,"")</f>
        <v/>
      </c>
      <c r="E18" s="43"/>
      <c r="F18" s="42"/>
      <c r="G18" s="28" t="e">
        <f t="shared" si="0"/>
        <v>#DIV/0!</v>
      </c>
      <c r="H18" s="39"/>
      <c r="I18" s="40"/>
      <c r="J18" s="29" t="e">
        <f t="shared" si="1"/>
        <v>#DIV/0!</v>
      </c>
      <c r="K18" s="87">
        <f>Tabela27368[[#This Row],[Nº]]</f>
        <v>14</v>
      </c>
      <c r="L18" s="41"/>
      <c r="M18" s="42"/>
      <c r="N18" s="28" t="e">
        <f t="shared" si="2"/>
        <v>#DIV/0!</v>
      </c>
      <c r="O18" s="39"/>
      <c r="P18" s="40"/>
      <c r="Q18" s="29" t="e">
        <f t="shared" si="3"/>
        <v>#DIV/0!</v>
      </c>
      <c r="R18" s="87">
        <f>Tabela27368[[#This Row],[Nº]]</f>
        <v>14</v>
      </c>
      <c r="S18" s="41"/>
      <c r="T18" s="42"/>
      <c r="U18" s="28" t="e">
        <f t="shared" si="4"/>
        <v>#DIV/0!</v>
      </c>
      <c r="V18" s="39"/>
      <c r="W18" s="40"/>
      <c r="X18" s="29" t="e">
        <f t="shared" si="5"/>
        <v>#DIV/0!</v>
      </c>
      <c r="Y18" s="87">
        <f>Tabela27368[[#This Row],[Nº]]</f>
        <v>14</v>
      </c>
      <c r="Z18" s="41"/>
      <c r="AA18" s="42"/>
      <c r="AB18" s="28" t="e">
        <f t="shared" si="6"/>
        <v>#DIV/0!</v>
      </c>
      <c r="AC18" s="39"/>
      <c r="AD18" s="40"/>
      <c r="AE18" s="30" t="e">
        <f t="shared" si="7"/>
        <v>#DIV/0!</v>
      </c>
    </row>
    <row r="19" spans="1:31" ht="15">
      <c r="A19" s="72">
        <v>15</v>
      </c>
      <c r="B19" s="60" t="str">
        <f>IF('2P-B'!B17&lt;&gt;0,'2P-B'!B17,"")</f>
        <v/>
      </c>
      <c r="C19" s="61" t="str">
        <f>IF('2P-B'!C17&lt;&gt;0,'2P-B'!C17,"")</f>
        <v/>
      </c>
      <c r="D19" s="62" t="str">
        <f>IF('2P-B'!D17&lt;&gt;0,'2P-B'!D17,"")</f>
        <v/>
      </c>
      <c r="E19" s="43"/>
      <c r="F19" s="42"/>
      <c r="G19" s="28" t="e">
        <f t="shared" si="0"/>
        <v>#DIV/0!</v>
      </c>
      <c r="H19" s="39"/>
      <c r="I19" s="40"/>
      <c r="J19" s="29" t="e">
        <f t="shared" si="1"/>
        <v>#DIV/0!</v>
      </c>
      <c r="K19" s="87">
        <f>Tabela27368[[#This Row],[Nº]]</f>
        <v>15</v>
      </c>
      <c r="L19" s="41"/>
      <c r="M19" s="42"/>
      <c r="N19" s="28" t="e">
        <f t="shared" si="2"/>
        <v>#DIV/0!</v>
      </c>
      <c r="O19" s="39"/>
      <c r="P19" s="40"/>
      <c r="Q19" s="29" t="e">
        <f t="shared" si="3"/>
        <v>#DIV/0!</v>
      </c>
      <c r="R19" s="87">
        <f>Tabela27368[[#This Row],[Nº]]</f>
        <v>15</v>
      </c>
      <c r="S19" s="41"/>
      <c r="T19" s="42"/>
      <c r="U19" s="28" t="e">
        <f t="shared" si="4"/>
        <v>#DIV/0!</v>
      </c>
      <c r="V19" s="39"/>
      <c r="W19" s="40"/>
      <c r="X19" s="29" t="e">
        <f t="shared" si="5"/>
        <v>#DIV/0!</v>
      </c>
      <c r="Y19" s="87">
        <f>Tabela27368[[#This Row],[Nº]]</f>
        <v>15</v>
      </c>
      <c r="Z19" s="41"/>
      <c r="AA19" s="42"/>
      <c r="AB19" s="28" t="e">
        <f t="shared" si="6"/>
        <v>#DIV/0!</v>
      </c>
      <c r="AC19" s="39"/>
      <c r="AD19" s="40"/>
      <c r="AE19" s="30" t="e">
        <f t="shared" si="7"/>
        <v>#DIV/0!</v>
      </c>
    </row>
    <row r="20" spans="1:31" ht="15">
      <c r="A20" s="72">
        <v>16</v>
      </c>
      <c r="B20" s="60" t="str">
        <f>IF('2P-B'!B18&lt;&gt;0,'2P-B'!B18,"")</f>
        <v/>
      </c>
      <c r="C20" s="61" t="str">
        <f>IF('2P-B'!C18&lt;&gt;0,'2P-B'!C18,"")</f>
        <v/>
      </c>
      <c r="D20" s="62" t="str">
        <f>IF('2P-B'!D18&lt;&gt;0,'2P-B'!D18,"")</f>
        <v/>
      </c>
      <c r="E20" s="43"/>
      <c r="F20" s="42"/>
      <c r="G20" s="28" t="e">
        <f t="shared" si="0"/>
        <v>#DIV/0!</v>
      </c>
      <c r="H20" s="39"/>
      <c r="I20" s="40"/>
      <c r="J20" s="29" t="e">
        <f t="shared" si="1"/>
        <v>#DIV/0!</v>
      </c>
      <c r="K20" s="87">
        <f>Tabela27368[[#This Row],[Nº]]</f>
        <v>16</v>
      </c>
      <c r="L20" s="41"/>
      <c r="M20" s="42"/>
      <c r="N20" s="28" t="e">
        <f t="shared" si="2"/>
        <v>#DIV/0!</v>
      </c>
      <c r="O20" s="39"/>
      <c r="P20" s="40"/>
      <c r="Q20" s="29" t="e">
        <f t="shared" si="3"/>
        <v>#DIV/0!</v>
      </c>
      <c r="R20" s="87">
        <f>Tabela27368[[#This Row],[Nº]]</f>
        <v>16</v>
      </c>
      <c r="S20" s="41"/>
      <c r="T20" s="42"/>
      <c r="U20" s="28" t="e">
        <f t="shared" si="4"/>
        <v>#DIV/0!</v>
      </c>
      <c r="V20" s="39"/>
      <c r="W20" s="40"/>
      <c r="X20" s="29" t="e">
        <f t="shared" si="5"/>
        <v>#DIV/0!</v>
      </c>
      <c r="Y20" s="87">
        <f>Tabela27368[[#This Row],[Nº]]</f>
        <v>16</v>
      </c>
      <c r="Z20" s="41"/>
      <c r="AA20" s="42"/>
      <c r="AB20" s="28" t="e">
        <f t="shared" si="6"/>
        <v>#DIV/0!</v>
      </c>
      <c r="AC20" s="39"/>
      <c r="AD20" s="40"/>
      <c r="AE20" s="30" t="e">
        <f t="shared" si="7"/>
        <v>#DIV/0!</v>
      </c>
    </row>
    <row r="21" spans="1:31" ht="15">
      <c r="A21" s="72">
        <v>17</v>
      </c>
      <c r="B21" s="60" t="str">
        <f>IF('2P-B'!B19&lt;&gt;0,'2P-B'!B19,"")</f>
        <v/>
      </c>
      <c r="C21" s="61" t="str">
        <f>IF('2P-B'!C19&lt;&gt;0,'2P-B'!C19,"")</f>
        <v/>
      </c>
      <c r="D21" s="62" t="str">
        <f>IF('2P-B'!D19&lt;&gt;0,'2P-B'!D19,"")</f>
        <v/>
      </c>
      <c r="E21" s="43"/>
      <c r="F21" s="42"/>
      <c r="G21" s="28" t="e">
        <f t="shared" si="0"/>
        <v>#DIV/0!</v>
      </c>
      <c r="H21" s="39"/>
      <c r="I21" s="40"/>
      <c r="J21" s="29" t="e">
        <f t="shared" si="1"/>
        <v>#DIV/0!</v>
      </c>
      <c r="K21" s="87">
        <f>Tabela27368[[#This Row],[Nº]]</f>
        <v>17</v>
      </c>
      <c r="L21" s="41"/>
      <c r="M21" s="42"/>
      <c r="N21" s="28" t="e">
        <f t="shared" si="2"/>
        <v>#DIV/0!</v>
      </c>
      <c r="O21" s="39"/>
      <c r="P21" s="40"/>
      <c r="Q21" s="29" t="e">
        <f t="shared" si="3"/>
        <v>#DIV/0!</v>
      </c>
      <c r="R21" s="87">
        <f>Tabela27368[[#This Row],[Nº]]</f>
        <v>17</v>
      </c>
      <c r="S21" s="41"/>
      <c r="T21" s="42"/>
      <c r="U21" s="28" t="e">
        <f t="shared" si="4"/>
        <v>#DIV/0!</v>
      </c>
      <c r="V21" s="39"/>
      <c r="W21" s="40"/>
      <c r="X21" s="29" t="e">
        <f t="shared" si="5"/>
        <v>#DIV/0!</v>
      </c>
      <c r="Y21" s="87">
        <f>Tabela27368[[#This Row],[Nº]]</f>
        <v>17</v>
      </c>
      <c r="Z21" s="41"/>
      <c r="AA21" s="42"/>
      <c r="AB21" s="28" t="e">
        <f t="shared" si="6"/>
        <v>#DIV/0!</v>
      </c>
      <c r="AC21" s="39"/>
      <c r="AD21" s="40"/>
      <c r="AE21" s="30" t="e">
        <f t="shared" si="7"/>
        <v>#DIV/0!</v>
      </c>
    </row>
    <row r="22" spans="1:31" ht="15">
      <c r="A22" s="72">
        <v>18</v>
      </c>
      <c r="B22" s="60" t="str">
        <f>IF('2P-B'!B20&lt;&gt;0,'2P-B'!B20,"")</f>
        <v/>
      </c>
      <c r="C22" s="61" t="str">
        <f>IF('2P-B'!C20&lt;&gt;0,'2P-B'!C20,"")</f>
        <v/>
      </c>
      <c r="D22" s="62" t="str">
        <f>IF('2P-B'!D20&lt;&gt;0,'2P-B'!D20,"")</f>
        <v/>
      </c>
      <c r="E22" s="43"/>
      <c r="F22" s="42"/>
      <c r="G22" s="28" t="e">
        <f t="shared" si="0"/>
        <v>#DIV/0!</v>
      </c>
      <c r="H22" s="39"/>
      <c r="I22" s="40"/>
      <c r="J22" s="29" t="e">
        <f t="shared" si="1"/>
        <v>#DIV/0!</v>
      </c>
      <c r="K22" s="87">
        <f>Tabela27368[[#This Row],[Nº]]</f>
        <v>18</v>
      </c>
      <c r="L22" s="41"/>
      <c r="M22" s="42"/>
      <c r="N22" s="28" t="e">
        <f t="shared" si="2"/>
        <v>#DIV/0!</v>
      </c>
      <c r="O22" s="39"/>
      <c r="P22" s="40"/>
      <c r="Q22" s="29" t="e">
        <f t="shared" si="3"/>
        <v>#DIV/0!</v>
      </c>
      <c r="R22" s="87">
        <f>Tabela27368[[#This Row],[Nº]]</f>
        <v>18</v>
      </c>
      <c r="S22" s="41"/>
      <c r="T22" s="42"/>
      <c r="U22" s="28" t="e">
        <f t="shared" si="4"/>
        <v>#DIV/0!</v>
      </c>
      <c r="V22" s="39"/>
      <c r="W22" s="40"/>
      <c r="X22" s="29" t="e">
        <f t="shared" si="5"/>
        <v>#DIV/0!</v>
      </c>
      <c r="Y22" s="87">
        <f>Tabela27368[[#This Row],[Nº]]</f>
        <v>18</v>
      </c>
      <c r="Z22" s="41"/>
      <c r="AA22" s="42"/>
      <c r="AB22" s="28" t="e">
        <f t="shared" si="6"/>
        <v>#DIV/0!</v>
      </c>
      <c r="AC22" s="39"/>
      <c r="AD22" s="40"/>
      <c r="AE22" s="30" t="e">
        <f t="shared" si="7"/>
        <v>#DIV/0!</v>
      </c>
    </row>
    <row r="23" spans="1:31" ht="15">
      <c r="A23" s="72">
        <v>19</v>
      </c>
      <c r="B23" s="60" t="str">
        <f>IF('2P-B'!B21&lt;&gt;0,'2P-B'!B21,"")</f>
        <v/>
      </c>
      <c r="C23" s="61" t="str">
        <f>IF('2P-B'!C21&lt;&gt;0,'2P-B'!C21,"")</f>
        <v/>
      </c>
      <c r="D23" s="62" t="str">
        <f>IF('2P-B'!D21&lt;&gt;0,'2P-B'!D21,"")</f>
        <v/>
      </c>
      <c r="E23" s="43"/>
      <c r="F23" s="42"/>
      <c r="G23" s="28" t="e">
        <f t="shared" si="0"/>
        <v>#DIV/0!</v>
      </c>
      <c r="H23" s="39"/>
      <c r="I23" s="40"/>
      <c r="J23" s="29" t="e">
        <f t="shared" si="1"/>
        <v>#DIV/0!</v>
      </c>
      <c r="K23" s="87">
        <f>Tabela27368[[#This Row],[Nº]]</f>
        <v>19</v>
      </c>
      <c r="L23" s="41"/>
      <c r="M23" s="42"/>
      <c r="N23" s="28" t="e">
        <f t="shared" si="2"/>
        <v>#DIV/0!</v>
      </c>
      <c r="O23" s="39"/>
      <c r="P23" s="40"/>
      <c r="Q23" s="29" t="e">
        <f t="shared" si="3"/>
        <v>#DIV/0!</v>
      </c>
      <c r="R23" s="87">
        <f>Tabela27368[[#This Row],[Nº]]</f>
        <v>19</v>
      </c>
      <c r="S23" s="41"/>
      <c r="T23" s="42"/>
      <c r="U23" s="28" t="e">
        <f t="shared" si="4"/>
        <v>#DIV/0!</v>
      </c>
      <c r="V23" s="39"/>
      <c r="W23" s="40"/>
      <c r="X23" s="29" t="e">
        <f t="shared" si="5"/>
        <v>#DIV/0!</v>
      </c>
      <c r="Y23" s="87">
        <f>Tabela27368[[#This Row],[Nº]]</f>
        <v>19</v>
      </c>
      <c r="Z23" s="41"/>
      <c r="AA23" s="42"/>
      <c r="AB23" s="28" t="e">
        <f t="shared" si="6"/>
        <v>#DIV/0!</v>
      </c>
      <c r="AC23" s="39"/>
      <c r="AD23" s="40"/>
      <c r="AE23" s="30" t="e">
        <f t="shared" si="7"/>
        <v>#DIV/0!</v>
      </c>
    </row>
    <row r="24" spans="1:31" ht="15">
      <c r="A24" s="72">
        <v>20</v>
      </c>
      <c r="B24" s="60" t="str">
        <f>IF('2P-B'!B22&lt;&gt;0,'2P-B'!B22,"")</f>
        <v/>
      </c>
      <c r="C24" s="61" t="str">
        <f>IF('2P-B'!C22&lt;&gt;0,'2P-B'!C22,"")</f>
        <v/>
      </c>
      <c r="D24" s="62" t="str">
        <f>IF('2P-B'!D22&lt;&gt;0,'2P-B'!D22,"")</f>
        <v/>
      </c>
      <c r="E24" s="43"/>
      <c r="F24" s="42"/>
      <c r="G24" s="28" t="e">
        <f t="shared" si="0"/>
        <v>#DIV/0!</v>
      </c>
      <c r="H24" s="39"/>
      <c r="I24" s="40"/>
      <c r="J24" s="29" t="e">
        <f t="shared" si="1"/>
        <v>#DIV/0!</v>
      </c>
      <c r="K24" s="87">
        <f>Tabela27368[[#This Row],[Nº]]</f>
        <v>20</v>
      </c>
      <c r="L24" s="41"/>
      <c r="M24" s="42"/>
      <c r="N24" s="28" t="e">
        <f t="shared" si="2"/>
        <v>#DIV/0!</v>
      </c>
      <c r="O24" s="39"/>
      <c r="P24" s="40"/>
      <c r="Q24" s="29" t="e">
        <f t="shared" si="3"/>
        <v>#DIV/0!</v>
      </c>
      <c r="R24" s="87">
        <f>Tabela27368[[#This Row],[Nº]]</f>
        <v>20</v>
      </c>
      <c r="S24" s="41"/>
      <c r="T24" s="42"/>
      <c r="U24" s="28" t="e">
        <f t="shared" si="4"/>
        <v>#DIV/0!</v>
      </c>
      <c r="V24" s="39"/>
      <c r="W24" s="40"/>
      <c r="X24" s="29" t="e">
        <f t="shared" si="5"/>
        <v>#DIV/0!</v>
      </c>
      <c r="Y24" s="87">
        <f>Tabela27368[[#This Row],[Nº]]</f>
        <v>20</v>
      </c>
      <c r="Z24" s="41"/>
      <c r="AA24" s="42"/>
      <c r="AB24" s="28" t="e">
        <f t="shared" si="6"/>
        <v>#DIV/0!</v>
      </c>
      <c r="AC24" s="39"/>
      <c r="AD24" s="40"/>
      <c r="AE24" s="30" t="e">
        <f t="shared" si="7"/>
        <v>#DIV/0!</v>
      </c>
    </row>
    <row r="25" spans="1:31" ht="15">
      <c r="A25" s="72">
        <v>21</v>
      </c>
      <c r="B25" s="60" t="str">
        <f>IF('2P-B'!B23&lt;&gt;0,'2P-B'!B23,"")</f>
        <v/>
      </c>
      <c r="C25" s="61" t="str">
        <f>IF('2P-B'!C23&lt;&gt;0,'2P-B'!C23,"")</f>
        <v/>
      </c>
      <c r="D25" s="62" t="str">
        <f>IF('2P-B'!D23&lt;&gt;0,'2P-B'!D23,"")</f>
        <v/>
      </c>
      <c r="E25" s="43"/>
      <c r="F25" s="42"/>
      <c r="G25" s="28" t="e">
        <f t="shared" si="0"/>
        <v>#DIV/0!</v>
      </c>
      <c r="H25" s="39"/>
      <c r="I25" s="40"/>
      <c r="J25" s="29" t="e">
        <f t="shared" si="1"/>
        <v>#DIV/0!</v>
      </c>
      <c r="K25" s="87">
        <f>Tabela27368[[#This Row],[Nº]]</f>
        <v>21</v>
      </c>
      <c r="L25" s="41"/>
      <c r="M25" s="42"/>
      <c r="N25" s="28" t="e">
        <f t="shared" si="2"/>
        <v>#DIV/0!</v>
      </c>
      <c r="O25" s="39"/>
      <c r="P25" s="40"/>
      <c r="Q25" s="29" t="e">
        <f t="shared" si="3"/>
        <v>#DIV/0!</v>
      </c>
      <c r="R25" s="87">
        <f>Tabela27368[[#This Row],[Nº]]</f>
        <v>21</v>
      </c>
      <c r="S25" s="41"/>
      <c r="T25" s="42"/>
      <c r="U25" s="28" t="e">
        <f t="shared" si="4"/>
        <v>#DIV/0!</v>
      </c>
      <c r="V25" s="39"/>
      <c r="W25" s="40"/>
      <c r="X25" s="29" t="e">
        <f t="shared" si="5"/>
        <v>#DIV/0!</v>
      </c>
      <c r="Y25" s="87">
        <f>Tabela27368[[#This Row],[Nº]]</f>
        <v>21</v>
      </c>
      <c r="Z25" s="41"/>
      <c r="AA25" s="42"/>
      <c r="AB25" s="28" t="e">
        <f t="shared" si="6"/>
        <v>#DIV/0!</v>
      </c>
      <c r="AC25" s="39"/>
      <c r="AD25" s="40"/>
      <c r="AE25" s="30" t="e">
        <f t="shared" si="7"/>
        <v>#DIV/0!</v>
      </c>
    </row>
    <row r="26" spans="1:31" ht="15">
      <c r="A26" s="72">
        <v>22</v>
      </c>
      <c r="B26" s="60" t="str">
        <f>IF('2P-B'!B24&lt;&gt;0,'2P-B'!B24,"")</f>
        <v/>
      </c>
      <c r="C26" s="61" t="str">
        <f>IF('2P-B'!C24&lt;&gt;0,'2P-B'!C24,"")</f>
        <v/>
      </c>
      <c r="D26" s="62" t="str">
        <f>IF('2P-B'!D24&lt;&gt;0,'2P-B'!D24,"")</f>
        <v/>
      </c>
      <c r="E26" s="43"/>
      <c r="F26" s="42"/>
      <c r="G26" s="28" t="e">
        <f t="shared" si="0"/>
        <v>#DIV/0!</v>
      </c>
      <c r="H26" s="39"/>
      <c r="I26" s="40"/>
      <c r="J26" s="29" t="e">
        <f t="shared" si="1"/>
        <v>#DIV/0!</v>
      </c>
      <c r="K26" s="87">
        <f>Tabela27368[[#This Row],[Nº]]</f>
        <v>22</v>
      </c>
      <c r="L26" s="41"/>
      <c r="M26" s="42"/>
      <c r="N26" s="28" t="e">
        <f t="shared" si="2"/>
        <v>#DIV/0!</v>
      </c>
      <c r="O26" s="39"/>
      <c r="P26" s="40"/>
      <c r="Q26" s="29" t="e">
        <f t="shared" si="3"/>
        <v>#DIV/0!</v>
      </c>
      <c r="R26" s="87">
        <f>Tabela27368[[#This Row],[Nº]]</f>
        <v>22</v>
      </c>
      <c r="S26" s="41"/>
      <c r="T26" s="42"/>
      <c r="U26" s="28" t="e">
        <f t="shared" si="4"/>
        <v>#DIV/0!</v>
      </c>
      <c r="V26" s="39"/>
      <c r="W26" s="40"/>
      <c r="X26" s="29" t="e">
        <f t="shared" si="5"/>
        <v>#DIV/0!</v>
      </c>
      <c r="Y26" s="87">
        <f>Tabela27368[[#This Row],[Nº]]</f>
        <v>22</v>
      </c>
      <c r="Z26" s="41"/>
      <c r="AA26" s="42"/>
      <c r="AB26" s="28" t="e">
        <f t="shared" si="6"/>
        <v>#DIV/0!</v>
      </c>
      <c r="AC26" s="39"/>
      <c r="AD26" s="40"/>
      <c r="AE26" s="30" t="e">
        <f t="shared" si="7"/>
        <v>#DIV/0!</v>
      </c>
    </row>
    <row r="27" spans="1:31" ht="15">
      <c r="A27" s="72">
        <v>23</v>
      </c>
      <c r="B27" s="60" t="str">
        <f>IF('2P-B'!B25&lt;&gt;0,'2P-B'!B25,"")</f>
        <v/>
      </c>
      <c r="C27" s="61" t="str">
        <f>IF('2P-B'!C25&lt;&gt;0,'2P-B'!C25,"")</f>
        <v/>
      </c>
      <c r="D27" s="62" t="str">
        <f>IF('2P-B'!D25&lt;&gt;0,'2P-B'!D25,"")</f>
        <v/>
      </c>
      <c r="E27" s="43"/>
      <c r="F27" s="42"/>
      <c r="G27" s="28" t="e">
        <f t="shared" si="0"/>
        <v>#DIV/0!</v>
      </c>
      <c r="H27" s="39"/>
      <c r="I27" s="40"/>
      <c r="J27" s="29" t="e">
        <f t="shared" si="1"/>
        <v>#DIV/0!</v>
      </c>
      <c r="K27" s="87">
        <f>Tabela27368[[#This Row],[Nº]]</f>
        <v>23</v>
      </c>
      <c r="L27" s="41"/>
      <c r="M27" s="42"/>
      <c r="N27" s="28" t="e">
        <f t="shared" si="2"/>
        <v>#DIV/0!</v>
      </c>
      <c r="O27" s="39"/>
      <c r="P27" s="40"/>
      <c r="Q27" s="29" t="e">
        <f t="shared" si="3"/>
        <v>#DIV/0!</v>
      </c>
      <c r="R27" s="87">
        <f>Tabela27368[[#This Row],[Nº]]</f>
        <v>23</v>
      </c>
      <c r="S27" s="41"/>
      <c r="T27" s="42"/>
      <c r="U27" s="28" t="e">
        <f t="shared" si="4"/>
        <v>#DIV/0!</v>
      </c>
      <c r="V27" s="39"/>
      <c r="W27" s="40"/>
      <c r="X27" s="29" t="e">
        <f t="shared" si="5"/>
        <v>#DIV/0!</v>
      </c>
      <c r="Y27" s="87">
        <f>Tabela27368[[#This Row],[Nº]]</f>
        <v>23</v>
      </c>
      <c r="Z27" s="41"/>
      <c r="AA27" s="42"/>
      <c r="AB27" s="28" t="e">
        <f t="shared" si="6"/>
        <v>#DIV/0!</v>
      </c>
      <c r="AC27" s="39"/>
      <c r="AD27" s="40"/>
      <c r="AE27" s="30" t="e">
        <f t="shared" si="7"/>
        <v>#DIV/0!</v>
      </c>
    </row>
    <row r="28" spans="1:31" ht="15">
      <c r="A28" s="72">
        <v>24</v>
      </c>
      <c r="B28" s="60" t="str">
        <f>IF('2P-B'!B26&lt;&gt;0,'2P-B'!B26,"")</f>
        <v/>
      </c>
      <c r="C28" s="61" t="str">
        <f>IF('2P-B'!C26&lt;&gt;0,'2P-B'!C26,"")</f>
        <v/>
      </c>
      <c r="D28" s="62" t="str">
        <f>IF('2P-B'!D26&lt;&gt;0,'2P-B'!D26,"")</f>
        <v/>
      </c>
      <c r="E28" s="43"/>
      <c r="F28" s="42"/>
      <c r="G28" s="28" t="e">
        <f t="shared" si="0"/>
        <v>#DIV/0!</v>
      </c>
      <c r="H28" s="39"/>
      <c r="I28" s="40"/>
      <c r="J28" s="29" t="e">
        <f t="shared" si="1"/>
        <v>#DIV/0!</v>
      </c>
      <c r="K28" s="87">
        <f>Tabela27368[[#This Row],[Nº]]</f>
        <v>24</v>
      </c>
      <c r="L28" s="41"/>
      <c r="M28" s="42"/>
      <c r="N28" s="28" t="e">
        <f t="shared" si="2"/>
        <v>#DIV/0!</v>
      </c>
      <c r="O28" s="39"/>
      <c r="P28" s="40"/>
      <c r="Q28" s="29" t="e">
        <f t="shared" si="3"/>
        <v>#DIV/0!</v>
      </c>
      <c r="R28" s="87">
        <f>Tabela27368[[#This Row],[Nº]]</f>
        <v>24</v>
      </c>
      <c r="S28" s="41"/>
      <c r="T28" s="42"/>
      <c r="U28" s="28" t="e">
        <f t="shared" si="4"/>
        <v>#DIV/0!</v>
      </c>
      <c r="V28" s="39"/>
      <c r="W28" s="40"/>
      <c r="X28" s="29" t="e">
        <f t="shared" si="5"/>
        <v>#DIV/0!</v>
      </c>
      <c r="Y28" s="87">
        <f>Tabela27368[[#This Row],[Nº]]</f>
        <v>24</v>
      </c>
      <c r="Z28" s="41"/>
      <c r="AA28" s="42"/>
      <c r="AB28" s="28" t="e">
        <f t="shared" si="6"/>
        <v>#DIV/0!</v>
      </c>
      <c r="AC28" s="39"/>
      <c r="AD28" s="40"/>
      <c r="AE28" s="30" t="e">
        <f t="shared" si="7"/>
        <v>#DIV/0!</v>
      </c>
    </row>
    <row r="29" spans="1:31" ht="15">
      <c r="A29" s="72">
        <v>25</v>
      </c>
      <c r="B29" s="60" t="str">
        <f>IF('2P-B'!B27&lt;&gt;0,'2P-B'!B27,"")</f>
        <v/>
      </c>
      <c r="C29" s="61" t="str">
        <f>IF('2P-B'!C27&lt;&gt;0,'2P-B'!C27,"")</f>
        <v/>
      </c>
      <c r="D29" s="62" t="str">
        <f>IF('2P-B'!D27&lt;&gt;0,'2P-B'!D27,"")</f>
        <v/>
      </c>
      <c r="E29" s="43"/>
      <c r="F29" s="42"/>
      <c r="G29" s="28" t="e">
        <f t="shared" si="0"/>
        <v>#DIV/0!</v>
      </c>
      <c r="H29" s="39"/>
      <c r="I29" s="40"/>
      <c r="J29" s="29" t="e">
        <f t="shared" si="1"/>
        <v>#DIV/0!</v>
      </c>
      <c r="K29" s="87">
        <f>Tabela27368[[#This Row],[Nº]]</f>
        <v>25</v>
      </c>
      <c r="L29" s="41"/>
      <c r="M29" s="42"/>
      <c r="N29" s="28" t="e">
        <f t="shared" si="2"/>
        <v>#DIV/0!</v>
      </c>
      <c r="O29" s="39"/>
      <c r="P29" s="40"/>
      <c r="Q29" s="29" t="e">
        <f t="shared" si="3"/>
        <v>#DIV/0!</v>
      </c>
      <c r="R29" s="87">
        <f>Tabela27368[[#This Row],[Nº]]</f>
        <v>25</v>
      </c>
      <c r="S29" s="41"/>
      <c r="T29" s="42"/>
      <c r="U29" s="28" t="e">
        <f t="shared" si="4"/>
        <v>#DIV/0!</v>
      </c>
      <c r="V29" s="39"/>
      <c r="W29" s="40"/>
      <c r="X29" s="29" t="e">
        <f t="shared" si="5"/>
        <v>#DIV/0!</v>
      </c>
      <c r="Y29" s="87">
        <f>Tabela27368[[#This Row],[Nº]]</f>
        <v>25</v>
      </c>
      <c r="Z29" s="41"/>
      <c r="AA29" s="42"/>
      <c r="AB29" s="28" t="e">
        <f t="shared" si="6"/>
        <v>#DIV/0!</v>
      </c>
      <c r="AC29" s="39"/>
      <c r="AD29" s="40"/>
      <c r="AE29" s="30" t="e">
        <f t="shared" si="7"/>
        <v>#DIV/0!</v>
      </c>
    </row>
  </sheetData>
  <sheetProtection algorithmName="SHA-512" hashValue="rthyeC/zquiiCTHXmRuL0s5HBvUl/ECErkpNqSXxrOfiTSjhI0MbyeeIIi980Tgxy+oLqkP4UREwebGuBCMVQw==" saltValue="ktBFw5NP6ojk8fVPRJU9vg==" spinCount="100000" sheet="1" objects="1" scenarios="1" selectLockedCells="1"/>
  <mergeCells count="12">
    <mergeCell ref="Z3:AB3"/>
    <mergeCell ref="AC3:AE3"/>
    <mergeCell ref="A1:D3"/>
    <mergeCell ref="E1:AE1"/>
    <mergeCell ref="E2:Q2"/>
    <mergeCell ref="S2:AE2"/>
    <mergeCell ref="E3:G3"/>
    <mergeCell ref="H3:J3"/>
    <mergeCell ref="L3:N3"/>
    <mergeCell ref="O3:Q3"/>
    <mergeCell ref="S3:U3"/>
    <mergeCell ref="V3:X3"/>
  </mergeCells>
  <conditionalFormatting sqref="A5:D29">
    <cfRule type="expression" dxfId="225" priority="11">
      <formula>ROW()=CELL("LIN")</formula>
    </cfRule>
    <cfRule type="expression" dxfId="224" priority="12">
      <formula>IF($D5&lt;&gt;"",1,0)</formula>
    </cfRule>
  </conditionalFormatting>
  <conditionalFormatting sqref="G5:G29">
    <cfRule type="iconSet" priority="8">
      <iconSet iconSet="3Symbols">
        <cfvo type="percent" val="0"/>
        <cfvo type="num" val="0.6"/>
        <cfvo type="num" val="0.75"/>
      </iconSet>
    </cfRule>
  </conditionalFormatting>
  <conditionalFormatting sqref="J5:J29">
    <cfRule type="iconSet" priority="7">
      <iconSet iconSet="3Symbols">
        <cfvo type="percent" val="0"/>
        <cfvo type="num" val="0.6"/>
        <cfvo type="num" val="0.75"/>
      </iconSet>
    </cfRule>
  </conditionalFormatting>
  <conditionalFormatting sqref="N5:N29">
    <cfRule type="iconSet" priority="6">
      <iconSet iconSet="3Symbols">
        <cfvo type="percent" val="0"/>
        <cfvo type="num" val="0.6"/>
        <cfvo type="num" val="0.75"/>
      </iconSet>
    </cfRule>
  </conditionalFormatting>
  <conditionalFormatting sqref="Q5:Q29">
    <cfRule type="iconSet" priority="5">
      <iconSet iconSet="3Symbols">
        <cfvo type="percent" val="0"/>
        <cfvo type="num" val="0.6"/>
        <cfvo type="num" val="0.75"/>
      </iconSet>
    </cfRule>
  </conditionalFormatting>
  <conditionalFormatting sqref="U5:U29">
    <cfRule type="iconSet" priority="4">
      <iconSet iconSet="3Symbols">
        <cfvo type="percent" val="0"/>
        <cfvo type="num" val="0.6"/>
        <cfvo type="num" val="0.75"/>
      </iconSet>
    </cfRule>
  </conditionalFormatting>
  <conditionalFormatting sqref="X5:X29">
    <cfRule type="iconSet" priority="3">
      <iconSet iconSet="3Symbols">
        <cfvo type="percent" val="0"/>
        <cfvo type="num" val="0.6"/>
        <cfvo type="num" val="0.75"/>
      </iconSet>
    </cfRule>
  </conditionalFormatting>
  <conditionalFormatting sqref="AB5:AB29">
    <cfRule type="iconSet" priority="2">
      <iconSet iconSet="3Symbols">
        <cfvo type="percent" val="0"/>
        <cfvo type="num" val="0.6"/>
        <cfvo type="num" val="0.75"/>
      </iconSet>
    </cfRule>
  </conditionalFormatting>
  <conditionalFormatting sqref="AE5:AE29">
    <cfRule type="iconSet" priority="1">
      <iconSet iconSet="3Symbols">
        <cfvo type="percent" val="0"/>
        <cfvo type="num" val="0.6"/>
        <cfvo type="num" val="0.75"/>
      </iconSet>
    </cfRule>
  </conditionalFormatting>
  <conditionalFormatting sqref="E5:AE29">
    <cfRule type="expression" dxfId="223" priority="9">
      <formula>ROW()=CELL("LIN")</formula>
    </cfRule>
    <cfRule type="expression" dxfId="222" priority="10">
      <formula>IF($D5&lt;&gt;"",1,0)</formula>
    </cfRule>
  </conditionalFormatting>
  <pageMargins left="0.511811024" right="0.511811024" top="0.78740157499999996" bottom="0.78740157499999996" header="0.31496062000000002" footer="0.31496062000000002"/>
  <pageSetup paperSize="9" scale="54" orientation="landscape" r:id="rId1"/>
  <colBreaks count="2" manualBreakCount="2">
    <brk id="10" max="1048575" man="1"/>
    <brk id="24" max="1048575" man="1"/>
  </colBreaks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EDDB9-7BF8-4AF2-9357-18F3FDAC406A}">
  <sheetPr codeName="Plan20">
    <pageSetUpPr fitToPage="1"/>
  </sheetPr>
  <dimension ref="A1:K48"/>
  <sheetViews>
    <sheetView showGridLines="0" showRowColHeaders="0" view="pageBreakPreview" zoomScaleNormal="60" zoomScaleSheetLayoutView="100" zoomScalePageLayoutView="91" workbookViewId="0">
      <selection activeCell="B4" sqref="B4:K4"/>
    </sheetView>
  </sheetViews>
  <sheetFormatPr defaultColWidth="9.140625" defaultRowHeight="15"/>
  <cols>
    <col min="1" max="1" width="19.85546875" style="17" customWidth="1"/>
    <col min="2" max="16384" width="9.140625" style="17"/>
  </cols>
  <sheetData>
    <row r="1" spans="1:11" ht="15.75">
      <c r="A1" s="73" t="s">
        <v>69</v>
      </c>
      <c r="B1" s="92" t="str">
        <f>MENU!C2</f>
        <v>E.M.E.I.E.F. Ficticio</v>
      </c>
      <c r="C1" s="92"/>
      <c r="D1" s="92"/>
      <c r="E1" s="92"/>
      <c r="F1" s="92"/>
      <c r="G1" s="92"/>
      <c r="H1" s="92"/>
      <c r="I1" s="92"/>
      <c r="J1" s="92"/>
      <c r="K1" s="93"/>
    </row>
    <row r="2" spans="1:11" ht="15.75">
      <c r="A2" s="74" t="s">
        <v>71</v>
      </c>
      <c r="B2" s="156" t="s">
        <v>94</v>
      </c>
      <c r="C2" s="95"/>
      <c r="D2" s="95"/>
      <c r="E2" s="95"/>
      <c r="F2" s="95"/>
      <c r="G2" s="95"/>
      <c r="H2" s="95"/>
      <c r="I2" s="95"/>
      <c r="J2" s="95"/>
      <c r="K2" s="96"/>
    </row>
    <row r="3" spans="1:11" ht="15.75">
      <c r="A3" s="74" t="s">
        <v>70</v>
      </c>
      <c r="B3" s="94" t="s">
        <v>21</v>
      </c>
      <c r="C3" s="95"/>
      <c r="D3" s="95"/>
      <c r="E3" s="95"/>
      <c r="F3" s="95"/>
      <c r="G3" s="95"/>
      <c r="H3" s="95"/>
      <c r="I3" s="95"/>
      <c r="J3" s="95"/>
      <c r="K3" s="96"/>
    </row>
    <row r="4" spans="1:11" ht="15.75">
      <c r="A4" s="74" t="s">
        <v>5</v>
      </c>
      <c r="B4" s="94" t="s">
        <v>112</v>
      </c>
      <c r="C4" s="95"/>
      <c r="D4" s="95"/>
      <c r="E4" s="95"/>
      <c r="F4" s="95"/>
      <c r="G4" s="95"/>
      <c r="H4" s="95"/>
      <c r="I4" s="95"/>
      <c r="J4" s="95"/>
      <c r="K4" s="96"/>
    </row>
    <row r="5" spans="1:11" ht="15.75">
      <c r="A5" s="74" t="s">
        <v>73</v>
      </c>
      <c r="B5" s="95"/>
      <c r="C5" s="95"/>
      <c r="D5" s="95"/>
      <c r="E5" s="95"/>
      <c r="F5" s="95"/>
      <c r="G5" s="95"/>
      <c r="H5" s="95"/>
      <c r="I5" s="95"/>
      <c r="J5" s="95"/>
      <c r="K5" s="96"/>
    </row>
    <row r="6" spans="1:11" ht="15.75">
      <c r="A6" s="99" t="s">
        <v>74</v>
      </c>
      <c r="B6" s="100"/>
      <c r="C6" s="100"/>
      <c r="D6" s="95"/>
      <c r="E6" s="95"/>
      <c r="F6" s="95"/>
      <c r="G6" s="95"/>
      <c r="H6" s="95"/>
      <c r="I6" s="95"/>
      <c r="J6" s="95"/>
      <c r="K6" s="96"/>
    </row>
    <row r="7" spans="1:11" ht="16.5" thickBot="1">
      <c r="A7" s="75" t="s">
        <v>72</v>
      </c>
      <c r="B7" s="97">
        <f>MENU!D10</f>
        <v>2022</v>
      </c>
      <c r="C7" s="97"/>
      <c r="D7" s="97"/>
      <c r="E7" s="97"/>
      <c r="F7" s="97"/>
      <c r="G7" s="97"/>
      <c r="H7" s="97"/>
      <c r="I7" s="97"/>
      <c r="J7" s="97"/>
      <c r="K7" s="98"/>
    </row>
    <row r="8" spans="1:11" ht="15.75" thickBot="1"/>
    <row r="9" spans="1:11">
      <c r="A9" s="107" t="s">
        <v>77</v>
      </c>
      <c r="B9" s="108"/>
      <c r="C9" s="108"/>
      <c r="D9" s="108"/>
      <c r="E9" s="108"/>
      <c r="F9" s="108"/>
      <c r="G9" s="108"/>
      <c r="H9" s="108"/>
      <c r="I9" s="108"/>
      <c r="J9" s="108"/>
      <c r="K9" s="109"/>
    </row>
    <row r="10" spans="1:11" ht="15.75" thickBot="1">
      <c r="A10" s="110"/>
      <c r="B10" s="111"/>
      <c r="C10" s="111"/>
      <c r="D10" s="111"/>
      <c r="E10" s="111"/>
      <c r="F10" s="111"/>
      <c r="G10" s="111"/>
      <c r="H10" s="111"/>
      <c r="I10" s="111"/>
      <c r="J10" s="111"/>
      <c r="K10" s="112"/>
    </row>
    <row r="11" spans="1:11" ht="15.75">
      <c r="A11" s="79" t="s">
        <v>9</v>
      </c>
      <c r="B11" s="107" t="s">
        <v>78</v>
      </c>
      <c r="C11" s="108"/>
      <c r="D11" s="108"/>
      <c r="E11" s="109"/>
      <c r="F11" s="107" t="s">
        <v>79</v>
      </c>
      <c r="G11" s="109"/>
      <c r="H11" s="107" t="s">
        <v>80</v>
      </c>
      <c r="I11" s="109"/>
      <c r="J11" s="107" t="s">
        <v>99</v>
      </c>
      <c r="K11" s="109"/>
    </row>
    <row r="12" spans="1:11">
      <c r="A12" s="78">
        <f>IF('1A-A'!A3&lt;&gt;0,'1A-A'!A3,"")</f>
        <v>1</v>
      </c>
      <c r="B12" s="149" t="str">
        <f>IF('1A-A'!B3&lt;&gt;0,'1A-A'!B3,"")</f>
        <v/>
      </c>
      <c r="C12" s="150"/>
      <c r="D12" s="150"/>
      <c r="E12" s="151"/>
      <c r="F12" s="152" t="str">
        <f>IF('1A-A'!G3&lt;&gt;0,'1A-A'!G3,"")</f>
        <v/>
      </c>
      <c r="G12" s="153"/>
      <c r="H12" s="154" t="str">
        <f>IF('1A-A'!C3&lt;&gt;0,'1A-A'!C3,"")</f>
        <v/>
      </c>
      <c r="I12" s="155"/>
      <c r="J12" s="152" t="str">
        <f>IF('1A-A'!D3&lt;&gt;0,'1A-A'!D3,"")</f>
        <v/>
      </c>
      <c r="K12" s="155"/>
    </row>
    <row r="13" spans="1:11">
      <c r="A13" s="78">
        <f>IF('1A-A'!A4&lt;&gt;0,'1A-A'!A4,"")</f>
        <v>2</v>
      </c>
      <c r="B13" s="149" t="str">
        <f>IF('1A-A'!B4&lt;&gt;0,'1A-A'!B4,"")</f>
        <v/>
      </c>
      <c r="C13" s="150"/>
      <c r="D13" s="150"/>
      <c r="E13" s="151"/>
      <c r="F13" s="152" t="str">
        <f>IF('1A-A'!G4&lt;&gt;0,'1A-A'!G4,"")</f>
        <v/>
      </c>
      <c r="G13" s="153"/>
      <c r="H13" s="154" t="str">
        <f>IF('1A-A'!C4&lt;&gt;0,'1A-A'!C4,"")</f>
        <v/>
      </c>
      <c r="I13" s="155"/>
      <c r="J13" s="152" t="str">
        <f>IF('1A-A'!D4&lt;&gt;0,'1A-A'!D4,"")</f>
        <v/>
      </c>
      <c r="K13" s="155"/>
    </row>
    <row r="14" spans="1:11">
      <c r="A14" s="78">
        <f>IF('1A-A'!A5&lt;&gt;0,'1A-A'!A5,"")</f>
        <v>3</v>
      </c>
      <c r="B14" s="149" t="str">
        <f>IF('1A-A'!B5&lt;&gt;0,'1A-A'!B5,"")</f>
        <v/>
      </c>
      <c r="C14" s="150"/>
      <c r="D14" s="150"/>
      <c r="E14" s="151"/>
      <c r="F14" s="152" t="str">
        <f>IF('1A-A'!G5&lt;&gt;0,'1A-A'!G5,"")</f>
        <v/>
      </c>
      <c r="G14" s="153"/>
      <c r="H14" s="154" t="str">
        <f>IF('1A-A'!C5&lt;&gt;0,'1A-A'!C5,"")</f>
        <v/>
      </c>
      <c r="I14" s="155"/>
      <c r="J14" s="152" t="str">
        <f>IF('1A-A'!D5&lt;&gt;0,'1A-A'!D5,"")</f>
        <v/>
      </c>
      <c r="K14" s="155"/>
    </row>
    <row r="15" spans="1:11">
      <c r="A15" s="78">
        <f>IF('1A-A'!A6&lt;&gt;0,'1A-A'!A6,"")</f>
        <v>4</v>
      </c>
      <c r="B15" s="149" t="str">
        <f>IF('1A-A'!B6&lt;&gt;0,'1A-A'!B6,"")</f>
        <v/>
      </c>
      <c r="C15" s="150"/>
      <c r="D15" s="150"/>
      <c r="E15" s="151"/>
      <c r="F15" s="152" t="str">
        <f>IF('1A-A'!G6&lt;&gt;0,'1A-A'!G6,"")</f>
        <v/>
      </c>
      <c r="G15" s="153"/>
      <c r="H15" s="154" t="str">
        <f>IF('1A-A'!C6&lt;&gt;0,'1A-A'!C6,"")</f>
        <v/>
      </c>
      <c r="I15" s="155"/>
      <c r="J15" s="152" t="str">
        <f>IF('1A-A'!D6&lt;&gt;0,'1A-A'!D6,"")</f>
        <v/>
      </c>
      <c r="K15" s="155"/>
    </row>
    <row r="16" spans="1:11">
      <c r="A16" s="78">
        <f>IF('1A-A'!A7&lt;&gt;0,'1A-A'!A7,"")</f>
        <v>5</v>
      </c>
      <c r="B16" s="149" t="str">
        <f>IF('1A-A'!B7&lt;&gt;0,'1A-A'!B7,"")</f>
        <v/>
      </c>
      <c r="C16" s="150"/>
      <c r="D16" s="150"/>
      <c r="E16" s="151"/>
      <c r="F16" s="152" t="str">
        <f>IF('1A-A'!G7&lt;&gt;0,'1A-A'!G7,"")</f>
        <v/>
      </c>
      <c r="G16" s="153"/>
      <c r="H16" s="154" t="str">
        <f>IF('1A-A'!C7&lt;&gt;0,'1A-A'!C7,"")</f>
        <v/>
      </c>
      <c r="I16" s="155"/>
      <c r="J16" s="152" t="str">
        <f>IF('1A-A'!D7&lt;&gt;0,'1A-A'!D7,"")</f>
        <v/>
      </c>
      <c r="K16" s="155"/>
    </row>
    <row r="17" spans="1:11">
      <c r="A17" s="78">
        <f>IF('1A-A'!A8&lt;&gt;0,'1A-A'!A8,"")</f>
        <v>6</v>
      </c>
      <c r="B17" s="149" t="str">
        <f>IF('1A-A'!B8&lt;&gt;0,'1A-A'!B8,"")</f>
        <v/>
      </c>
      <c r="C17" s="150"/>
      <c r="D17" s="150"/>
      <c r="E17" s="151"/>
      <c r="F17" s="152" t="str">
        <f>IF('1A-A'!G8&lt;&gt;0,'1A-A'!G8,"")</f>
        <v/>
      </c>
      <c r="G17" s="153"/>
      <c r="H17" s="154" t="str">
        <f>IF('1A-A'!C8&lt;&gt;0,'1A-A'!C8,"")</f>
        <v/>
      </c>
      <c r="I17" s="155"/>
      <c r="J17" s="152" t="str">
        <f>IF('1A-A'!D8&lt;&gt;0,'1A-A'!D8,"")</f>
        <v/>
      </c>
      <c r="K17" s="155"/>
    </row>
    <row r="18" spans="1:11">
      <c r="A18" s="78">
        <f>IF('1A-A'!A9&lt;&gt;0,'1A-A'!A9,"")</f>
        <v>7</v>
      </c>
      <c r="B18" s="149" t="str">
        <f>IF('1A-A'!B9&lt;&gt;0,'1A-A'!B9,"")</f>
        <v/>
      </c>
      <c r="C18" s="150"/>
      <c r="D18" s="150"/>
      <c r="E18" s="151"/>
      <c r="F18" s="152" t="str">
        <f>IF('1A-A'!G9&lt;&gt;0,'1A-A'!G9,"")</f>
        <v/>
      </c>
      <c r="G18" s="153"/>
      <c r="H18" s="154" t="str">
        <f>IF('1A-A'!C9&lt;&gt;0,'1A-A'!C9,"")</f>
        <v/>
      </c>
      <c r="I18" s="155"/>
      <c r="J18" s="152" t="str">
        <f>IF('1A-A'!D9&lt;&gt;0,'1A-A'!D9,"")</f>
        <v/>
      </c>
      <c r="K18" s="155"/>
    </row>
    <row r="19" spans="1:11">
      <c r="A19" s="78">
        <f>IF('1A-A'!A10&lt;&gt;0,'1A-A'!A10,"")</f>
        <v>8</v>
      </c>
      <c r="B19" s="149" t="str">
        <f>IF('1A-A'!B10&lt;&gt;0,'1A-A'!B10,"")</f>
        <v/>
      </c>
      <c r="C19" s="150"/>
      <c r="D19" s="150"/>
      <c r="E19" s="151"/>
      <c r="F19" s="152" t="str">
        <f>IF('1A-A'!G10&lt;&gt;0,'1A-A'!G10,"")</f>
        <v/>
      </c>
      <c r="G19" s="153"/>
      <c r="H19" s="154" t="str">
        <f>IF('1A-A'!C10&lt;&gt;0,'1A-A'!C10,"")</f>
        <v/>
      </c>
      <c r="I19" s="155"/>
      <c r="J19" s="152" t="str">
        <f>IF('1A-A'!D10&lt;&gt;0,'1A-A'!D10,"")</f>
        <v/>
      </c>
      <c r="K19" s="155"/>
    </row>
    <row r="20" spans="1:11">
      <c r="A20" s="78">
        <f>IF('1A-A'!A11&lt;&gt;0,'1A-A'!A11,"")</f>
        <v>9</v>
      </c>
      <c r="B20" s="149" t="str">
        <f>IF('1A-A'!B11&lt;&gt;0,'1A-A'!B11,"")</f>
        <v/>
      </c>
      <c r="C20" s="150"/>
      <c r="D20" s="150"/>
      <c r="E20" s="151"/>
      <c r="F20" s="152" t="str">
        <f>IF('1A-A'!G11&lt;&gt;0,'1A-A'!G11,"")</f>
        <v/>
      </c>
      <c r="G20" s="153"/>
      <c r="H20" s="154" t="str">
        <f>IF('1A-A'!C11&lt;&gt;0,'1A-A'!C11,"")</f>
        <v/>
      </c>
      <c r="I20" s="155"/>
      <c r="J20" s="152" t="str">
        <f>IF('1A-A'!D11&lt;&gt;0,'1A-A'!D11,"")</f>
        <v/>
      </c>
      <c r="K20" s="155"/>
    </row>
    <row r="21" spans="1:11">
      <c r="A21" s="78">
        <f>IF('1A-A'!A12&lt;&gt;0,'1A-A'!A12,"")</f>
        <v>10</v>
      </c>
      <c r="B21" s="149" t="str">
        <f>IF('1A-A'!B12&lt;&gt;0,'1A-A'!B12,"")</f>
        <v/>
      </c>
      <c r="C21" s="150"/>
      <c r="D21" s="150"/>
      <c r="E21" s="151"/>
      <c r="F21" s="152" t="str">
        <f>IF('1A-A'!G12&lt;&gt;0,'1A-A'!G12,"")</f>
        <v/>
      </c>
      <c r="G21" s="153"/>
      <c r="H21" s="154" t="str">
        <f>IF('1A-A'!C12&lt;&gt;0,'1A-A'!C12,"")</f>
        <v/>
      </c>
      <c r="I21" s="155"/>
      <c r="J21" s="152" t="str">
        <f>IF('1A-A'!D12&lt;&gt;0,'1A-A'!D12,"")</f>
        <v/>
      </c>
      <c r="K21" s="155"/>
    </row>
    <row r="22" spans="1:11">
      <c r="A22" s="78">
        <f>IF('1A-A'!A13&lt;&gt;0,'1A-A'!A13,"")</f>
        <v>11</v>
      </c>
      <c r="B22" s="149" t="str">
        <f>IF('1A-A'!B13&lt;&gt;0,'1A-A'!B13,"")</f>
        <v/>
      </c>
      <c r="C22" s="150"/>
      <c r="D22" s="150"/>
      <c r="E22" s="151"/>
      <c r="F22" s="152" t="str">
        <f>IF('1A-A'!G13&lt;&gt;0,'1A-A'!G13,"")</f>
        <v/>
      </c>
      <c r="G22" s="153"/>
      <c r="H22" s="154" t="str">
        <f>IF('1A-A'!C13&lt;&gt;0,'1A-A'!C13,"")</f>
        <v/>
      </c>
      <c r="I22" s="155"/>
      <c r="J22" s="152" t="str">
        <f>IF('1A-A'!D13&lt;&gt;0,'1A-A'!D13,"")</f>
        <v/>
      </c>
      <c r="K22" s="155"/>
    </row>
    <row r="23" spans="1:11">
      <c r="A23" s="78">
        <f>IF('1A-A'!A14&lt;&gt;0,'1A-A'!A14,"")</f>
        <v>12</v>
      </c>
      <c r="B23" s="149" t="str">
        <f>IF('1A-A'!B14&lt;&gt;0,'1A-A'!B14,"")</f>
        <v/>
      </c>
      <c r="C23" s="150"/>
      <c r="D23" s="150"/>
      <c r="E23" s="151"/>
      <c r="F23" s="152" t="str">
        <f>IF('1A-A'!G14&lt;&gt;0,'1A-A'!G14,"")</f>
        <v/>
      </c>
      <c r="G23" s="153"/>
      <c r="H23" s="154" t="str">
        <f>IF('1A-A'!C14&lt;&gt;0,'1A-A'!C14,"")</f>
        <v/>
      </c>
      <c r="I23" s="155"/>
      <c r="J23" s="152" t="str">
        <f>IF('1A-A'!D14&lt;&gt;0,'1A-A'!D14,"")</f>
        <v/>
      </c>
      <c r="K23" s="155"/>
    </row>
    <row r="24" spans="1:11">
      <c r="A24" s="78">
        <f>IF('1A-A'!A15&lt;&gt;0,'1A-A'!A15,"")</f>
        <v>13</v>
      </c>
      <c r="B24" s="149" t="str">
        <f>IF('1A-A'!B15&lt;&gt;0,'1A-A'!B15,"")</f>
        <v/>
      </c>
      <c r="C24" s="150"/>
      <c r="D24" s="150"/>
      <c r="E24" s="151"/>
      <c r="F24" s="152" t="str">
        <f>IF('1A-A'!G15&lt;&gt;0,'1A-A'!G15,"")</f>
        <v/>
      </c>
      <c r="G24" s="153"/>
      <c r="H24" s="154" t="str">
        <f>IF('1A-A'!C15&lt;&gt;0,'1A-A'!C15,"")</f>
        <v/>
      </c>
      <c r="I24" s="155"/>
      <c r="J24" s="152" t="str">
        <f>IF('1A-A'!D15&lt;&gt;0,'1A-A'!D15,"")</f>
        <v/>
      </c>
      <c r="K24" s="155"/>
    </row>
    <row r="25" spans="1:11">
      <c r="A25" s="78">
        <f>IF('1A-A'!A16&lt;&gt;0,'1A-A'!A16,"")</f>
        <v>14</v>
      </c>
      <c r="B25" s="149" t="str">
        <f>IF('1A-A'!B16&lt;&gt;0,'1A-A'!B16,"")</f>
        <v/>
      </c>
      <c r="C25" s="150"/>
      <c r="D25" s="150"/>
      <c r="E25" s="151"/>
      <c r="F25" s="152" t="str">
        <f>IF('1A-A'!G16&lt;&gt;0,'1A-A'!G16,"")</f>
        <v/>
      </c>
      <c r="G25" s="153"/>
      <c r="H25" s="154" t="str">
        <f>IF('1A-A'!C16&lt;&gt;0,'1A-A'!C16,"")</f>
        <v/>
      </c>
      <c r="I25" s="155"/>
      <c r="J25" s="152" t="str">
        <f>IF('1A-A'!D16&lt;&gt;0,'1A-A'!D16,"")</f>
        <v/>
      </c>
      <c r="K25" s="155"/>
    </row>
    <row r="26" spans="1:11">
      <c r="A26" s="78">
        <f>IF('1A-A'!A17&lt;&gt;0,'1A-A'!A17,"")</f>
        <v>15</v>
      </c>
      <c r="B26" s="149" t="str">
        <f>IF('1A-A'!B17&lt;&gt;0,'1A-A'!B17,"")</f>
        <v/>
      </c>
      <c r="C26" s="150"/>
      <c r="D26" s="150"/>
      <c r="E26" s="151"/>
      <c r="F26" s="152" t="str">
        <f>IF('1A-A'!G17&lt;&gt;0,'1A-A'!G17,"")</f>
        <v/>
      </c>
      <c r="G26" s="153"/>
      <c r="H26" s="154" t="str">
        <f>IF('1A-A'!C17&lt;&gt;0,'1A-A'!C17,"")</f>
        <v/>
      </c>
      <c r="I26" s="155"/>
      <c r="J26" s="152" t="str">
        <f>IF('1A-A'!D17&lt;&gt;0,'1A-A'!D17,"")</f>
        <v/>
      </c>
      <c r="K26" s="155"/>
    </row>
    <row r="27" spans="1:11">
      <c r="A27" s="78">
        <f>IF('1A-A'!A18&lt;&gt;0,'1A-A'!A18,"")</f>
        <v>16</v>
      </c>
      <c r="B27" s="149" t="str">
        <f>IF('1A-A'!B18&lt;&gt;0,'1A-A'!B18,"")</f>
        <v/>
      </c>
      <c r="C27" s="150"/>
      <c r="D27" s="150"/>
      <c r="E27" s="151"/>
      <c r="F27" s="152" t="str">
        <f>IF('1A-A'!G18&lt;&gt;0,'1A-A'!G18,"")</f>
        <v/>
      </c>
      <c r="G27" s="153"/>
      <c r="H27" s="154" t="str">
        <f>IF('1A-A'!C18&lt;&gt;0,'1A-A'!C18,"")</f>
        <v/>
      </c>
      <c r="I27" s="155"/>
      <c r="J27" s="152" t="str">
        <f>IF('1A-A'!D18&lt;&gt;0,'1A-A'!D18,"")</f>
        <v/>
      </c>
      <c r="K27" s="155"/>
    </row>
    <row r="28" spans="1:11">
      <c r="A28" s="78">
        <f>IF('1A-A'!A19&lt;&gt;0,'1A-A'!A19,"")</f>
        <v>17</v>
      </c>
      <c r="B28" s="149" t="str">
        <f>IF('1A-A'!B19&lt;&gt;0,'1A-A'!B19,"")</f>
        <v/>
      </c>
      <c r="C28" s="150"/>
      <c r="D28" s="150"/>
      <c r="E28" s="151"/>
      <c r="F28" s="152" t="str">
        <f>IF('1A-A'!G19&lt;&gt;0,'1A-A'!G19,"")</f>
        <v/>
      </c>
      <c r="G28" s="153"/>
      <c r="H28" s="154" t="str">
        <f>IF('1A-A'!C19&lt;&gt;0,'1A-A'!C19,"")</f>
        <v/>
      </c>
      <c r="I28" s="155"/>
      <c r="J28" s="152" t="str">
        <f>IF('1A-A'!D19&lt;&gt;0,'1A-A'!D19,"")</f>
        <v/>
      </c>
      <c r="K28" s="155"/>
    </row>
    <row r="29" spans="1:11">
      <c r="A29" s="78">
        <f>IF('1A-A'!A20&lt;&gt;0,'1A-A'!A20,"")</f>
        <v>18</v>
      </c>
      <c r="B29" s="149" t="str">
        <f>IF('1A-A'!B20&lt;&gt;0,'1A-A'!B20,"")</f>
        <v/>
      </c>
      <c r="C29" s="150"/>
      <c r="D29" s="150"/>
      <c r="E29" s="151"/>
      <c r="F29" s="152" t="str">
        <f>IF('1A-A'!G20&lt;&gt;0,'1A-A'!G20,"")</f>
        <v/>
      </c>
      <c r="G29" s="153"/>
      <c r="H29" s="154" t="str">
        <f>IF('1A-A'!C20&lt;&gt;0,'1A-A'!C20,"")</f>
        <v/>
      </c>
      <c r="I29" s="155"/>
      <c r="J29" s="152" t="str">
        <f>IF('1A-A'!D20&lt;&gt;0,'1A-A'!D20,"")</f>
        <v/>
      </c>
      <c r="K29" s="155"/>
    </row>
    <row r="30" spans="1:11">
      <c r="A30" s="78">
        <f>IF('1A-A'!A21&lt;&gt;0,'1A-A'!A21,"")</f>
        <v>19</v>
      </c>
      <c r="B30" s="149" t="str">
        <f>IF('1A-A'!B21&lt;&gt;0,'1A-A'!B21,"")</f>
        <v/>
      </c>
      <c r="C30" s="150"/>
      <c r="D30" s="150"/>
      <c r="E30" s="151"/>
      <c r="F30" s="152" t="str">
        <f>IF('1A-A'!G21&lt;&gt;0,'1A-A'!G21,"")</f>
        <v/>
      </c>
      <c r="G30" s="153"/>
      <c r="H30" s="154" t="str">
        <f>IF('1A-A'!C21&lt;&gt;0,'1A-A'!C21,"")</f>
        <v/>
      </c>
      <c r="I30" s="155"/>
      <c r="J30" s="152" t="str">
        <f>IF('1A-A'!D21&lt;&gt;0,'1A-A'!D21,"")</f>
        <v/>
      </c>
      <c r="K30" s="155"/>
    </row>
    <row r="31" spans="1:11">
      <c r="A31" s="78">
        <f>IF('1A-A'!A22&lt;&gt;0,'1A-A'!A22,"")</f>
        <v>20</v>
      </c>
      <c r="B31" s="149" t="str">
        <f>IF('1A-A'!B22&lt;&gt;0,'1A-A'!B22,"")</f>
        <v/>
      </c>
      <c r="C31" s="150"/>
      <c r="D31" s="150"/>
      <c r="E31" s="151"/>
      <c r="F31" s="152" t="str">
        <f>IF('1A-A'!G22&lt;&gt;0,'1A-A'!G22,"")</f>
        <v/>
      </c>
      <c r="G31" s="153"/>
      <c r="H31" s="154" t="str">
        <f>IF('1A-A'!C22&lt;&gt;0,'1A-A'!C22,"")</f>
        <v/>
      </c>
      <c r="I31" s="155"/>
      <c r="J31" s="152" t="str">
        <f>IF('1A-A'!D22&lt;&gt;0,'1A-A'!D22,"")</f>
        <v/>
      </c>
      <c r="K31" s="155"/>
    </row>
    <row r="32" spans="1:11">
      <c r="A32" s="78">
        <f>IF('1A-A'!A23&lt;&gt;0,'1A-A'!A23,"")</f>
        <v>21</v>
      </c>
      <c r="B32" s="149" t="str">
        <f>IF('1A-A'!B23&lt;&gt;0,'1A-A'!B23,"")</f>
        <v/>
      </c>
      <c r="C32" s="150"/>
      <c r="D32" s="150"/>
      <c r="E32" s="151"/>
      <c r="F32" s="152" t="str">
        <f>IF('1A-A'!G23&lt;&gt;0,'1A-A'!G23,"")</f>
        <v/>
      </c>
      <c r="G32" s="153"/>
      <c r="H32" s="154" t="str">
        <f>IF('1A-A'!C23&lt;&gt;0,'1A-A'!C23,"")</f>
        <v/>
      </c>
      <c r="I32" s="155"/>
      <c r="J32" s="152" t="str">
        <f>IF('1A-A'!D23&lt;&gt;0,'1A-A'!D23,"")</f>
        <v/>
      </c>
      <c r="K32" s="155"/>
    </row>
    <row r="33" spans="1:11">
      <c r="A33" s="78">
        <f>IF('1A-A'!A24&lt;&gt;0,'1A-A'!A24,"")</f>
        <v>22</v>
      </c>
      <c r="B33" s="149" t="str">
        <f>IF('1A-A'!B24&lt;&gt;0,'1A-A'!B24,"")</f>
        <v/>
      </c>
      <c r="C33" s="150"/>
      <c r="D33" s="150"/>
      <c r="E33" s="151"/>
      <c r="F33" s="152" t="str">
        <f>IF('1A-A'!G24&lt;&gt;0,'1A-A'!G24,"")</f>
        <v/>
      </c>
      <c r="G33" s="153"/>
      <c r="H33" s="154" t="str">
        <f>IF('1A-A'!C24&lt;&gt;0,'1A-A'!C24,"")</f>
        <v/>
      </c>
      <c r="I33" s="155"/>
      <c r="J33" s="152" t="str">
        <f>IF('1A-A'!D24&lt;&gt;0,'1A-A'!D24,"")</f>
        <v/>
      </c>
      <c r="K33" s="155"/>
    </row>
    <row r="34" spans="1:11">
      <c r="A34" s="78">
        <f>IF('1A-A'!A25&lt;&gt;0,'1A-A'!A25,"")</f>
        <v>23</v>
      </c>
      <c r="B34" s="149" t="str">
        <f>IF('1A-A'!B25&lt;&gt;0,'1A-A'!B25,"")</f>
        <v/>
      </c>
      <c r="C34" s="150"/>
      <c r="D34" s="150"/>
      <c r="E34" s="151"/>
      <c r="F34" s="152" t="str">
        <f>IF('1A-A'!G25&lt;&gt;0,'1A-A'!G25,"")</f>
        <v/>
      </c>
      <c r="G34" s="153"/>
      <c r="H34" s="154" t="str">
        <f>IF('1A-A'!C25&lt;&gt;0,'1A-A'!C25,"")</f>
        <v/>
      </c>
      <c r="I34" s="155"/>
      <c r="J34" s="152" t="str">
        <f>IF('1A-A'!D25&lt;&gt;0,'1A-A'!D25,"")</f>
        <v/>
      </c>
      <c r="K34" s="155"/>
    </row>
    <row r="35" spans="1:11">
      <c r="A35" s="78">
        <f>IF('1A-A'!A26&lt;&gt;0,'1A-A'!A26,"")</f>
        <v>24</v>
      </c>
      <c r="B35" s="149" t="str">
        <f>IF('1A-A'!B26&lt;&gt;0,'1A-A'!B26,"")</f>
        <v/>
      </c>
      <c r="C35" s="150"/>
      <c r="D35" s="150"/>
      <c r="E35" s="151"/>
      <c r="F35" s="152" t="str">
        <f>IF('1A-A'!G26&lt;&gt;0,'1A-A'!G26,"")</f>
        <v/>
      </c>
      <c r="G35" s="153"/>
      <c r="H35" s="154" t="str">
        <f>IF('1A-A'!C26&lt;&gt;0,'1A-A'!C26,"")</f>
        <v/>
      </c>
      <c r="I35" s="155"/>
      <c r="J35" s="152" t="str">
        <f>IF('1A-A'!D26&lt;&gt;0,'1A-A'!D26,"")</f>
        <v/>
      </c>
      <c r="K35" s="155"/>
    </row>
    <row r="36" spans="1:11">
      <c r="A36" s="78">
        <f>IF('1A-A'!A27&lt;&gt;0,'1A-A'!A27,"")</f>
        <v>25</v>
      </c>
      <c r="B36" s="149" t="str">
        <f>IF('1A-A'!B27&lt;&gt;0,'1A-A'!B27,"")</f>
        <v/>
      </c>
      <c r="C36" s="150"/>
      <c r="D36" s="150"/>
      <c r="E36" s="151"/>
      <c r="F36" s="152" t="str">
        <f>IF('1A-A'!G27&lt;&gt;0,'1A-A'!G27,"")</f>
        <v/>
      </c>
      <c r="G36" s="153"/>
      <c r="H36" s="154" t="str">
        <f>IF('1A-A'!C27&lt;&gt;0,'1A-A'!C27,"")</f>
        <v/>
      </c>
      <c r="I36" s="155"/>
      <c r="J36" s="152" t="str">
        <f>IF('1A-A'!D27&lt;&gt;0,'1A-A'!D27,"")</f>
        <v/>
      </c>
      <c r="K36" s="155"/>
    </row>
    <row r="38" spans="1:11" ht="15.75">
      <c r="A38" s="119" t="s">
        <v>81</v>
      </c>
      <c r="B38" s="119"/>
      <c r="C38" s="119"/>
      <c r="D38" s="119"/>
      <c r="E38" s="120">
        <f>'1A-A'!U4</f>
        <v>0</v>
      </c>
      <c r="F38" s="120"/>
    </row>
    <row r="39" spans="1:11">
      <c r="A39" s="66" t="s">
        <v>95</v>
      </c>
      <c r="E39" s="122">
        <f ca="1">'1A-A'!Q3</f>
        <v>0</v>
      </c>
      <c r="F39" s="122"/>
    </row>
    <row r="40" spans="1:11">
      <c r="A40" s="66" t="s">
        <v>96</v>
      </c>
      <c r="E40" s="122">
        <f ca="1">'1A-A'!R3</f>
        <v>0</v>
      </c>
      <c r="F40" s="122"/>
    </row>
    <row r="48" spans="1:11">
      <c r="A48" s="66" t="s">
        <v>84</v>
      </c>
      <c r="C48" s="121">
        <f ca="1">TODAY()</f>
        <v>44871</v>
      </c>
      <c r="D48" s="122"/>
      <c r="E48" s="122"/>
    </row>
  </sheetData>
  <sheetProtection algorithmName="SHA-512" hashValue="72uMYtkpi9UiNF86lN1OSXLn8hUjOG3a7FGMdPdwbQi0LZXONKxH8oGFGbKylSUQJBtr23B1qIRM6GZDkc2jVQ==" saltValue="VusXGBANXXBBXMPEV0xJLg==" spinCount="100000" sheet="1" objects="1" scenarios="1" selectLockedCells="1"/>
  <mergeCells count="118">
    <mergeCell ref="E39:F39"/>
    <mergeCell ref="E40:F40"/>
    <mergeCell ref="C48:E48"/>
    <mergeCell ref="B36:E36"/>
    <mergeCell ref="F36:G36"/>
    <mergeCell ref="H36:I36"/>
    <mergeCell ref="J36:K36"/>
    <mergeCell ref="A38:D38"/>
    <mergeCell ref="E38:F38"/>
    <mergeCell ref="B34:E34"/>
    <mergeCell ref="F34:G34"/>
    <mergeCell ref="H34:I34"/>
    <mergeCell ref="J34:K34"/>
    <mergeCell ref="B35:E35"/>
    <mergeCell ref="F35:G35"/>
    <mergeCell ref="H35:I35"/>
    <mergeCell ref="J35:K35"/>
    <mergeCell ref="B32:E32"/>
    <mergeCell ref="F32:G32"/>
    <mergeCell ref="H32:I32"/>
    <mergeCell ref="J32:K32"/>
    <mergeCell ref="B33:E33"/>
    <mergeCell ref="F33:G33"/>
    <mergeCell ref="H33:I33"/>
    <mergeCell ref="J33:K33"/>
    <mergeCell ref="B30:E30"/>
    <mergeCell ref="F30:G30"/>
    <mergeCell ref="H30:I30"/>
    <mergeCell ref="J30:K30"/>
    <mergeCell ref="B31:E31"/>
    <mergeCell ref="F31:G31"/>
    <mergeCell ref="H31:I31"/>
    <mergeCell ref="J31:K31"/>
    <mergeCell ref="B28:E28"/>
    <mergeCell ref="F28:G28"/>
    <mergeCell ref="H28:I28"/>
    <mergeCell ref="J28:K28"/>
    <mergeCell ref="B29:E29"/>
    <mergeCell ref="F29:G29"/>
    <mergeCell ref="H29:I29"/>
    <mergeCell ref="J29:K29"/>
    <mergeCell ref="B26:E26"/>
    <mergeCell ref="F26:G26"/>
    <mergeCell ref="H26:I26"/>
    <mergeCell ref="J26:K26"/>
    <mergeCell ref="B27:E27"/>
    <mergeCell ref="F27:G27"/>
    <mergeCell ref="H27:I27"/>
    <mergeCell ref="J27:K27"/>
    <mergeCell ref="B24:E24"/>
    <mergeCell ref="F24:G24"/>
    <mergeCell ref="H24:I24"/>
    <mergeCell ref="J24:K24"/>
    <mergeCell ref="B25:E25"/>
    <mergeCell ref="F25:G25"/>
    <mergeCell ref="H25:I25"/>
    <mergeCell ref="J25:K25"/>
    <mergeCell ref="B22:E22"/>
    <mergeCell ref="F22:G22"/>
    <mergeCell ref="H22:I22"/>
    <mergeCell ref="J22:K22"/>
    <mergeCell ref="B23:E23"/>
    <mergeCell ref="F23:G23"/>
    <mergeCell ref="H23:I23"/>
    <mergeCell ref="J23:K23"/>
    <mergeCell ref="B20:E20"/>
    <mergeCell ref="F20:G20"/>
    <mergeCell ref="H20:I20"/>
    <mergeCell ref="J20:K20"/>
    <mergeCell ref="B21:E21"/>
    <mergeCell ref="F21:G21"/>
    <mergeCell ref="H21:I21"/>
    <mergeCell ref="J21:K21"/>
    <mergeCell ref="B18:E18"/>
    <mergeCell ref="F18:G18"/>
    <mergeCell ref="H18:I18"/>
    <mergeCell ref="J18:K18"/>
    <mergeCell ref="B19:E19"/>
    <mergeCell ref="F19:G19"/>
    <mergeCell ref="H19:I19"/>
    <mergeCell ref="J19:K19"/>
    <mergeCell ref="B16:E16"/>
    <mergeCell ref="F16:G16"/>
    <mergeCell ref="H16:I16"/>
    <mergeCell ref="J16:K16"/>
    <mergeCell ref="B17:E17"/>
    <mergeCell ref="F17:G17"/>
    <mergeCell ref="H17:I17"/>
    <mergeCell ref="J17:K17"/>
    <mergeCell ref="B14:E14"/>
    <mergeCell ref="F14:G14"/>
    <mergeCell ref="H14:I14"/>
    <mergeCell ref="J14:K14"/>
    <mergeCell ref="B15:E15"/>
    <mergeCell ref="F15:G15"/>
    <mergeCell ref="H15:I15"/>
    <mergeCell ref="J15:K15"/>
    <mergeCell ref="B12:E12"/>
    <mergeCell ref="F12:G12"/>
    <mergeCell ref="H12:I12"/>
    <mergeCell ref="J12:K12"/>
    <mergeCell ref="B13:E13"/>
    <mergeCell ref="F13:G13"/>
    <mergeCell ref="H13:I13"/>
    <mergeCell ref="J13:K13"/>
    <mergeCell ref="B7:K7"/>
    <mergeCell ref="A9:K10"/>
    <mergeCell ref="B11:E11"/>
    <mergeCell ref="F11:G11"/>
    <mergeCell ref="H11:I11"/>
    <mergeCell ref="J11:K11"/>
    <mergeCell ref="B1:K1"/>
    <mergeCell ref="B2:K2"/>
    <mergeCell ref="B3:K3"/>
    <mergeCell ref="B4:K4"/>
    <mergeCell ref="B5:K5"/>
    <mergeCell ref="A6:C6"/>
    <mergeCell ref="D6:K6"/>
  </mergeCells>
  <conditionalFormatting sqref="A12:K36">
    <cfRule type="expression" dxfId="221" priority="1">
      <formula>IF($J12&lt;&gt;"",1,0)</formula>
    </cfRule>
  </conditionalFormatting>
  <conditionalFormatting sqref="B2 B3:B5 D6">
    <cfRule type="expression" dxfId="220" priority="2">
      <formula>ROW()=CELL("LIN")</formula>
    </cfRule>
  </conditionalFormatting>
  <pageMargins left="0.39370078740157483" right="0.3543307086614173" top="1.1417322834645669" bottom="0.39370078740157483" header="0.31496062992125984" footer="0.31496062992125984"/>
  <pageSetup paperSize="9" scale="96" fitToHeight="0" orientation="portrait" horizontalDpi="300" verticalDpi="3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2DC06-25D7-44E0-802A-6541907C8090}">
  <sheetPr codeName="Plan5">
    <pageSetUpPr fitToPage="1"/>
  </sheetPr>
  <dimension ref="A1:U27"/>
  <sheetViews>
    <sheetView showGridLines="0" showRowColHeaders="0" view="pageBreakPreview" zoomScale="60" zoomScaleNormal="60" zoomScalePageLayoutView="40" workbookViewId="0">
      <pane ySplit="1" topLeftCell="A2" activePane="bottomLeft" state="frozen"/>
      <selection pane="bottomLeft" activeCell="B3" sqref="B3"/>
    </sheetView>
  </sheetViews>
  <sheetFormatPr defaultColWidth="9.140625" defaultRowHeight="15"/>
  <cols>
    <col min="1" max="1" width="8.5703125" style="17" customWidth="1"/>
    <col min="2" max="2" width="42" style="17" customWidth="1"/>
    <col min="3" max="3" width="17" style="18" bestFit="1" customWidth="1"/>
    <col min="4" max="4" width="23.85546875" style="19" customWidth="1"/>
    <col min="5" max="5" width="28.5703125" style="17" customWidth="1"/>
    <col min="6" max="6" width="30.5703125" style="27" bestFit="1" customWidth="1"/>
    <col min="7" max="7" width="25.7109375" style="27" customWidth="1"/>
    <col min="8" max="8" width="21.140625" style="17" customWidth="1"/>
    <col min="9" max="9" width="17.5703125" style="17" customWidth="1"/>
    <col min="10" max="10" width="44.42578125" style="17" customWidth="1"/>
    <col min="11" max="11" width="9.7109375" style="17" customWidth="1"/>
    <col min="12" max="12" width="9.28515625" style="17" customWidth="1"/>
    <col min="13" max="13" width="9.140625" style="17"/>
    <col min="14" max="14" width="16.140625" style="17" customWidth="1"/>
    <col min="15" max="15" width="12.7109375" style="17" customWidth="1"/>
    <col min="16" max="16384" width="9.140625" style="17"/>
  </cols>
  <sheetData>
    <row r="1" spans="1:21" ht="75" customHeight="1"/>
    <row r="2" spans="1:21" ht="60">
      <c r="A2" s="20" t="s">
        <v>9</v>
      </c>
      <c r="B2" s="21" t="s">
        <v>10</v>
      </c>
      <c r="C2" s="22" t="s">
        <v>13</v>
      </c>
      <c r="D2" s="23" t="s">
        <v>16</v>
      </c>
      <c r="E2" s="22" t="s">
        <v>11</v>
      </c>
      <c r="F2" s="22" t="s">
        <v>12</v>
      </c>
      <c r="G2" s="22" t="s">
        <v>14</v>
      </c>
      <c r="H2" s="22" t="s">
        <v>15</v>
      </c>
      <c r="I2" s="22" t="s">
        <v>17</v>
      </c>
      <c r="J2" s="21" t="s">
        <v>18</v>
      </c>
      <c r="K2" s="26" t="s">
        <v>19</v>
      </c>
      <c r="L2" s="67"/>
      <c r="M2" s="68"/>
      <c r="N2" s="68"/>
      <c r="O2" s="68"/>
      <c r="P2" s="69" t="s">
        <v>0</v>
      </c>
      <c r="Q2" s="70" t="s">
        <v>97</v>
      </c>
      <c r="R2" s="70" t="s">
        <v>98</v>
      </c>
      <c r="S2" s="71" t="s">
        <v>3</v>
      </c>
      <c r="T2" s="70" t="s">
        <v>4</v>
      </c>
      <c r="U2" s="68"/>
    </row>
    <row r="3" spans="1:21">
      <c r="A3" s="81">
        <v>1</v>
      </c>
      <c r="B3" s="44"/>
      <c r="C3" s="45"/>
      <c r="D3" s="47"/>
      <c r="E3" s="46">
        <v>0</v>
      </c>
      <c r="F3" s="51"/>
      <c r="G3" s="52"/>
      <c r="H3" s="52"/>
      <c r="I3" s="47"/>
      <c r="J3" s="44"/>
      <c r="K3" s="24">
        <f t="shared" ref="K3:K27" ca="1" si="0">QUOTIENT(IF(DATEDIF(C3,TODAY(),"y")&gt;90,0,DATEDIF(C3,TODAY(),"m")),12)</f>
        <v>0</v>
      </c>
      <c r="L3" s="68">
        <f t="shared" ref="L3:L27" ca="1" si="1">IF($K3=0,0,IF($K3&lt;($P$3),1,0))</f>
        <v>0</v>
      </c>
      <c r="M3" s="68">
        <f t="shared" ref="M3:M27" ca="1" si="2">IF($K3&gt;($P$3),1,0)</f>
        <v>0</v>
      </c>
      <c r="N3" s="68" t="b">
        <f ca="1">IF(IF(DATEDIF(C3,TODAY(),"y")&gt;90,0,DATEDIF(C3,TODAY(),"m"))&gt;0,CONCATENATE(QUOTIENT(IF(DATEDIF(C3,TODAY(),"y")&gt;90,0,DATEDIF(C3,TODAY(),"m")),12)," anos e ",MOD(IF(DATEDIF(C3,TODAY(),"y")&gt;90,0,DATEDIF(C3,TODAY(),"m")),12)," mês"))</f>
        <v>0</v>
      </c>
      <c r="O3" s="68" t="str">
        <f ca="1">IF(C3="","",DATEDIF($C3,TODAY(),"m"))</f>
        <v/>
      </c>
      <c r="P3" s="68">
        <v>6</v>
      </c>
      <c r="Q3" s="68">
        <f ca="1">SUM(L3:L27)</f>
        <v>0</v>
      </c>
      <c r="R3" s="68">
        <f ca="1">SUM(M3:M27)</f>
        <v>0</v>
      </c>
      <c r="S3" s="71" t="s">
        <v>7</v>
      </c>
      <c r="T3" s="68">
        <f>($P$3*12)</f>
        <v>72</v>
      </c>
      <c r="U3" s="68"/>
    </row>
    <row r="4" spans="1:21" ht="15.75">
      <c r="A4" s="81">
        <v>2</v>
      </c>
      <c r="B4" s="44"/>
      <c r="C4" s="45"/>
      <c r="D4" s="47"/>
      <c r="E4" s="46">
        <v>0</v>
      </c>
      <c r="F4" s="51"/>
      <c r="G4" s="52"/>
      <c r="H4" s="52"/>
      <c r="I4" s="47"/>
      <c r="J4" s="44"/>
      <c r="K4" s="24">
        <f t="shared" ca="1" si="0"/>
        <v>0</v>
      </c>
      <c r="L4" s="68">
        <f t="shared" ca="1" si="1"/>
        <v>0</v>
      </c>
      <c r="M4" s="68">
        <f t="shared" ca="1" si="2"/>
        <v>0</v>
      </c>
      <c r="N4" s="68" t="b">
        <f t="shared" ref="N4:N27" ca="1" si="3">IF(IF(DATEDIF(C4,TODAY(),"y")&gt;90,0,DATEDIF(C4,TODAY(),"m"))&gt;0,CONCATENATE(QUOTIENT(IF(DATEDIF(C4,TODAY(),"y")&gt;90,0,DATEDIF(C4,TODAY(),"m")),12)," anos e ",MOD(IF(DATEDIF(C4,TODAY(),"y")&gt;90,0,DATEDIF(C4,TODAY(),"m")),12)," mês"))</f>
        <v>0</v>
      </c>
      <c r="O4" s="68" t="str">
        <f ca="1">IF(C4="","",DATEDIF($C4,TODAY(),"m"))</f>
        <v/>
      </c>
      <c r="P4" s="123" t="s">
        <v>6</v>
      </c>
      <c r="Q4" s="123"/>
      <c r="R4" s="123"/>
      <c r="S4" s="123"/>
      <c r="T4" s="123"/>
      <c r="U4" s="68">
        <f>COUNTA(B3:B27)-COUNTA(D3:D27)</f>
        <v>0</v>
      </c>
    </row>
    <row r="5" spans="1:21">
      <c r="A5" s="81">
        <v>3</v>
      </c>
      <c r="B5" s="44"/>
      <c r="C5" s="45"/>
      <c r="D5" s="47"/>
      <c r="E5" s="46">
        <v>0</v>
      </c>
      <c r="F5" s="51"/>
      <c r="G5" s="52"/>
      <c r="H5" s="52"/>
      <c r="I5" s="47"/>
      <c r="J5" s="44"/>
      <c r="K5" s="24">
        <f t="shared" ca="1" si="0"/>
        <v>0</v>
      </c>
      <c r="L5" s="68">
        <f t="shared" ca="1" si="1"/>
        <v>0</v>
      </c>
      <c r="M5" s="68">
        <f t="shared" ca="1" si="2"/>
        <v>0</v>
      </c>
      <c r="N5" s="68" t="b">
        <f t="shared" ca="1" si="3"/>
        <v>0</v>
      </c>
      <c r="O5" s="68" t="str">
        <f ca="1">IF(C5="","",DATEDIF($C5,TODAY(),"m"))</f>
        <v/>
      </c>
      <c r="P5" s="68"/>
      <c r="Q5" s="68"/>
      <c r="R5" s="68"/>
      <c r="S5" s="68"/>
      <c r="T5" s="68"/>
      <c r="U5" s="68"/>
    </row>
    <row r="6" spans="1:21">
      <c r="A6" s="81">
        <v>4</v>
      </c>
      <c r="B6" s="44"/>
      <c r="C6" s="45"/>
      <c r="D6" s="47"/>
      <c r="E6" s="46">
        <v>0</v>
      </c>
      <c r="F6" s="51"/>
      <c r="G6" s="52"/>
      <c r="H6" s="52"/>
      <c r="I6" s="47"/>
      <c r="J6" s="44"/>
      <c r="K6" s="24">
        <f t="shared" ca="1" si="0"/>
        <v>0</v>
      </c>
      <c r="L6" s="68">
        <f t="shared" ca="1" si="1"/>
        <v>0</v>
      </c>
      <c r="M6" s="68">
        <f t="shared" ca="1" si="2"/>
        <v>0</v>
      </c>
      <c r="N6" s="68" t="b">
        <f t="shared" ca="1" si="3"/>
        <v>0</v>
      </c>
      <c r="O6" s="68" t="str">
        <f t="shared" ref="O6:O26" ca="1" si="4">IF(C5="","",DATEDIF($C5,TODAY(),"m"))</f>
        <v/>
      </c>
      <c r="P6" s="68"/>
      <c r="Q6" s="68"/>
      <c r="R6" s="68"/>
      <c r="S6" s="68"/>
      <c r="T6" s="68"/>
      <c r="U6" s="68"/>
    </row>
    <row r="7" spans="1:21">
      <c r="A7" s="81">
        <v>5</v>
      </c>
      <c r="B7" s="44"/>
      <c r="C7" s="45"/>
      <c r="D7" s="47"/>
      <c r="E7" s="46">
        <v>0</v>
      </c>
      <c r="F7" s="51"/>
      <c r="G7" s="52"/>
      <c r="H7" s="52"/>
      <c r="I7" s="47"/>
      <c r="J7" s="44"/>
      <c r="K7" s="24">
        <f t="shared" ca="1" si="0"/>
        <v>0</v>
      </c>
      <c r="L7" s="68">
        <f t="shared" ca="1" si="1"/>
        <v>0</v>
      </c>
      <c r="M7" s="68">
        <f t="shared" ca="1" si="2"/>
        <v>0</v>
      </c>
      <c r="N7" s="68" t="b">
        <f t="shared" ca="1" si="3"/>
        <v>0</v>
      </c>
      <c r="O7" s="68" t="str">
        <f t="shared" ca="1" si="4"/>
        <v/>
      </c>
      <c r="P7" s="68"/>
      <c r="Q7" s="68"/>
      <c r="R7" s="68"/>
      <c r="S7" s="68"/>
      <c r="T7" s="68"/>
      <c r="U7" s="68"/>
    </row>
    <row r="8" spans="1:21">
      <c r="A8" s="81">
        <v>6</v>
      </c>
      <c r="B8" s="44"/>
      <c r="C8" s="45"/>
      <c r="D8" s="47"/>
      <c r="E8" s="46">
        <v>0</v>
      </c>
      <c r="F8" s="51"/>
      <c r="G8" s="52"/>
      <c r="H8" s="52"/>
      <c r="I8" s="47"/>
      <c r="J8" s="44"/>
      <c r="K8" s="24">
        <f t="shared" ca="1" si="0"/>
        <v>0</v>
      </c>
      <c r="L8" s="68">
        <f t="shared" ca="1" si="1"/>
        <v>0</v>
      </c>
      <c r="M8" s="68">
        <f t="shared" ca="1" si="2"/>
        <v>0</v>
      </c>
      <c r="N8" s="68" t="b">
        <f t="shared" ca="1" si="3"/>
        <v>0</v>
      </c>
      <c r="O8" s="68" t="str">
        <f t="shared" ca="1" si="4"/>
        <v/>
      </c>
      <c r="P8" s="68"/>
      <c r="Q8" s="68"/>
      <c r="R8" s="68"/>
      <c r="S8" s="68"/>
      <c r="T8" s="68"/>
      <c r="U8" s="68"/>
    </row>
    <row r="9" spans="1:21">
      <c r="A9" s="81">
        <v>7</v>
      </c>
      <c r="B9" s="44"/>
      <c r="C9" s="45"/>
      <c r="D9" s="47"/>
      <c r="E9" s="46">
        <v>0</v>
      </c>
      <c r="F9" s="51"/>
      <c r="G9" s="52"/>
      <c r="H9" s="52"/>
      <c r="I9" s="47"/>
      <c r="J9" s="44"/>
      <c r="K9" s="24">
        <f t="shared" ca="1" si="0"/>
        <v>0</v>
      </c>
      <c r="L9" s="68">
        <f t="shared" ca="1" si="1"/>
        <v>0</v>
      </c>
      <c r="M9" s="68">
        <f t="shared" ca="1" si="2"/>
        <v>0</v>
      </c>
      <c r="N9" s="68" t="b">
        <f t="shared" ca="1" si="3"/>
        <v>0</v>
      </c>
      <c r="O9" s="68" t="str">
        <f t="shared" ca="1" si="4"/>
        <v/>
      </c>
      <c r="P9" s="68"/>
      <c r="Q9" s="68"/>
      <c r="R9" s="68"/>
      <c r="S9" s="68"/>
      <c r="T9" s="68"/>
      <c r="U9" s="68"/>
    </row>
    <row r="10" spans="1:21">
      <c r="A10" s="81">
        <v>8</v>
      </c>
      <c r="B10" s="44"/>
      <c r="C10" s="45"/>
      <c r="D10" s="47"/>
      <c r="E10" s="46">
        <v>0</v>
      </c>
      <c r="F10" s="51"/>
      <c r="G10" s="52"/>
      <c r="H10" s="52"/>
      <c r="I10" s="47"/>
      <c r="J10" s="44"/>
      <c r="K10" s="24">
        <f t="shared" ca="1" si="0"/>
        <v>0</v>
      </c>
      <c r="L10" s="68">
        <f t="shared" ca="1" si="1"/>
        <v>0</v>
      </c>
      <c r="M10" s="68">
        <f t="shared" ca="1" si="2"/>
        <v>0</v>
      </c>
      <c r="N10" s="68" t="b">
        <f t="shared" ca="1" si="3"/>
        <v>0</v>
      </c>
      <c r="O10" s="68" t="str">
        <f t="shared" ca="1" si="4"/>
        <v/>
      </c>
      <c r="P10" s="68"/>
      <c r="Q10" s="68"/>
      <c r="R10" s="68"/>
      <c r="S10" s="68"/>
      <c r="T10" s="68"/>
      <c r="U10" s="68"/>
    </row>
    <row r="11" spans="1:21">
      <c r="A11" s="81">
        <v>9</v>
      </c>
      <c r="B11" s="44"/>
      <c r="C11" s="45"/>
      <c r="D11" s="47"/>
      <c r="E11" s="46">
        <v>0</v>
      </c>
      <c r="F11" s="51"/>
      <c r="G11" s="52"/>
      <c r="H11" s="52"/>
      <c r="I11" s="47"/>
      <c r="J11" s="44"/>
      <c r="K11" s="24">
        <f t="shared" ca="1" si="0"/>
        <v>0</v>
      </c>
      <c r="L11" s="68">
        <f t="shared" ca="1" si="1"/>
        <v>0</v>
      </c>
      <c r="M11" s="68">
        <f t="shared" ca="1" si="2"/>
        <v>0</v>
      </c>
      <c r="N11" s="68" t="b">
        <f t="shared" ca="1" si="3"/>
        <v>0</v>
      </c>
      <c r="O11" s="68" t="str">
        <f t="shared" ca="1" si="4"/>
        <v/>
      </c>
      <c r="P11" s="68"/>
      <c r="Q11" s="68"/>
      <c r="R11" s="68"/>
      <c r="S11" s="68"/>
      <c r="T11" s="68"/>
      <c r="U11" s="68"/>
    </row>
    <row r="12" spans="1:21">
      <c r="A12" s="81">
        <v>10</v>
      </c>
      <c r="B12" s="44"/>
      <c r="C12" s="45"/>
      <c r="D12" s="47"/>
      <c r="E12" s="46">
        <v>0</v>
      </c>
      <c r="F12" s="51"/>
      <c r="G12" s="52"/>
      <c r="H12" s="52"/>
      <c r="I12" s="47"/>
      <c r="J12" s="44"/>
      <c r="K12" s="24">
        <f t="shared" ca="1" si="0"/>
        <v>0</v>
      </c>
      <c r="L12" s="68">
        <f t="shared" ca="1" si="1"/>
        <v>0</v>
      </c>
      <c r="M12" s="68">
        <f t="shared" ca="1" si="2"/>
        <v>0</v>
      </c>
      <c r="N12" s="68" t="b">
        <f t="shared" ca="1" si="3"/>
        <v>0</v>
      </c>
      <c r="O12" s="68" t="str">
        <f t="shared" ca="1" si="4"/>
        <v/>
      </c>
      <c r="P12" s="68"/>
      <c r="Q12" s="68"/>
      <c r="R12" s="68"/>
      <c r="S12" s="68"/>
      <c r="T12" s="68"/>
      <c r="U12" s="68"/>
    </row>
    <row r="13" spans="1:21">
      <c r="A13" s="81">
        <v>11</v>
      </c>
      <c r="B13" s="44"/>
      <c r="C13" s="45"/>
      <c r="D13" s="47"/>
      <c r="E13" s="46">
        <v>0</v>
      </c>
      <c r="F13" s="51"/>
      <c r="G13" s="52"/>
      <c r="H13" s="52"/>
      <c r="I13" s="47"/>
      <c r="J13" s="44"/>
      <c r="K13" s="24">
        <f t="shared" ca="1" si="0"/>
        <v>0</v>
      </c>
      <c r="L13" s="68">
        <f t="shared" ca="1" si="1"/>
        <v>0</v>
      </c>
      <c r="M13" s="68">
        <f t="shared" ca="1" si="2"/>
        <v>0</v>
      </c>
      <c r="N13" s="68" t="b">
        <f t="shared" ca="1" si="3"/>
        <v>0</v>
      </c>
      <c r="O13" s="68" t="str">
        <f t="shared" ca="1" si="4"/>
        <v/>
      </c>
      <c r="P13" s="68"/>
      <c r="Q13" s="68"/>
      <c r="R13" s="68"/>
      <c r="S13" s="68"/>
      <c r="T13" s="68"/>
      <c r="U13" s="68"/>
    </row>
    <row r="14" spans="1:21">
      <c r="A14" s="81">
        <v>12</v>
      </c>
      <c r="B14" s="44"/>
      <c r="C14" s="45"/>
      <c r="D14" s="47"/>
      <c r="E14" s="46">
        <v>0</v>
      </c>
      <c r="F14" s="51"/>
      <c r="G14" s="52"/>
      <c r="H14" s="52"/>
      <c r="I14" s="47"/>
      <c r="J14" s="44"/>
      <c r="K14" s="24">
        <f t="shared" ca="1" si="0"/>
        <v>0</v>
      </c>
      <c r="L14" s="68">
        <f t="shared" ca="1" si="1"/>
        <v>0</v>
      </c>
      <c r="M14" s="68">
        <f t="shared" ca="1" si="2"/>
        <v>0</v>
      </c>
      <c r="N14" s="68" t="b">
        <f t="shared" ca="1" si="3"/>
        <v>0</v>
      </c>
      <c r="O14" s="68" t="str">
        <f t="shared" ca="1" si="4"/>
        <v/>
      </c>
      <c r="P14" s="68"/>
      <c r="Q14" s="68"/>
      <c r="R14" s="68"/>
      <c r="S14" s="68"/>
      <c r="T14" s="68"/>
      <c r="U14" s="68"/>
    </row>
    <row r="15" spans="1:21">
      <c r="A15" s="81">
        <v>13</v>
      </c>
      <c r="B15" s="44"/>
      <c r="C15" s="45"/>
      <c r="D15" s="47"/>
      <c r="E15" s="46">
        <v>0</v>
      </c>
      <c r="F15" s="51"/>
      <c r="G15" s="52"/>
      <c r="H15" s="52"/>
      <c r="I15" s="47"/>
      <c r="J15" s="44"/>
      <c r="K15" s="24">
        <f t="shared" ca="1" si="0"/>
        <v>0</v>
      </c>
      <c r="L15" s="68">
        <f t="shared" ca="1" si="1"/>
        <v>0</v>
      </c>
      <c r="M15" s="68">
        <f t="shared" ca="1" si="2"/>
        <v>0</v>
      </c>
      <c r="N15" s="68" t="b">
        <f t="shared" ca="1" si="3"/>
        <v>0</v>
      </c>
      <c r="O15" s="68" t="str">
        <f t="shared" ca="1" si="4"/>
        <v/>
      </c>
      <c r="P15" s="68"/>
      <c r="Q15" s="68"/>
      <c r="R15" s="68"/>
      <c r="S15" s="68"/>
      <c r="T15" s="68"/>
      <c r="U15" s="68"/>
    </row>
    <row r="16" spans="1:21">
      <c r="A16" s="81">
        <v>14</v>
      </c>
      <c r="B16" s="44"/>
      <c r="C16" s="45"/>
      <c r="D16" s="47"/>
      <c r="E16" s="46">
        <v>0</v>
      </c>
      <c r="F16" s="51"/>
      <c r="G16" s="52"/>
      <c r="H16" s="52"/>
      <c r="I16" s="47"/>
      <c r="J16" s="44"/>
      <c r="K16" s="24">
        <f t="shared" ca="1" si="0"/>
        <v>0</v>
      </c>
      <c r="L16" s="68">
        <f t="shared" ca="1" si="1"/>
        <v>0</v>
      </c>
      <c r="M16" s="68">
        <f t="shared" ca="1" si="2"/>
        <v>0</v>
      </c>
      <c r="N16" s="68" t="b">
        <f t="shared" ca="1" si="3"/>
        <v>0</v>
      </c>
      <c r="O16" s="68" t="str">
        <f t="shared" ca="1" si="4"/>
        <v/>
      </c>
      <c r="P16" s="68"/>
      <c r="Q16" s="68"/>
      <c r="R16" s="68"/>
      <c r="S16" s="68"/>
      <c r="T16" s="68"/>
      <c r="U16" s="68"/>
    </row>
    <row r="17" spans="1:21">
      <c r="A17" s="81">
        <v>15</v>
      </c>
      <c r="B17" s="44"/>
      <c r="C17" s="45"/>
      <c r="D17" s="47"/>
      <c r="E17" s="46">
        <v>0</v>
      </c>
      <c r="F17" s="51"/>
      <c r="G17" s="52"/>
      <c r="H17" s="52"/>
      <c r="I17" s="53"/>
      <c r="J17" s="44"/>
      <c r="K17" s="24">
        <f t="shared" ca="1" si="0"/>
        <v>0</v>
      </c>
      <c r="L17" s="68">
        <f t="shared" ca="1" si="1"/>
        <v>0</v>
      </c>
      <c r="M17" s="68">
        <f t="shared" ca="1" si="2"/>
        <v>0</v>
      </c>
      <c r="N17" s="68" t="b">
        <f t="shared" ca="1" si="3"/>
        <v>0</v>
      </c>
      <c r="O17" s="68" t="str">
        <f t="shared" ca="1" si="4"/>
        <v/>
      </c>
      <c r="P17" s="68"/>
      <c r="Q17" s="68"/>
      <c r="R17" s="68"/>
      <c r="S17" s="68"/>
      <c r="T17" s="68"/>
      <c r="U17" s="68"/>
    </row>
    <row r="18" spans="1:21">
      <c r="A18" s="81">
        <v>16</v>
      </c>
      <c r="B18" s="44"/>
      <c r="C18" s="45"/>
      <c r="D18" s="47"/>
      <c r="E18" s="46">
        <v>0</v>
      </c>
      <c r="F18" s="51"/>
      <c r="G18" s="52"/>
      <c r="H18" s="52"/>
      <c r="I18" s="47"/>
      <c r="J18" s="44"/>
      <c r="K18" s="24">
        <f t="shared" ca="1" si="0"/>
        <v>0</v>
      </c>
      <c r="L18" s="68">
        <f t="shared" ca="1" si="1"/>
        <v>0</v>
      </c>
      <c r="M18" s="68">
        <f t="shared" ca="1" si="2"/>
        <v>0</v>
      </c>
      <c r="N18" s="68" t="b">
        <f t="shared" ca="1" si="3"/>
        <v>0</v>
      </c>
      <c r="O18" s="68" t="str">
        <f t="shared" ca="1" si="4"/>
        <v/>
      </c>
      <c r="P18" s="68"/>
      <c r="Q18" s="68"/>
      <c r="R18" s="68"/>
      <c r="S18" s="68"/>
      <c r="T18" s="68"/>
      <c r="U18" s="68"/>
    </row>
    <row r="19" spans="1:21">
      <c r="A19" s="81">
        <v>17</v>
      </c>
      <c r="B19" s="44"/>
      <c r="C19" s="45"/>
      <c r="D19" s="47"/>
      <c r="E19" s="46">
        <v>0</v>
      </c>
      <c r="F19" s="51"/>
      <c r="G19" s="52"/>
      <c r="H19" s="52"/>
      <c r="I19" s="53"/>
      <c r="J19" s="44"/>
      <c r="K19" s="24">
        <f t="shared" ca="1" si="0"/>
        <v>0</v>
      </c>
      <c r="L19" s="68">
        <f t="shared" ca="1" si="1"/>
        <v>0</v>
      </c>
      <c r="M19" s="68">
        <f t="shared" ca="1" si="2"/>
        <v>0</v>
      </c>
      <c r="N19" s="68" t="b">
        <f t="shared" ca="1" si="3"/>
        <v>0</v>
      </c>
      <c r="O19" s="68" t="str">
        <f t="shared" ca="1" si="4"/>
        <v/>
      </c>
      <c r="P19" s="68"/>
      <c r="Q19" s="68"/>
      <c r="R19" s="68"/>
      <c r="S19" s="68"/>
      <c r="T19" s="68"/>
      <c r="U19" s="68"/>
    </row>
    <row r="20" spans="1:21">
      <c r="A20" s="81">
        <v>18</v>
      </c>
      <c r="B20" s="44"/>
      <c r="C20" s="45"/>
      <c r="D20" s="47"/>
      <c r="E20" s="46">
        <v>0</v>
      </c>
      <c r="F20" s="51"/>
      <c r="G20" s="52"/>
      <c r="H20" s="52"/>
      <c r="I20" s="47"/>
      <c r="J20" s="44"/>
      <c r="K20" s="24">
        <f t="shared" ca="1" si="0"/>
        <v>0</v>
      </c>
      <c r="L20" s="68">
        <f t="shared" ca="1" si="1"/>
        <v>0</v>
      </c>
      <c r="M20" s="68">
        <f t="shared" ca="1" si="2"/>
        <v>0</v>
      </c>
      <c r="N20" s="68" t="b">
        <f t="shared" ca="1" si="3"/>
        <v>0</v>
      </c>
      <c r="O20" s="68" t="str">
        <f t="shared" ca="1" si="4"/>
        <v/>
      </c>
      <c r="P20" s="68"/>
      <c r="Q20" s="68"/>
      <c r="R20" s="68"/>
      <c r="S20" s="68"/>
      <c r="T20" s="68"/>
      <c r="U20" s="68"/>
    </row>
    <row r="21" spans="1:21">
      <c r="A21" s="81">
        <v>19</v>
      </c>
      <c r="B21" s="44"/>
      <c r="C21" s="45"/>
      <c r="D21" s="47"/>
      <c r="E21" s="46">
        <v>0</v>
      </c>
      <c r="F21" s="51"/>
      <c r="G21" s="52"/>
      <c r="H21" s="52"/>
      <c r="I21" s="47"/>
      <c r="J21" s="44"/>
      <c r="K21" s="24">
        <f t="shared" ca="1" si="0"/>
        <v>0</v>
      </c>
      <c r="L21" s="68">
        <f t="shared" ca="1" si="1"/>
        <v>0</v>
      </c>
      <c r="M21" s="68">
        <f t="shared" ca="1" si="2"/>
        <v>0</v>
      </c>
      <c r="N21" s="68" t="b">
        <f t="shared" ca="1" si="3"/>
        <v>0</v>
      </c>
      <c r="O21" s="68" t="str">
        <f t="shared" ca="1" si="4"/>
        <v/>
      </c>
      <c r="P21" s="68"/>
      <c r="Q21" s="68"/>
      <c r="R21" s="68"/>
      <c r="S21" s="68"/>
      <c r="T21" s="68"/>
      <c r="U21" s="68"/>
    </row>
    <row r="22" spans="1:21">
      <c r="A22" s="81">
        <v>20</v>
      </c>
      <c r="B22" s="44"/>
      <c r="C22" s="45"/>
      <c r="D22" s="47"/>
      <c r="E22" s="46">
        <v>0</v>
      </c>
      <c r="F22" s="51"/>
      <c r="G22" s="52"/>
      <c r="H22" s="52"/>
      <c r="I22" s="47"/>
      <c r="J22" s="44"/>
      <c r="K22" s="24">
        <f t="shared" ca="1" si="0"/>
        <v>0</v>
      </c>
      <c r="L22" s="68">
        <f t="shared" ca="1" si="1"/>
        <v>0</v>
      </c>
      <c r="M22" s="68">
        <f t="shared" ca="1" si="2"/>
        <v>0</v>
      </c>
      <c r="N22" s="68" t="b">
        <f t="shared" ca="1" si="3"/>
        <v>0</v>
      </c>
      <c r="O22" s="68" t="str">
        <f t="shared" ca="1" si="4"/>
        <v/>
      </c>
      <c r="P22" s="68"/>
      <c r="Q22" s="68"/>
      <c r="R22" s="68"/>
      <c r="S22" s="68"/>
      <c r="T22" s="68"/>
      <c r="U22" s="68"/>
    </row>
    <row r="23" spans="1:21" ht="15.75">
      <c r="A23" s="82">
        <v>21</v>
      </c>
      <c r="B23" s="44"/>
      <c r="C23" s="45"/>
      <c r="D23" s="47"/>
      <c r="E23" s="46">
        <v>0</v>
      </c>
      <c r="F23" s="51"/>
      <c r="G23" s="52"/>
      <c r="H23" s="52"/>
      <c r="I23" s="47"/>
      <c r="J23" s="44"/>
      <c r="K23" s="24">
        <f t="shared" ca="1" si="0"/>
        <v>0</v>
      </c>
      <c r="L23" s="68">
        <f t="shared" ca="1" si="1"/>
        <v>0</v>
      </c>
      <c r="M23" s="68">
        <f t="shared" ca="1" si="2"/>
        <v>0</v>
      </c>
      <c r="N23" s="68" t="b">
        <f t="shared" ca="1" si="3"/>
        <v>0</v>
      </c>
      <c r="O23" s="68" t="str">
        <f t="shared" ca="1" si="4"/>
        <v/>
      </c>
      <c r="P23" s="68"/>
      <c r="Q23" s="68"/>
      <c r="R23" s="68"/>
      <c r="S23" s="68"/>
      <c r="T23" s="68"/>
      <c r="U23" s="68"/>
    </row>
    <row r="24" spans="1:21" ht="15.75">
      <c r="A24" s="82">
        <v>22</v>
      </c>
      <c r="B24" s="44"/>
      <c r="C24" s="45"/>
      <c r="D24" s="47"/>
      <c r="E24" s="46">
        <v>0</v>
      </c>
      <c r="F24" s="51"/>
      <c r="G24" s="52"/>
      <c r="H24" s="52"/>
      <c r="I24" s="47"/>
      <c r="J24" s="44"/>
      <c r="K24" s="24">
        <f t="shared" ca="1" si="0"/>
        <v>0</v>
      </c>
      <c r="L24" s="68">
        <f t="shared" ca="1" si="1"/>
        <v>0</v>
      </c>
      <c r="M24" s="68">
        <f t="shared" ca="1" si="2"/>
        <v>0</v>
      </c>
      <c r="N24" s="68" t="b">
        <f t="shared" ca="1" si="3"/>
        <v>0</v>
      </c>
      <c r="O24" s="68" t="str">
        <f t="shared" ca="1" si="4"/>
        <v/>
      </c>
      <c r="P24" s="68"/>
      <c r="Q24" s="68"/>
      <c r="R24" s="68"/>
      <c r="S24" s="68"/>
      <c r="T24" s="68"/>
      <c r="U24" s="68"/>
    </row>
    <row r="25" spans="1:21" ht="15.75">
      <c r="A25" s="82">
        <v>23</v>
      </c>
      <c r="B25" s="44"/>
      <c r="C25" s="45"/>
      <c r="D25" s="47"/>
      <c r="E25" s="46">
        <v>0</v>
      </c>
      <c r="F25" s="51"/>
      <c r="G25" s="52"/>
      <c r="H25" s="52"/>
      <c r="I25" s="47"/>
      <c r="J25" s="44"/>
      <c r="K25" s="24">
        <f t="shared" ca="1" si="0"/>
        <v>0</v>
      </c>
      <c r="L25" s="68">
        <f t="shared" ca="1" si="1"/>
        <v>0</v>
      </c>
      <c r="M25" s="68">
        <f t="shared" ca="1" si="2"/>
        <v>0</v>
      </c>
      <c r="N25" s="68" t="b">
        <f t="shared" ca="1" si="3"/>
        <v>0</v>
      </c>
      <c r="O25" s="68" t="str">
        <f t="shared" ca="1" si="4"/>
        <v/>
      </c>
      <c r="P25" s="68"/>
      <c r="Q25" s="68"/>
      <c r="R25" s="68"/>
      <c r="S25" s="68"/>
      <c r="T25" s="68"/>
      <c r="U25" s="68"/>
    </row>
    <row r="26" spans="1:21" ht="15.75">
      <c r="A26" s="82">
        <v>24</v>
      </c>
      <c r="B26" s="44"/>
      <c r="C26" s="45"/>
      <c r="D26" s="54"/>
      <c r="E26" s="46">
        <v>0</v>
      </c>
      <c r="F26" s="51"/>
      <c r="G26" s="52"/>
      <c r="H26" s="52"/>
      <c r="I26" s="47"/>
      <c r="J26" s="44"/>
      <c r="K26" s="24">
        <f t="shared" ca="1" si="0"/>
        <v>0</v>
      </c>
      <c r="L26" s="68">
        <f t="shared" ca="1" si="1"/>
        <v>0</v>
      </c>
      <c r="M26" s="68">
        <f t="shared" ca="1" si="2"/>
        <v>0</v>
      </c>
      <c r="N26" s="68" t="b">
        <f t="shared" ca="1" si="3"/>
        <v>0</v>
      </c>
      <c r="O26" s="68" t="str">
        <f t="shared" ca="1" si="4"/>
        <v/>
      </c>
      <c r="P26" s="68"/>
      <c r="Q26" s="68"/>
      <c r="R26" s="68"/>
      <c r="S26" s="68"/>
      <c r="T26" s="68"/>
      <c r="U26" s="68"/>
    </row>
    <row r="27" spans="1:21" ht="15.75">
      <c r="A27" s="83">
        <v>25</v>
      </c>
      <c r="B27" s="48"/>
      <c r="C27" s="49"/>
      <c r="D27" s="50"/>
      <c r="E27" s="46">
        <v>0</v>
      </c>
      <c r="F27" s="55"/>
      <c r="G27" s="56"/>
      <c r="H27" s="56"/>
      <c r="I27" s="50"/>
      <c r="J27" s="48"/>
      <c r="K27" s="25">
        <f t="shared" ca="1" si="0"/>
        <v>0</v>
      </c>
      <c r="L27" s="68">
        <f t="shared" ca="1" si="1"/>
        <v>0</v>
      </c>
      <c r="M27" s="68">
        <f t="shared" ca="1" si="2"/>
        <v>0</v>
      </c>
      <c r="N27" s="68" t="b">
        <f t="shared" ca="1" si="3"/>
        <v>0</v>
      </c>
      <c r="O27" s="68" t="str">
        <f ca="1">IF(C27="","",DATEDIF($C27,TODAY(),"m"))</f>
        <v/>
      </c>
      <c r="P27" s="68"/>
      <c r="Q27" s="68"/>
      <c r="R27" s="68"/>
      <c r="S27" s="68"/>
      <c r="T27" s="68"/>
      <c r="U27" s="68"/>
    </row>
  </sheetData>
  <sheetProtection algorithmName="SHA-512" hashValue="H79bc6/JSw4seQDOfAnE1Bj7RpA+6vUjXidJL3ISFqQq3nY8GovHT8JhQCSK53L6KLw6sLtf7FCAkW5oj236qw==" saltValue="eypJ3XwitOjxd4mGpj5aCg==" spinCount="100000" sheet="1" objects="1" scenarios="1" selectLockedCells="1"/>
  <mergeCells count="1">
    <mergeCell ref="P4:T4"/>
  </mergeCells>
  <conditionalFormatting sqref="A3:K27">
    <cfRule type="expression" dxfId="219" priority="1">
      <formula>ROW()=CELL("LIN")</formula>
    </cfRule>
    <cfRule type="expression" dxfId="218" priority="2">
      <formula>IF($D3&lt;&gt;"",1,0)</formula>
    </cfRule>
  </conditionalFormatting>
  <conditionalFormatting sqref="O3:O27">
    <cfRule type="cellIs" dxfId="217" priority="3" operator="lessThan">
      <formula>$T$3</formula>
    </cfRule>
  </conditionalFormatting>
  <pageMargins left="1" right="1" top="1" bottom="1" header="0.5" footer="0.5"/>
  <pageSetup paperSize="9" scale="51" fitToHeight="0" orientation="landscape" horizontalDpi="300" verticalDpi="300" r:id="rId1"/>
  <drawing r:id="rId2"/>
  <tableParts count="1"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2398-014C-40B2-9ACF-A65B27FE65FA}">
  <sheetPr codeName="Planilha6"/>
  <dimension ref="A1:AE29"/>
  <sheetViews>
    <sheetView showGridLines="0" showRowColHeaders="0" view="pageBreakPreview" zoomScale="60" zoomScaleNormal="70" workbookViewId="0">
      <pane xSplit="4" topLeftCell="E1" activePane="topRight" state="frozen"/>
      <selection sqref="A1:D3"/>
      <selection pane="topRight" activeCell="E29" sqref="E29"/>
    </sheetView>
  </sheetViews>
  <sheetFormatPr defaultRowHeight="12.75"/>
  <cols>
    <col min="2" max="2" width="39.28515625" bestFit="1" customWidth="1"/>
    <col min="3" max="3" width="14.28515625" customWidth="1"/>
    <col min="4" max="4" width="40.140625" customWidth="1"/>
    <col min="5" max="5" width="15.28515625" customWidth="1"/>
    <col min="6" max="6" width="16.28515625" customWidth="1"/>
    <col min="7" max="7" width="24.7109375" customWidth="1"/>
    <col min="8" max="8" width="15.140625" customWidth="1"/>
    <col min="9" max="9" width="14.5703125" customWidth="1"/>
    <col min="10" max="10" width="24.5703125" customWidth="1"/>
    <col min="12" max="12" width="14.140625" customWidth="1"/>
    <col min="13" max="13" width="15.140625" customWidth="1"/>
    <col min="14" max="14" width="23.5703125" customWidth="1"/>
    <col min="15" max="15" width="14.85546875" customWidth="1"/>
    <col min="16" max="16" width="15.85546875" customWidth="1"/>
    <col min="17" max="17" width="24.28515625" customWidth="1"/>
    <col min="19" max="19" width="15.140625" customWidth="1"/>
    <col min="20" max="20" width="16.140625" customWidth="1"/>
    <col min="21" max="21" width="24.5703125" customWidth="1"/>
    <col min="22" max="22" width="14.7109375" customWidth="1"/>
    <col min="23" max="23" width="15.7109375" customWidth="1"/>
    <col min="24" max="24" width="24.140625" customWidth="1"/>
    <col min="26" max="26" width="15" customWidth="1"/>
    <col min="27" max="27" width="16" customWidth="1"/>
    <col min="28" max="28" width="24.42578125" customWidth="1"/>
    <col min="29" max="29" width="15.140625" customWidth="1"/>
    <col min="30" max="30" width="16.140625" customWidth="1"/>
    <col min="31" max="31" width="24.5703125" customWidth="1"/>
  </cols>
  <sheetData>
    <row r="1" spans="1:31" ht="30" customHeight="1" thickBot="1">
      <c r="A1" s="124" t="str">
        <f>CONCATENATE('1A-A-Turma'!B2&amp;" - ",'1A-A-Turma'!B3)</f>
        <v>1º Ano - A - Manhã</v>
      </c>
      <c r="B1" s="124"/>
      <c r="C1" s="124"/>
      <c r="D1" s="125"/>
      <c r="E1" s="128" t="s">
        <v>41</v>
      </c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  <c r="V1" s="129"/>
      <c r="W1" s="129"/>
      <c r="X1" s="129"/>
      <c r="Y1" s="129"/>
      <c r="Z1" s="129"/>
      <c r="AA1" s="129"/>
      <c r="AB1" s="129"/>
      <c r="AC1" s="129"/>
      <c r="AD1" s="129"/>
      <c r="AE1" s="130"/>
    </row>
    <row r="2" spans="1:31" ht="16.5" thickBot="1">
      <c r="A2" s="124"/>
      <c r="B2" s="124"/>
      <c r="C2" s="124"/>
      <c r="D2" s="125"/>
      <c r="E2" s="131" t="s">
        <v>37</v>
      </c>
      <c r="F2" s="132"/>
      <c r="G2" s="132"/>
      <c r="H2" s="132"/>
      <c r="I2" s="132"/>
      <c r="J2" s="132"/>
      <c r="K2" s="132"/>
      <c r="L2" s="132"/>
      <c r="M2" s="132"/>
      <c r="N2" s="132"/>
      <c r="O2" s="132"/>
      <c r="P2" s="132"/>
      <c r="Q2" s="133"/>
      <c r="R2" s="64"/>
      <c r="S2" s="131" t="s">
        <v>38</v>
      </c>
      <c r="T2" s="132"/>
      <c r="U2" s="132"/>
      <c r="V2" s="132"/>
      <c r="W2" s="132"/>
      <c r="X2" s="132"/>
      <c r="Y2" s="132"/>
      <c r="Z2" s="132"/>
      <c r="AA2" s="132"/>
      <c r="AB2" s="132"/>
      <c r="AC2" s="132"/>
      <c r="AD2" s="132"/>
      <c r="AE2" s="133"/>
    </row>
    <row r="3" spans="1:31" ht="15">
      <c r="A3" s="126"/>
      <c r="B3" s="126"/>
      <c r="C3" s="126"/>
      <c r="D3" s="127"/>
      <c r="E3" s="134" t="s">
        <v>33</v>
      </c>
      <c r="F3" s="135"/>
      <c r="G3" s="136"/>
      <c r="H3" s="138" t="s">
        <v>34</v>
      </c>
      <c r="I3" s="139"/>
      <c r="J3" s="140"/>
      <c r="K3" s="64"/>
      <c r="L3" s="134" t="s">
        <v>35</v>
      </c>
      <c r="M3" s="135"/>
      <c r="N3" s="136"/>
      <c r="O3" s="138" t="s">
        <v>36</v>
      </c>
      <c r="P3" s="139"/>
      <c r="Q3" s="140"/>
      <c r="R3" s="64"/>
      <c r="S3" s="137" t="s">
        <v>39</v>
      </c>
      <c r="T3" s="135"/>
      <c r="U3" s="136"/>
      <c r="V3" s="141" t="s">
        <v>40</v>
      </c>
      <c r="W3" s="139"/>
      <c r="X3" s="140"/>
      <c r="Y3" s="64"/>
      <c r="Z3" s="134" t="s">
        <v>31</v>
      </c>
      <c r="AA3" s="135"/>
      <c r="AB3" s="136"/>
      <c r="AC3" s="138" t="s">
        <v>32</v>
      </c>
      <c r="AD3" s="139"/>
      <c r="AE3" s="140"/>
    </row>
    <row r="4" spans="1:31" ht="31.5">
      <c r="A4" s="63" t="s">
        <v>9</v>
      </c>
      <c r="B4" s="57" t="s">
        <v>10</v>
      </c>
      <c r="C4" s="58" t="s">
        <v>13</v>
      </c>
      <c r="D4" s="59" t="s">
        <v>16</v>
      </c>
      <c r="E4" s="31" t="s">
        <v>42</v>
      </c>
      <c r="F4" s="32" t="s">
        <v>43</v>
      </c>
      <c r="G4" s="33" t="s">
        <v>44</v>
      </c>
      <c r="H4" s="34" t="s">
        <v>46</v>
      </c>
      <c r="I4" s="35" t="s">
        <v>45</v>
      </c>
      <c r="J4" s="36" t="s">
        <v>51</v>
      </c>
      <c r="K4" s="65" t="s">
        <v>47</v>
      </c>
      <c r="L4" s="37" t="s">
        <v>48</v>
      </c>
      <c r="M4" s="32" t="s">
        <v>49</v>
      </c>
      <c r="N4" s="33" t="s">
        <v>50</v>
      </c>
      <c r="O4" s="34" t="s">
        <v>52</v>
      </c>
      <c r="P4" s="35" t="s">
        <v>53</v>
      </c>
      <c r="Q4" s="36" t="s">
        <v>54</v>
      </c>
      <c r="R4" s="65" t="s">
        <v>55</v>
      </c>
      <c r="S4" s="37" t="s">
        <v>56</v>
      </c>
      <c r="T4" s="32" t="s">
        <v>57</v>
      </c>
      <c r="U4" s="33" t="s">
        <v>58</v>
      </c>
      <c r="V4" s="34" t="s">
        <v>59</v>
      </c>
      <c r="W4" s="35" t="s">
        <v>60</v>
      </c>
      <c r="X4" s="36" t="s">
        <v>61</v>
      </c>
      <c r="Y4" s="65" t="s">
        <v>62</v>
      </c>
      <c r="Z4" s="37" t="s">
        <v>63</v>
      </c>
      <c r="AA4" s="32" t="s">
        <v>64</v>
      </c>
      <c r="AB4" s="33" t="s">
        <v>65</v>
      </c>
      <c r="AC4" s="34" t="s">
        <v>66</v>
      </c>
      <c r="AD4" s="35" t="s">
        <v>67</v>
      </c>
      <c r="AE4" s="38" t="s">
        <v>68</v>
      </c>
    </row>
    <row r="5" spans="1:31" ht="15">
      <c r="A5" s="72">
        <v>1</v>
      </c>
      <c r="B5" s="60" t="str">
        <f>IF('1A-A'!B3&lt;&gt;0,'1A-A'!B3,"")</f>
        <v/>
      </c>
      <c r="C5" s="61" t="str">
        <f>IF('1A-A'!C3&lt;&gt;0,'1A-A'!C3,"")</f>
        <v/>
      </c>
      <c r="D5" s="62" t="str">
        <f>IF('1A-A'!D3&lt;&gt;0,'1A-A'!D3,"")</f>
        <v/>
      </c>
      <c r="E5" s="43"/>
      <c r="F5" s="42"/>
      <c r="G5" s="28" t="e">
        <f t="shared" ref="G5:G29" si="0">ROUND((E5*100)/(E5+F5),0)/100</f>
        <v>#DIV/0!</v>
      </c>
      <c r="H5" s="39"/>
      <c r="I5" s="40"/>
      <c r="J5" s="29" t="e">
        <f t="shared" ref="J5:J29" si="1">ROUND((H5*100)/(H5+I5),0)/100</f>
        <v>#DIV/0!</v>
      </c>
      <c r="K5" s="87">
        <f>Tabela2736810[[#This Row],[Nº]]</f>
        <v>1</v>
      </c>
      <c r="L5" s="41"/>
      <c r="M5" s="42"/>
      <c r="N5" s="28" t="e">
        <f t="shared" ref="N5:N29" si="2">ROUND((L5*100)/(L5+M5),0)/100</f>
        <v>#DIV/0!</v>
      </c>
      <c r="O5" s="39"/>
      <c r="P5" s="40"/>
      <c r="Q5" s="29" t="e">
        <f t="shared" ref="Q5:Q29" si="3">ROUND((O5*100)/(O5+P5),0)/100</f>
        <v>#DIV/0!</v>
      </c>
      <c r="R5" s="87">
        <f>Tabela2736810[[#This Row],[Nº]]</f>
        <v>1</v>
      </c>
      <c r="S5" s="41"/>
      <c r="T5" s="42"/>
      <c r="U5" s="28" t="e">
        <f t="shared" ref="U5:U29" si="4">ROUND((S5*100)/(S5+T5),0)/100</f>
        <v>#DIV/0!</v>
      </c>
      <c r="V5" s="39"/>
      <c r="W5" s="40"/>
      <c r="X5" s="29" t="e">
        <f t="shared" ref="X5:X29" si="5">ROUND((V5*100)/(V5+W5),0)/100</f>
        <v>#DIV/0!</v>
      </c>
      <c r="Y5" s="87">
        <f>Tabela2736810[[#This Row],[Nº]]</f>
        <v>1</v>
      </c>
      <c r="Z5" s="41"/>
      <c r="AA5" s="42"/>
      <c r="AB5" s="28" t="e">
        <f t="shared" ref="AB5:AB29" si="6">ROUND((Z5*100)/(Z5+AA5),0)/100</f>
        <v>#DIV/0!</v>
      </c>
      <c r="AC5" s="39"/>
      <c r="AD5" s="40"/>
      <c r="AE5" s="30" t="e">
        <f t="shared" ref="AE5:AE29" si="7">ROUND((AC5*100)/(AC5+AD5),0)/100</f>
        <v>#DIV/0!</v>
      </c>
    </row>
    <row r="6" spans="1:31" ht="15">
      <c r="A6" s="72">
        <v>2</v>
      </c>
      <c r="B6" s="60" t="str">
        <f>IF('1A-A'!B4&lt;&gt;0,'1A-A'!B4,"")</f>
        <v/>
      </c>
      <c r="C6" s="61" t="str">
        <f>IF('1A-A'!C4&lt;&gt;0,'1A-A'!C4,"")</f>
        <v/>
      </c>
      <c r="D6" s="62" t="str">
        <f>IF('1A-A'!D4&lt;&gt;0,'1A-A'!D4,"")</f>
        <v/>
      </c>
      <c r="E6" s="43"/>
      <c r="F6" s="42"/>
      <c r="G6" s="28" t="e">
        <f t="shared" si="0"/>
        <v>#DIV/0!</v>
      </c>
      <c r="H6" s="39"/>
      <c r="I6" s="40"/>
      <c r="J6" s="29" t="e">
        <f t="shared" si="1"/>
        <v>#DIV/0!</v>
      </c>
      <c r="K6" s="87">
        <f>Tabela2736810[[#This Row],[Nº]]</f>
        <v>2</v>
      </c>
      <c r="L6" s="41"/>
      <c r="M6" s="42"/>
      <c r="N6" s="28" t="e">
        <f t="shared" si="2"/>
        <v>#DIV/0!</v>
      </c>
      <c r="O6" s="39"/>
      <c r="P6" s="40"/>
      <c r="Q6" s="29" t="e">
        <f t="shared" si="3"/>
        <v>#DIV/0!</v>
      </c>
      <c r="R6" s="87">
        <f>Tabela2736810[[#This Row],[Nº]]</f>
        <v>2</v>
      </c>
      <c r="S6" s="41"/>
      <c r="T6" s="42"/>
      <c r="U6" s="28" t="e">
        <f t="shared" si="4"/>
        <v>#DIV/0!</v>
      </c>
      <c r="V6" s="39"/>
      <c r="W6" s="40"/>
      <c r="X6" s="29" t="e">
        <f t="shared" si="5"/>
        <v>#DIV/0!</v>
      </c>
      <c r="Y6" s="87">
        <f>Tabela2736810[[#This Row],[Nº]]</f>
        <v>2</v>
      </c>
      <c r="Z6" s="41"/>
      <c r="AA6" s="42"/>
      <c r="AB6" s="28" t="e">
        <f t="shared" si="6"/>
        <v>#DIV/0!</v>
      </c>
      <c r="AC6" s="39"/>
      <c r="AD6" s="40"/>
      <c r="AE6" s="30" t="e">
        <f t="shared" si="7"/>
        <v>#DIV/0!</v>
      </c>
    </row>
    <row r="7" spans="1:31" ht="15">
      <c r="A7" s="72">
        <v>3</v>
      </c>
      <c r="B7" s="60" t="str">
        <f>IF('1A-A'!B5&lt;&gt;0,'1A-A'!B5,"")</f>
        <v/>
      </c>
      <c r="C7" s="61" t="str">
        <f>IF('1A-A'!C5&lt;&gt;0,'1A-A'!C5,"")</f>
        <v/>
      </c>
      <c r="D7" s="62" t="str">
        <f>IF('1A-A'!D5&lt;&gt;0,'1A-A'!D5,"")</f>
        <v/>
      </c>
      <c r="E7" s="43"/>
      <c r="F7" s="42"/>
      <c r="G7" s="28" t="e">
        <f t="shared" si="0"/>
        <v>#DIV/0!</v>
      </c>
      <c r="H7" s="39"/>
      <c r="I7" s="40"/>
      <c r="J7" s="29" t="e">
        <f t="shared" si="1"/>
        <v>#DIV/0!</v>
      </c>
      <c r="K7" s="87">
        <f>Tabela2736810[[#This Row],[Nº]]</f>
        <v>3</v>
      </c>
      <c r="L7" s="41"/>
      <c r="M7" s="42"/>
      <c r="N7" s="28" t="e">
        <f t="shared" si="2"/>
        <v>#DIV/0!</v>
      </c>
      <c r="O7" s="39"/>
      <c r="P7" s="40"/>
      <c r="Q7" s="29" t="e">
        <f t="shared" si="3"/>
        <v>#DIV/0!</v>
      </c>
      <c r="R7" s="87">
        <f>Tabela2736810[[#This Row],[Nº]]</f>
        <v>3</v>
      </c>
      <c r="S7" s="41"/>
      <c r="T7" s="42"/>
      <c r="U7" s="28" t="e">
        <f t="shared" si="4"/>
        <v>#DIV/0!</v>
      </c>
      <c r="V7" s="39"/>
      <c r="W7" s="40"/>
      <c r="X7" s="29" t="e">
        <f t="shared" si="5"/>
        <v>#DIV/0!</v>
      </c>
      <c r="Y7" s="87">
        <f>Tabela2736810[[#This Row],[Nº]]</f>
        <v>3</v>
      </c>
      <c r="Z7" s="41"/>
      <c r="AA7" s="42"/>
      <c r="AB7" s="28" t="e">
        <f t="shared" si="6"/>
        <v>#DIV/0!</v>
      </c>
      <c r="AC7" s="39"/>
      <c r="AD7" s="40"/>
      <c r="AE7" s="30" t="e">
        <f t="shared" si="7"/>
        <v>#DIV/0!</v>
      </c>
    </row>
    <row r="8" spans="1:31" ht="15">
      <c r="A8" s="72">
        <v>4</v>
      </c>
      <c r="B8" s="60" t="str">
        <f>IF('1A-A'!B6&lt;&gt;0,'1A-A'!B6,"")</f>
        <v/>
      </c>
      <c r="C8" s="61" t="str">
        <f>IF('1A-A'!C6&lt;&gt;0,'1A-A'!C6,"")</f>
        <v/>
      </c>
      <c r="D8" s="62" t="str">
        <f>IF('1A-A'!D6&lt;&gt;0,'1A-A'!D6,"")</f>
        <v/>
      </c>
      <c r="E8" s="43"/>
      <c r="F8" s="42"/>
      <c r="G8" s="28" t="e">
        <f t="shared" si="0"/>
        <v>#DIV/0!</v>
      </c>
      <c r="H8" s="39"/>
      <c r="I8" s="40"/>
      <c r="J8" s="29" t="e">
        <f t="shared" si="1"/>
        <v>#DIV/0!</v>
      </c>
      <c r="K8" s="87">
        <f>Tabela2736810[[#This Row],[Nº]]</f>
        <v>4</v>
      </c>
      <c r="L8" s="41"/>
      <c r="M8" s="42"/>
      <c r="N8" s="28" t="e">
        <f t="shared" si="2"/>
        <v>#DIV/0!</v>
      </c>
      <c r="O8" s="39"/>
      <c r="P8" s="40"/>
      <c r="Q8" s="29" t="e">
        <f t="shared" si="3"/>
        <v>#DIV/0!</v>
      </c>
      <c r="R8" s="87">
        <f>Tabela2736810[[#This Row],[Nº]]</f>
        <v>4</v>
      </c>
      <c r="S8" s="41"/>
      <c r="T8" s="42"/>
      <c r="U8" s="28" t="e">
        <f t="shared" si="4"/>
        <v>#DIV/0!</v>
      </c>
      <c r="V8" s="39"/>
      <c r="W8" s="40"/>
      <c r="X8" s="29" t="e">
        <f t="shared" si="5"/>
        <v>#DIV/0!</v>
      </c>
      <c r="Y8" s="87">
        <f>Tabela2736810[[#This Row],[Nº]]</f>
        <v>4</v>
      </c>
      <c r="Z8" s="41"/>
      <c r="AA8" s="42"/>
      <c r="AB8" s="28" t="e">
        <f t="shared" si="6"/>
        <v>#DIV/0!</v>
      </c>
      <c r="AC8" s="39"/>
      <c r="AD8" s="40"/>
      <c r="AE8" s="30" t="e">
        <f t="shared" si="7"/>
        <v>#DIV/0!</v>
      </c>
    </row>
    <row r="9" spans="1:31" ht="15">
      <c r="A9" s="72">
        <v>5</v>
      </c>
      <c r="B9" s="60" t="str">
        <f>IF('1A-A'!B7&lt;&gt;0,'1A-A'!B7,"")</f>
        <v/>
      </c>
      <c r="C9" s="61" t="str">
        <f>IF('1A-A'!C7&lt;&gt;0,'1A-A'!C7,"")</f>
        <v/>
      </c>
      <c r="D9" s="62" t="str">
        <f>IF('1A-A'!D7&lt;&gt;0,'1A-A'!D7,"")</f>
        <v/>
      </c>
      <c r="E9" s="43"/>
      <c r="F9" s="42"/>
      <c r="G9" s="28" t="e">
        <f t="shared" si="0"/>
        <v>#DIV/0!</v>
      </c>
      <c r="H9" s="39"/>
      <c r="I9" s="40"/>
      <c r="J9" s="29" t="e">
        <f t="shared" si="1"/>
        <v>#DIV/0!</v>
      </c>
      <c r="K9" s="87">
        <f>Tabela2736810[[#This Row],[Nº]]</f>
        <v>5</v>
      </c>
      <c r="L9" s="41"/>
      <c r="M9" s="42"/>
      <c r="N9" s="28" t="e">
        <f t="shared" si="2"/>
        <v>#DIV/0!</v>
      </c>
      <c r="O9" s="39"/>
      <c r="P9" s="40"/>
      <c r="Q9" s="29" t="e">
        <f t="shared" si="3"/>
        <v>#DIV/0!</v>
      </c>
      <c r="R9" s="87">
        <f>Tabela2736810[[#This Row],[Nº]]</f>
        <v>5</v>
      </c>
      <c r="S9" s="41"/>
      <c r="T9" s="42"/>
      <c r="U9" s="28" t="e">
        <f t="shared" si="4"/>
        <v>#DIV/0!</v>
      </c>
      <c r="V9" s="39"/>
      <c r="W9" s="40"/>
      <c r="X9" s="29" t="e">
        <f t="shared" si="5"/>
        <v>#DIV/0!</v>
      </c>
      <c r="Y9" s="87">
        <f>Tabela2736810[[#This Row],[Nº]]</f>
        <v>5</v>
      </c>
      <c r="Z9" s="41"/>
      <c r="AA9" s="42"/>
      <c r="AB9" s="28" t="e">
        <f t="shared" si="6"/>
        <v>#DIV/0!</v>
      </c>
      <c r="AC9" s="39"/>
      <c r="AD9" s="40"/>
      <c r="AE9" s="30" t="e">
        <f t="shared" si="7"/>
        <v>#DIV/0!</v>
      </c>
    </row>
    <row r="10" spans="1:31" ht="15">
      <c r="A10" s="72">
        <v>6</v>
      </c>
      <c r="B10" s="60" t="str">
        <f>IF('1A-A'!B8&lt;&gt;0,'1A-A'!B8,"")</f>
        <v/>
      </c>
      <c r="C10" s="61" t="str">
        <f>IF('1A-A'!C8&lt;&gt;0,'1A-A'!C8,"")</f>
        <v/>
      </c>
      <c r="D10" s="62" t="str">
        <f>IF('1A-A'!D8&lt;&gt;0,'1A-A'!D8,"")</f>
        <v/>
      </c>
      <c r="E10" s="43"/>
      <c r="F10" s="42"/>
      <c r="G10" s="28" t="e">
        <f t="shared" si="0"/>
        <v>#DIV/0!</v>
      </c>
      <c r="H10" s="39"/>
      <c r="I10" s="40"/>
      <c r="J10" s="29" t="e">
        <f t="shared" si="1"/>
        <v>#DIV/0!</v>
      </c>
      <c r="K10" s="87">
        <f>Tabela2736810[[#This Row],[Nº]]</f>
        <v>6</v>
      </c>
      <c r="L10" s="41"/>
      <c r="M10" s="42"/>
      <c r="N10" s="28" t="e">
        <f t="shared" si="2"/>
        <v>#DIV/0!</v>
      </c>
      <c r="O10" s="39"/>
      <c r="P10" s="40"/>
      <c r="Q10" s="29" t="e">
        <f t="shared" si="3"/>
        <v>#DIV/0!</v>
      </c>
      <c r="R10" s="87">
        <f>Tabela2736810[[#This Row],[Nº]]</f>
        <v>6</v>
      </c>
      <c r="S10" s="41"/>
      <c r="T10" s="42"/>
      <c r="U10" s="28" t="e">
        <f t="shared" si="4"/>
        <v>#DIV/0!</v>
      </c>
      <c r="V10" s="39"/>
      <c r="W10" s="40"/>
      <c r="X10" s="29" t="e">
        <f t="shared" si="5"/>
        <v>#DIV/0!</v>
      </c>
      <c r="Y10" s="87">
        <f>Tabela2736810[[#This Row],[Nº]]</f>
        <v>6</v>
      </c>
      <c r="Z10" s="41"/>
      <c r="AA10" s="42"/>
      <c r="AB10" s="28" t="e">
        <f t="shared" si="6"/>
        <v>#DIV/0!</v>
      </c>
      <c r="AC10" s="39"/>
      <c r="AD10" s="40"/>
      <c r="AE10" s="30" t="e">
        <f t="shared" si="7"/>
        <v>#DIV/0!</v>
      </c>
    </row>
    <row r="11" spans="1:31" ht="15">
      <c r="A11" s="72">
        <v>7</v>
      </c>
      <c r="B11" s="60" t="str">
        <f>IF('1A-A'!B9&lt;&gt;0,'1A-A'!B9,"")</f>
        <v/>
      </c>
      <c r="C11" s="61" t="str">
        <f>IF('1A-A'!C9&lt;&gt;0,'1A-A'!C9,"")</f>
        <v/>
      </c>
      <c r="D11" s="62" t="str">
        <f>IF('1A-A'!D9&lt;&gt;0,'1A-A'!D9,"")</f>
        <v/>
      </c>
      <c r="E11" s="43"/>
      <c r="F11" s="42"/>
      <c r="G11" s="28" t="e">
        <f t="shared" si="0"/>
        <v>#DIV/0!</v>
      </c>
      <c r="H11" s="39"/>
      <c r="I11" s="40"/>
      <c r="J11" s="29" t="e">
        <f t="shared" si="1"/>
        <v>#DIV/0!</v>
      </c>
      <c r="K11" s="87">
        <f>Tabela2736810[[#This Row],[Nº]]</f>
        <v>7</v>
      </c>
      <c r="L11" s="41"/>
      <c r="M11" s="42"/>
      <c r="N11" s="28" t="e">
        <f t="shared" si="2"/>
        <v>#DIV/0!</v>
      </c>
      <c r="O11" s="39"/>
      <c r="P11" s="40"/>
      <c r="Q11" s="29" t="e">
        <f t="shared" si="3"/>
        <v>#DIV/0!</v>
      </c>
      <c r="R11" s="87">
        <f>Tabela2736810[[#This Row],[Nº]]</f>
        <v>7</v>
      </c>
      <c r="S11" s="41"/>
      <c r="T11" s="42"/>
      <c r="U11" s="28" t="e">
        <f t="shared" si="4"/>
        <v>#DIV/0!</v>
      </c>
      <c r="V11" s="39"/>
      <c r="W11" s="40"/>
      <c r="X11" s="29" t="e">
        <f t="shared" si="5"/>
        <v>#DIV/0!</v>
      </c>
      <c r="Y11" s="87">
        <f>Tabela2736810[[#This Row],[Nº]]</f>
        <v>7</v>
      </c>
      <c r="Z11" s="41"/>
      <c r="AA11" s="42"/>
      <c r="AB11" s="28" t="e">
        <f t="shared" si="6"/>
        <v>#DIV/0!</v>
      </c>
      <c r="AC11" s="39"/>
      <c r="AD11" s="40"/>
      <c r="AE11" s="30" t="e">
        <f t="shared" si="7"/>
        <v>#DIV/0!</v>
      </c>
    </row>
    <row r="12" spans="1:31" ht="15">
      <c r="A12" s="72">
        <v>8</v>
      </c>
      <c r="B12" s="60" t="str">
        <f>IF('1A-A'!B10&lt;&gt;0,'1A-A'!B10,"")</f>
        <v/>
      </c>
      <c r="C12" s="61" t="str">
        <f>IF('1A-A'!C10&lt;&gt;0,'1A-A'!C10,"")</f>
        <v/>
      </c>
      <c r="D12" s="62" t="str">
        <f>IF('1A-A'!D10&lt;&gt;0,'1A-A'!D10,"")</f>
        <v/>
      </c>
      <c r="E12" s="43"/>
      <c r="F12" s="42"/>
      <c r="G12" s="28" t="e">
        <f t="shared" si="0"/>
        <v>#DIV/0!</v>
      </c>
      <c r="H12" s="39"/>
      <c r="I12" s="40"/>
      <c r="J12" s="29" t="e">
        <f t="shared" si="1"/>
        <v>#DIV/0!</v>
      </c>
      <c r="K12" s="87">
        <f>Tabela2736810[[#This Row],[Nº]]</f>
        <v>8</v>
      </c>
      <c r="L12" s="41"/>
      <c r="M12" s="42"/>
      <c r="N12" s="28" t="e">
        <f t="shared" si="2"/>
        <v>#DIV/0!</v>
      </c>
      <c r="O12" s="39"/>
      <c r="P12" s="40"/>
      <c r="Q12" s="29" t="e">
        <f t="shared" si="3"/>
        <v>#DIV/0!</v>
      </c>
      <c r="R12" s="87">
        <f>Tabela2736810[[#This Row],[Nº]]</f>
        <v>8</v>
      </c>
      <c r="S12" s="41"/>
      <c r="T12" s="42"/>
      <c r="U12" s="28" t="e">
        <f t="shared" si="4"/>
        <v>#DIV/0!</v>
      </c>
      <c r="V12" s="39"/>
      <c r="W12" s="40"/>
      <c r="X12" s="29" t="e">
        <f t="shared" si="5"/>
        <v>#DIV/0!</v>
      </c>
      <c r="Y12" s="87">
        <f>Tabela2736810[[#This Row],[Nº]]</f>
        <v>8</v>
      </c>
      <c r="Z12" s="41"/>
      <c r="AA12" s="42"/>
      <c r="AB12" s="28" t="e">
        <f t="shared" si="6"/>
        <v>#DIV/0!</v>
      </c>
      <c r="AC12" s="39"/>
      <c r="AD12" s="40"/>
      <c r="AE12" s="30" t="e">
        <f t="shared" si="7"/>
        <v>#DIV/0!</v>
      </c>
    </row>
    <row r="13" spans="1:31" ht="15">
      <c r="A13" s="72">
        <v>9</v>
      </c>
      <c r="B13" s="60" t="str">
        <f>IF('1A-A'!B11&lt;&gt;0,'1A-A'!B11,"")</f>
        <v/>
      </c>
      <c r="C13" s="61" t="str">
        <f>IF('1A-A'!C11&lt;&gt;0,'1A-A'!C11,"")</f>
        <v/>
      </c>
      <c r="D13" s="62" t="str">
        <f>IF('1A-A'!D11&lt;&gt;0,'1A-A'!D11,"")</f>
        <v/>
      </c>
      <c r="E13" s="43"/>
      <c r="F13" s="42"/>
      <c r="G13" s="28" t="e">
        <f t="shared" si="0"/>
        <v>#DIV/0!</v>
      </c>
      <c r="H13" s="39"/>
      <c r="I13" s="40"/>
      <c r="J13" s="29" t="e">
        <f t="shared" si="1"/>
        <v>#DIV/0!</v>
      </c>
      <c r="K13" s="87">
        <f>Tabela2736810[[#This Row],[Nº]]</f>
        <v>9</v>
      </c>
      <c r="L13" s="41"/>
      <c r="M13" s="42"/>
      <c r="N13" s="28" t="e">
        <f t="shared" si="2"/>
        <v>#DIV/0!</v>
      </c>
      <c r="O13" s="39"/>
      <c r="P13" s="40"/>
      <c r="Q13" s="29" t="e">
        <f t="shared" si="3"/>
        <v>#DIV/0!</v>
      </c>
      <c r="R13" s="87">
        <f>Tabela2736810[[#This Row],[Nº]]</f>
        <v>9</v>
      </c>
      <c r="S13" s="41"/>
      <c r="T13" s="42"/>
      <c r="U13" s="28" t="e">
        <f t="shared" si="4"/>
        <v>#DIV/0!</v>
      </c>
      <c r="V13" s="39"/>
      <c r="W13" s="40"/>
      <c r="X13" s="29" t="e">
        <f t="shared" si="5"/>
        <v>#DIV/0!</v>
      </c>
      <c r="Y13" s="87">
        <f>Tabela2736810[[#This Row],[Nº]]</f>
        <v>9</v>
      </c>
      <c r="Z13" s="41"/>
      <c r="AA13" s="42"/>
      <c r="AB13" s="28" t="e">
        <f t="shared" si="6"/>
        <v>#DIV/0!</v>
      </c>
      <c r="AC13" s="39"/>
      <c r="AD13" s="40"/>
      <c r="AE13" s="30" t="e">
        <f t="shared" si="7"/>
        <v>#DIV/0!</v>
      </c>
    </row>
    <row r="14" spans="1:31" ht="15">
      <c r="A14" s="72">
        <v>10</v>
      </c>
      <c r="B14" s="60" t="str">
        <f>IF('1A-A'!B12&lt;&gt;0,'1A-A'!B12,"")</f>
        <v/>
      </c>
      <c r="C14" s="61" t="str">
        <f>IF('1A-A'!C12&lt;&gt;0,'1A-A'!C12,"")</f>
        <v/>
      </c>
      <c r="D14" s="62" t="str">
        <f>IF('1A-A'!D12&lt;&gt;0,'1A-A'!D12,"")</f>
        <v/>
      </c>
      <c r="E14" s="43"/>
      <c r="F14" s="42"/>
      <c r="G14" s="28" t="e">
        <f t="shared" si="0"/>
        <v>#DIV/0!</v>
      </c>
      <c r="H14" s="39"/>
      <c r="I14" s="40"/>
      <c r="J14" s="29" t="e">
        <f t="shared" si="1"/>
        <v>#DIV/0!</v>
      </c>
      <c r="K14" s="87">
        <f>Tabela2736810[[#This Row],[Nº]]</f>
        <v>10</v>
      </c>
      <c r="L14" s="41"/>
      <c r="M14" s="42"/>
      <c r="N14" s="28" t="e">
        <f t="shared" si="2"/>
        <v>#DIV/0!</v>
      </c>
      <c r="O14" s="39"/>
      <c r="P14" s="40"/>
      <c r="Q14" s="29" t="e">
        <f t="shared" si="3"/>
        <v>#DIV/0!</v>
      </c>
      <c r="R14" s="87">
        <f>Tabela2736810[[#This Row],[Nº]]</f>
        <v>10</v>
      </c>
      <c r="S14" s="41"/>
      <c r="T14" s="42"/>
      <c r="U14" s="28" t="e">
        <f t="shared" si="4"/>
        <v>#DIV/0!</v>
      </c>
      <c r="V14" s="39"/>
      <c r="W14" s="40"/>
      <c r="X14" s="29" t="e">
        <f t="shared" si="5"/>
        <v>#DIV/0!</v>
      </c>
      <c r="Y14" s="87">
        <f>Tabela2736810[[#This Row],[Nº]]</f>
        <v>10</v>
      </c>
      <c r="Z14" s="41"/>
      <c r="AA14" s="42"/>
      <c r="AB14" s="28" t="e">
        <f t="shared" si="6"/>
        <v>#DIV/0!</v>
      </c>
      <c r="AC14" s="39"/>
      <c r="AD14" s="40"/>
      <c r="AE14" s="30" t="e">
        <f t="shared" si="7"/>
        <v>#DIV/0!</v>
      </c>
    </row>
    <row r="15" spans="1:31" ht="15">
      <c r="A15" s="72">
        <v>11</v>
      </c>
      <c r="B15" s="60" t="str">
        <f>IF('1A-A'!B13&lt;&gt;0,'1A-A'!B13,"")</f>
        <v/>
      </c>
      <c r="C15" s="61" t="str">
        <f>IF('1A-A'!C13&lt;&gt;0,'1A-A'!C13,"")</f>
        <v/>
      </c>
      <c r="D15" s="62" t="str">
        <f>IF('1A-A'!D13&lt;&gt;0,'1A-A'!D13,"")</f>
        <v/>
      </c>
      <c r="E15" s="43"/>
      <c r="F15" s="42"/>
      <c r="G15" s="28" t="e">
        <f t="shared" si="0"/>
        <v>#DIV/0!</v>
      </c>
      <c r="H15" s="39"/>
      <c r="I15" s="40"/>
      <c r="J15" s="29" t="e">
        <f t="shared" si="1"/>
        <v>#DIV/0!</v>
      </c>
      <c r="K15" s="87">
        <f>Tabela2736810[[#This Row],[Nº]]</f>
        <v>11</v>
      </c>
      <c r="L15" s="41"/>
      <c r="M15" s="42"/>
      <c r="N15" s="28" t="e">
        <f t="shared" si="2"/>
        <v>#DIV/0!</v>
      </c>
      <c r="O15" s="39"/>
      <c r="P15" s="40"/>
      <c r="Q15" s="29" t="e">
        <f t="shared" si="3"/>
        <v>#DIV/0!</v>
      </c>
      <c r="R15" s="87">
        <f>Tabela2736810[[#This Row],[Nº]]</f>
        <v>11</v>
      </c>
      <c r="S15" s="41"/>
      <c r="T15" s="42"/>
      <c r="U15" s="28" t="e">
        <f t="shared" si="4"/>
        <v>#DIV/0!</v>
      </c>
      <c r="V15" s="39"/>
      <c r="W15" s="40"/>
      <c r="X15" s="29" t="e">
        <f t="shared" si="5"/>
        <v>#DIV/0!</v>
      </c>
      <c r="Y15" s="87">
        <f>Tabela2736810[[#This Row],[Nº]]</f>
        <v>11</v>
      </c>
      <c r="Z15" s="41"/>
      <c r="AA15" s="42"/>
      <c r="AB15" s="28" t="e">
        <f t="shared" si="6"/>
        <v>#DIV/0!</v>
      </c>
      <c r="AC15" s="39"/>
      <c r="AD15" s="40"/>
      <c r="AE15" s="30" t="e">
        <f t="shared" si="7"/>
        <v>#DIV/0!</v>
      </c>
    </row>
    <row r="16" spans="1:31" ht="15">
      <c r="A16" s="72">
        <v>12</v>
      </c>
      <c r="B16" s="60" t="str">
        <f>IF('1A-A'!B14&lt;&gt;0,'1A-A'!B14,"")</f>
        <v/>
      </c>
      <c r="C16" s="61" t="str">
        <f>IF('1A-A'!C14&lt;&gt;0,'1A-A'!C14,"")</f>
        <v/>
      </c>
      <c r="D16" s="62" t="str">
        <f>IF('1A-A'!D14&lt;&gt;0,'1A-A'!D14,"")</f>
        <v/>
      </c>
      <c r="E16" s="43"/>
      <c r="F16" s="42"/>
      <c r="G16" s="28" t="e">
        <f t="shared" si="0"/>
        <v>#DIV/0!</v>
      </c>
      <c r="H16" s="39"/>
      <c r="I16" s="40"/>
      <c r="J16" s="29" t="e">
        <f t="shared" si="1"/>
        <v>#DIV/0!</v>
      </c>
      <c r="K16" s="87">
        <f>Tabela2736810[[#This Row],[Nº]]</f>
        <v>12</v>
      </c>
      <c r="L16" s="41"/>
      <c r="M16" s="42"/>
      <c r="N16" s="28" t="e">
        <f t="shared" si="2"/>
        <v>#DIV/0!</v>
      </c>
      <c r="O16" s="39"/>
      <c r="P16" s="40"/>
      <c r="Q16" s="29" t="e">
        <f t="shared" si="3"/>
        <v>#DIV/0!</v>
      </c>
      <c r="R16" s="87">
        <f>Tabela2736810[[#This Row],[Nº]]</f>
        <v>12</v>
      </c>
      <c r="S16" s="41"/>
      <c r="T16" s="42"/>
      <c r="U16" s="28" t="e">
        <f t="shared" si="4"/>
        <v>#DIV/0!</v>
      </c>
      <c r="V16" s="39"/>
      <c r="W16" s="40"/>
      <c r="X16" s="29" t="e">
        <f t="shared" si="5"/>
        <v>#DIV/0!</v>
      </c>
      <c r="Y16" s="87">
        <f>Tabela2736810[[#This Row],[Nº]]</f>
        <v>12</v>
      </c>
      <c r="Z16" s="41"/>
      <c r="AA16" s="42"/>
      <c r="AB16" s="28" t="e">
        <f t="shared" si="6"/>
        <v>#DIV/0!</v>
      </c>
      <c r="AC16" s="39"/>
      <c r="AD16" s="40"/>
      <c r="AE16" s="30" t="e">
        <f t="shared" si="7"/>
        <v>#DIV/0!</v>
      </c>
    </row>
    <row r="17" spans="1:31" ht="15">
      <c r="A17" s="72">
        <v>13</v>
      </c>
      <c r="B17" s="60" t="str">
        <f>IF('1A-A'!B15&lt;&gt;0,'1A-A'!B15,"")</f>
        <v/>
      </c>
      <c r="C17" s="61" t="str">
        <f>IF('1A-A'!C15&lt;&gt;0,'1A-A'!C15,"")</f>
        <v/>
      </c>
      <c r="D17" s="62" t="str">
        <f>IF('1A-A'!D15&lt;&gt;0,'1A-A'!D15,"")</f>
        <v/>
      </c>
      <c r="E17" s="43"/>
      <c r="F17" s="42"/>
      <c r="G17" s="28" t="e">
        <f t="shared" si="0"/>
        <v>#DIV/0!</v>
      </c>
      <c r="H17" s="39"/>
      <c r="I17" s="40"/>
      <c r="J17" s="29" t="e">
        <f t="shared" si="1"/>
        <v>#DIV/0!</v>
      </c>
      <c r="K17" s="87">
        <f>Tabela2736810[[#This Row],[Nº]]</f>
        <v>13</v>
      </c>
      <c r="L17" s="41"/>
      <c r="M17" s="42"/>
      <c r="N17" s="28" t="e">
        <f t="shared" si="2"/>
        <v>#DIV/0!</v>
      </c>
      <c r="O17" s="39"/>
      <c r="P17" s="40"/>
      <c r="Q17" s="29" t="e">
        <f t="shared" si="3"/>
        <v>#DIV/0!</v>
      </c>
      <c r="R17" s="87">
        <f>Tabela2736810[[#This Row],[Nº]]</f>
        <v>13</v>
      </c>
      <c r="S17" s="41"/>
      <c r="T17" s="42"/>
      <c r="U17" s="28" t="e">
        <f t="shared" si="4"/>
        <v>#DIV/0!</v>
      </c>
      <c r="V17" s="39"/>
      <c r="W17" s="40"/>
      <c r="X17" s="29" t="e">
        <f t="shared" si="5"/>
        <v>#DIV/0!</v>
      </c>
      <c r="Y17" s="87">
        <f>Tabela2736810[[#This Row],[Nº]]</f>
        <v>13</v>
      </c>
      <c r="Z17" s="41"/>
      <c r="AA17" s="42"/>
      <c r="AB17" s="28" t="e">
        <f t="shared" si="6"/>
        <v>#DIV/0!</v>
      </c>
      <c r="AC17" s="39"/>
      <c r="AD17" s="40"/>
      <c r="AE17" s="30" t="e">
        <f t="shared" si="7"/>
        <v>#DIV/0!</v>
      </c>
    </row>
    <row r="18" spans="1:31" ht="15">
      <c r="A18" s="72">
        <v>14</v>
      </c>
      <c r="B18" s="60" t="str">
        <f>IF('1A-A'!B16&lt;&gt;0,'1A-A'!B16,"")</f>
        <v/>
      </c>
      <c r="C18" s="61" t="str">
        <f>IF('1A-A'!C16&lt;&gt;0,'1A-A'!C16,"")</f>
        <v/>
      </c>
      <c r="D18" s="62" t="str">
        <f>IF('1A-A'!D16&lt;&gt;0,'1A-A'!D16,"")</f>
        <v/>
      </c>
      <c r="E18" s="43"/>
      <c r="F18" s="42"/>
      <c r="G18" s="28" t="e">
        <f t="shared" si="0"/>
        <v>#DIV/0!</v>
      </c>
      <c r="H18" s="39"/>
      <c r="I18" s="40"/>
      <c r="J18" s="29" t="e">
        <f t="shared" si="1"/>
        <v>#DIV/0!</v>
      </c>
      <c r="K18" s="87">
        <f>Tabela2736810[[#This Row],[Nº]]</f>
        <v>14</v>
      </c>
      <c r="L18" s="41"/>
      <c r="M18" s="42"/>
      <c r="N18" s="28" t="e">
        <f t="shared" si="2"/>
        <v>#DIV/0!</v>
      </c>
      <c r="O18" s="39"/>
      <c r="P18" s="40"/>
      <c r="Q18" s="29" t="e">
        <f t="shared" si="3"/>
        <v>#DIV/0!</v>
      </c>
      <c r="R18" s="87">
        <f>Tabela2736810[[#This Row],[Nº]]</f>
        <v>14</v>
      </c>
      <c r="S18" s="41"/>
      <c r="T18" s="42"/>
      <c r="U18" s="28" t="e">
        <f t="shared" si="4"/>
        <v>#DIV/0!</v>
      </c>
      <c r="V18" s="39"/>
      <c r="W18" s="40"/>
      <c r="X18" s="29" t="e">
        <f t="shared" si="5"/>
        <v>#DIV/0!</v>
      </c>
      <c r="Y18" s="87">
        <f>Tabela2736810[[#This Row],[Nº]]</f>
        <v>14</v>
      </c>
      <c r="Z18" s="41"/>
      <c r="AA18" s="42"/>
      <c r="AB18" s="28" t="e">
        <f t="shared" si="6"/>
        <v>#DIV/0!</v>
      </c>
      <c r="AC18" s="39"/>
      <c r="AD18" s="40"/>
      <c r="AE18" s="30" t="e">
        <f t="shared" si="7"/>
        <v>#DIV/0!</v>
      </c>
    </row>
    <row r="19" spans="1:31" ht="15">
      <c r="A19" s="72">
        <v>15</v>
      </c>
      <c r="B19" s="60" t="str">
        <f>IF('1A-A'!B17&lt;&gt;0,'1A-A'!B17,"")</f>
        <v/>
      </c>
      <c r="C19" s="61" t="str">
        <f>IF('1A-A'!C17&lt;&gt;0,'1A-A'!C17,"")</f>
        <v/>
      </c>
      <c r="D19" s="62" t="str">
        <f>IF('1A-A'!D17&lt;&gt;0,'1A-A'!D17,"")</f>
        <v/>
      </c>
      <c r="E19" s="43"/>
      <c r="F19" s="42"/>
      <c r="G19" s="28" t="e">
        <f t="shared" si="0"/>
        <v>#DIV/0!</v>
      </c>
      <c r="H19" s="39"/>
      <c r="I19" s="40"/>
      <c r="J19" s="29" t="e">
        <f t="shared" si="1"/>
        <v>#DIV/0!</v>
      </c>
      <c r="K19" s="87">
        <f>Tabela2736810[[#This Row],[Nº]]</f>
        <v>15</v>
      </c>
      <c r="L19" s="41"/>
      <c r="M19" s="42"/>
      <c r="N19" s="28" t="e">
        <f t="shared" si="2"/>
        <v>#DIV/0!</v>
      </c>
      <c r="O19" s="39"/>
      <c r="P19" s="40"/>
      <c r="Q19" s="29" t="e">
        <f t="shared" si="3"/>
        <v>#DIV/0!</v>
      </c>
      <c r="R19" s="87">
        <f>Tabela2736810[[#This Row],[Nº]]</f>
        <v>15</v>
      </c>
      <c r="S19" s="41"/>
      <c r="T19" s="42"/>
      <c r="U19" s="28" t="e">
        <f t="shared" si="4"/>
        <v>#DIV/0!</v>
      </c>
      <c r="V19" s="39"/>
      <c r="W19" s="40"/>
      <c r="X19" s="29" t="e">
        <f t="shared" si="5"/>
        <v>#DIV/0!</v>
      </c>
      <c r="Y19" s="87">
        <f>Tabela2736810[[#This Row],[Nº]]</f>
        <v>15</v>
      </c>
      <c r="Z19" s="41"/>
      <c r="AA19" s="42"/>
      <c r="AB19" s="28" t="e">
        <f t="shared" si="6"/>
        <v>#DIV/0!</v>
      </c>
      <c r="AC19" s="39"/>
      <c r="AD19" s="40"/>
      <c r="AE19" s="30" t="e">
        <f t="shared" si="7"/>
        <v>#DIV/0!</v>
      </c>
    </row>
    <row r="20" spans="1:31" ht="15">
      <c r="A20" s="72">
        <v>16</v>
      </c>
      <c r="B20" s="60" t="str">
        <f>IF('1A-A'!B18&lt;&gt;0,'1A-A'!B18,"")</f>
        <v/>
      </c>
      <c r="C20" s="61" t="str">
        <f>IF('1A-A'!C18&lt;&gt;0,'1A-A'!C18,"")</f>
        <v/>
      </c>
      <c r="D20" s="62" t="str">
        <f>IF('1A-A'!D18&lt;&gt;0,'1A-A'!D18,"")</f>
        <v/>
      </c>
      <c r="E20" s="43"/>
      <c r="F20" s="42"/>
      <c r="G20" s="28" t="e">
        <f t="shared" si="0"/>
        <v>#DIV/0!</v>
      </c>
      <c r="H20" s="39"/>
      <c r="I20" s="40"/>
      <c r="J20" s="29" t="e">
        <f t="shared" si="1"/>
        <v>#DIV/0!</v>
      </c>
      <c r="K20" s="87">
        <f>Tabela2736810[[#This Row],[Nº]]</f>
        <v>16</v>
      </c>
      <c r="L20" s="41"/>
      <c r="M20" s="42"/>
      <c r="N20" s="28" t="e">
        <f t="shared" si="2"/>
        <v>#DIV/0!</v>
      </c>
      <c r="O20" s="39"/>
      <c r="P20" s="40"/>
      <c r="Q20" s="29" t="e">
        <f t="shared" si="3"/>
        <v>#DIV/0!</v>
      </c>
      <c r="R20" s="87">
        <f>Tabela2736810[[#This Row],[Nº]]</f>
        <v>16</v>
      </c>
      <c r="S20" s="41"/>
      <c r="T20" s="42"/>
      <c r="U20" s="28" t="e">
        <f t="shared" si="4"/>
        <v>#DIV/0!</v>
      </c>
      <c r="V20" s="39"/>
      <c r="W20" s="40"/>
      <c r="X20" s="29" t="e">
        <f t="shared" si="5"/>
        <v>#DIV/0!</v>
      </c>
      <c r="Y20" s="87">
        <f>Tabela2736810[[#This Row],[Nº]]</f>
        <v>16</v>
      </c>
      <c r="Z20" s="41"/>
      <c r="AA20" s="42"/>
      <c r="AB20" s="28" t="e">
        <f t="shared" si="6"/>
        <v>#DIV/0!</v>
      </c>
      <c r="AC20" s="39"/>
      <c r="AD20" s="40"/>
      <c r="AE20" s="30" t="e">
        <f t="shared" si="7"/>
        <v>#DIV/0!</v>
      </c>
    </row>
    <row r="21" spans="1:31" ht="15">
      <c r="A21" s="72">
        <v>17</v>
      </c>
      <c r="B21" s="60" t="str">
        <f>IF('1A-A'!B19&lt;&gt;0,'1A-A'!B19,"")</f>
        <v/>
      </c>
      <c r="C21" s="61" t="str">
        <f>IF('1A-A'!C19&lt;&gt;0,'1A-A'!C19,"")</f>
        <v/>
      </c>
      <c r="D21" s="62" t="str">
        <f>IF('1A-A'!D19&lt;&gt;0,'1A-A'!D19,"")</f>
        <v/>
      </c>
      <c r="E21" s="43"/>
      <c r="F21" s="42"/>
      <c r="G21" s="28" t="e">
        <f t="shared" si="0"/>
        <v>#DIV/0!</v>
      </c>
      <c r="H21" s="39"/>
      <c r="I21" s="40"/>
      <c r="J21" s="29" t="e">
        <f t="shared" si="1"/>
        <v>#DIV/0!</v>
      </c>
      <c r="K21" s="87">
        <f>Tabela2736810[[#This Row],[Nº]]</f>
        <v>17</v>
      </c>
      <c r="L21" s="41"/>
      <c r="M21" s="42"/>
      <c r="N21" s="28" t="e">
        <f t="shared" si="2"/>
        <v>#DIV/0!</v>
      </c>
      <c r="O21" s="39"/>
      <c r="P21" s="40"/>
      <c r="Q21" s="29" t="e">
        <f t="shared" si="3"/>
        <v>#DIV/0!</v>
      </c>
      <c r="R21" s="87">
        <f>Tabela2736810[[#This Row],[Nº]]</f>
        <v>17</v>
      </c>
      <c r="S21" s="41"/>
      <c r="T21" s="42"/>
      <c r="U21" s="28" t="e">
        <f t="shared" si="4"/>
        <v>#DIV/0!</v>
      </c>
      <c r="V21" s="39"/>
      <c r="W21" s="40"/>
      <c r="X21" s="29" t="e">
        <f t="shared" si="5"/>
        <v>#DIV/0!</v>
      </c>
      <c r="Y21" s="87">
        <f>Tabela2736810[[#This Row],[Nº]]</f>
        <v>17</v>
      </c>
      <c r="Z21" s="41"/>
      <c r="AA21" s="42"/>
      <c r="AB21" s="28" t="e">
        <f t="shared" si="6"/>
        <v>#DIV/0!</v>
      </c>
      <c r="AC21" s="39"/>
      <c r="AD21" s="40"/>
      <c r="AE21" s="30" t="e">
        <f t="shared" si="7"/>
        <v>#DIV/0!</v>
      </c>
    </row>
    <row r="22" spans="1:31" ht="15">
      <c r="A22" s="72">
        <v>18</v>
      </c>
      <c r="B22" s="60" t="str">
        <f>IF('1A-A'!B20&lt;&gt;0,'1A-A'!B20,"")</f>
        <v/>
      </c>
      <c r="C22" s="61" t="str">
        <f>IF('1A-A'!C20&lt;&gt;0,'1A-A'!C20,"")</f>
        <v/>
      </c>
      <c r="D22" s="62" t="str">
        <f>IF('1A-A'!D20&lt;&gt;0,'1A-A'!D20,"")</f>
        <v/>
      </c>
      <c r="E22" s="43"/>
      <c r="F22" s="42"/>
      <c r="G22" s="28" t="e">
        <f t="shared" si="0"/>
        <v>#DIV/0!</v>
      </c>
      <c r="H22" s="39"/>
      <c r="I22" s="40"/>
      <c r="J22" s="29" t="e">
        <f t="shared" si="1"/>
        <v>#DIV/0!</v>
      </c>
      <c r="K22" s="87">
        <f>Tabela2736810[[#This Row],[Nº]]</f>
        <v>18</v>
      </c>
      <c r="L22" s="41"/>
      <c r="M22" s="42"/>
      <c r="N22" s="28" t="e">
        <f t="shared" si="2"/>
        <v>#DIV/0!</v>
      </c>
      <c r="O22" s="39"/>
      <c r="P22" s="40"/>
      <c r="Q22" s="29" t="e">
        <f t="shared" si="3"/>
        <v>#DIV/0!</v>
      </c>
      <c r="R22" s="87">
        <f>Tabela2736810[[#This Row],[Nº]]</f>
        <v>18</v>
      </c>
      <c r="S22" s="41"/>
      <c r="T22" s="42"/>
      <c r="U22" s="28" t="e">
        <f t="shared" si="4"/>
        <v>#DIV/0!</v>
      </c>
      <c r="V22" s="39"/>
      <c r="W22" s="40"/>
      <c r="X22" s="29" t="e">
        <f t="shared" si="5"/>
        <v>#DIV/0!</v>
      </c>
      <c r="Y22" s="87">
        <f>Tabela2736810[[#This Row],[Nº]]</f>
        <v>18</v>
      </c>
      <c r="Z22" s="41"/>
      <c r="AA22" s="42"/>
      <c r="AB22" s="28" t="e">
        <f t="shared" si="6"/>
        <v>#DIV/0!</v>
      </c>
      <c r="AC22" s="39"/>
      <c r="AD22" s="40"/>
      <c r="AE22" s="30" t="e">
        <f t="shared" si="7"/>
        <v>#DIV/0!</v>
      </c>
    </row>
    <row r="23" spans="1:31" ht="15">
      <c r="A23" s="72">
        <v>19</v>
      </c>
      <c r="B23" s="60" t="str">
        <f>IF('1A-A'!B21&lt;&gt;0,'1A-A'!B21,"")</f>
        <v/>
      </c>
      <c r="C23" s="61" t="str">
        <f>IF('1A-A'!C21&lt;&gt;0,'1A-A'!C21,"")</f>
        <v/>
      </c>
      <c r="D23" s="62" t="str">
        <f>IF('1A-A'!D21&lt;&gt;0,'1A-A'!D21,"")</f>
        <v/>
      </c>
      <c r="E23" s="43"/>
      <c r="F23" s="42"/>
      <c r="G23" s="28" t="e">
        <f t="shared" si="0"/>
        <v>#DIV/0!</v>
      </c>
      <c r="H23" s="39"/>
      <c r="I23" s="40"/>
      <c r="J23" s="29" t="e">
        <f t="shared" si="1"/>
        <v>#DIV/0!</v>
      </c>
      <c r="K23" s="87">
        <f>Tabela2736810[[#This Row],[Nº]]</f>
        <v>19</v>
      </c>
      <c r="L23" s="41"/>
      <c r="M23" s="42"/>
      <c r="N23" s="28" t="e">
        <f t="shared" si="2"/>
        <v>#DIV/0!</v>
      </c>
      <c r="O23" s="39"/>
      <c r="P23" s="40"/>
      <c r="Q23" s="29" t="e">
        <f t="shared" si="3"/>
        <v>#DIV/0!</v>
      </c>
      <c r="R23" s="87">
        <f>Tabela2736810[[#This Row],[Nº]]</f>
        <v>19</v>
      </c>
      <c r="S23" s="41"/>
      <c r="T23" s="42"/>
      <c r="U23" s="28" t="e">
        <f t="shared" si="4"/>
        <v>#DIV/0!</v>
      </c>
      <c r="V23" s="39"/>
      <c r="W23" s="40"/>
      <c r="X23" s="29" t="e">
        <f t="shared" si="5"/>
        <v>#DIV/0!</v>
      </c>
      <c r="Y23" s="87">
        <f>Tabela2736810[[#This Row],[Nº]]</f>
        <v>19</v>
      </c>
      <c r="Z23" s="41"/>
      <c r="AA23" s="42"/>
      <c r="AB23" s="28" t="e">
        <f t="shared" si="6"/>
        <v>#DIV/0!</v>
      </c>
      <c r="AC23" s="39"/>
      <c r="AD23" s="40"/>
      <c r="AE23" s="30" t="e">
        <f t="shared" si="7"/>
        <v>#DIV/0!</v>
      </c>
    </row>
    <row r="24" spans="1:31" ht="15">
      <c r="A24" s="72">
        <v>20</v>
      </c>
      <c r="B24" s="60" t="str">
        <f>IF('1A-A'!B22&lt;&gt;0,'1A-A'!B22,"")</f>
        <v/>
      </c>
      <c r="C24" s="61" t="str">
        <f>IF('1A-A'!C22&lt;&gt;0,'1A-A'!C22,"")</f>
        <v/>
      </c>
      <c r="D24" s="62" t="str">
        <f>IF('1A-A'!D22&lt;&gt;0,'1A-A'!D22,"")</f>
        <v/>
      </c>
      <c r="E24" s="43"/>
      <c r="F24" s="42"/>
      <c r="G24" s="28" t="e">
        <f t="shared" si="0"/>
        <v>#DIV/0!</v>
      </c>
      <c r="H24" s="39"/>
      <c r="I24" s="40"/>
      <c r="J24" s="29" t="e">
        <f t="shared" si="1"/>
        <v>#DIV/0!</v>
      </c>
      <c r="K24" s="87">
        <f>Tabela2736810[[#This Row],[Nº]]</f>
        <v>20</v>
      </c>
      <c r="L24" s="41"/>
      <c r="M24" s="42"/>
      <c r="N24" s="28" t="e">
        <f t="shared" si="2"/>
        <v>#DIV/0!</v>
      </c>
      <c r="O24" s="39"/>
      <c r="P24" s="40"/>
      <c r="Q24" s="29" t="e">
        <f t="shared" si="3"/>
        <v>#DIV/0!</v>
      </c>
      <c r="R24" s="87">
        <f>Tabela2736810[[#This Row],[Nº]]</f>
        <v>20</v>
      </c>
      <c r="S24" s="41"/>
      <c r="T24" s="42"/>
      <c r="U24" s="28" t="e">
        <f t="shared" si="4"/>
        <v>#DIV/0!</v>
      </c>
      <c r="V24" s="39"/>
      <c r="W24" s="40"/>
      <c r="X24" s="29" t="e">
        <f t="shared" si="5"/>
        <v>#DIV/0!</v>
      </c>
      <c r="Y24" s="87">
        <f>Tabela2736810[[#This Row],[Nº]]</f>
        <v>20</v>
      </c>
      <c r="Z24" s="41"/>
      <c r="AA24" s="42"/>
      <c r="AB24" s="28" t="e">
        <f t="shared" si="6"/>
        <v>#DIV/0!</v>
      </c>
      <c r="AC24" s="39"/>
      <c r="AD24" s="40"/>
      <c r="AE24" s="30" t="e">
        <f t="shared" si="7"/>
        <v>#DIV/0!</v>
      </c>
    </row>
    <row r="25" spans="1:31" ht="15">
      <c r="A25" s="72">
        <v>21</v>
      </c>
      <c r="B25" s="60" t="str">
        <f>IF('1A-A'!B23&lt;&gt;0,'1A-A'!B23,"")</f>
        <v/>
      </c>
      <c r="C25" s="61" t="str">
        <f>IF('1A-A'!C23&lt;&gt;0,'1A-A'!C23,"")</f>
        <v/>
      </c>
      <c r="D25" s="62" t="str">
        <f>IF('1A-A'!D23&lt;&gt;0,'1A-A'!D23,"")</f>
        <v/>
      </c>
      <c r="E25" s="43"/>
      <c r="F25" s="42"/>
      <c r="G25" s="28" t="e">
        <f t="shared" si="0"/>
        <v>#DIV/0!</v>
      </c>
      <c r="H25" s="39"/>
      <c r="I25" s="40"/>
      <c r="J25" s="29" t="e">
        <f t="shared" si="1"/>
        <v>#DIV/0!</v>
      </c>
      <c r="K25" s="87">
        <f>Tabela2736810[[#This Row],[Nº]]</f>
        <v>21</v>
      </c>
      <c r="L25" s="41"/>
      <c r="M25" s="42"/>
      <c r="N25" s="28" t="e">
        <f t="shared" si="2"/>
        <v>#DIV/0!</v>
      </c>
      <c r="O25" s="39"/>
      <c r="P25" s="40"/>
      <c r="Q25" s="29" t="e">
        <f t="shared" si="3"/>
        <v>#DIV/0!</v>
      </c>
      <c r="R25" s="87">
        <f>Tabela2736810[[#This Row],[Nº]]</f>
        <v>21</v>
      </c>
      <c r="S25" s="41"/>
      <c r="T25" s="42"/>
      <c r="U25" s="28" t="e">
        <f t="shared" si="4"/>
        <v>#DIV/0!</v>
      </c>
      <c r="V25" s="39"/>
      <c r="W25" s="40"/>
      <c r="X25" s="29" t="e">
        <f t="shared" si="5"/>
        <v>#DIV/0!</v>
      </c>
      <c r="Y25" s="87">
        <f>Tabela2736810[[#This Row],[Nº]]</f>
        <v>21</v>
      </c>
      <c r="Z25" s="41"/>
      <c r="AA25" s="42"/>
      <c r="AB25" s="28" t="e">
        <f t="shared" si="6"/>
        <v>#DIV/0!</v>
      </c>
      <c r="AC25" s="39"/>
      <c r="AD25" s="40"/>
      <c r="AE25" s="30" t="e">
        <f t="shared" si="7"/>
        <v>#DIV/0!</v>
      </c>
    </row>
    <row r="26" spans="1:31" ht="15">
      <c r="A26" s="72">
        <v>22</v>
      </c>
      <c r="B26" s="60" t="str">
        <f>IF('1A-A'!B24&lt;&gt;0,'1A-A'!B24,"")</f>
        <v/>
      </c>
      <c r="C26" s="61" t="str">
        <f>IF('1A-A'!C24&lt;&gt;0,'1A-A'!C24,"")</f>
        <v/>
      </c>
      <c r="D26" s="62" t="str">
        <f>IF('1A-A'!D24&lt;&gt;0,'1A-A'!D24,"")</f>
        <v/>
      </c>
      <c r="E26" s="43"/>
      <c r="F26" s="42"/>
      <c r="G26" s="28" t="e">
        <f t="shared" si="0"/>
        <v>#DIV/0!</v>
      </c>
      <c r="H26" s="39"/>
      <c r="I26" s="40"/>
      <c r="J26" s="29" t="e">
        <f t="shared" si="1"/>
        <v>#DIV/0!</v>
      </c>
      <c r="K26" s="87">
        <f>Tabela2736810[[#This Row],[Nº]]</f>
        <v>22</v>
      </c>
      <c r="L26" s="41"/>
      <c r="M26" s="42"/>
      <c r="N26" s="28" t="e">
        <f t="shared" si="2"/>
        <v>#DIV/0!</v>
      </c>
      <c r="O26" s="39"/>
      <c r="P26" s="40"/>
      <c r="Q26" s="29" t="e">
        <f t="shared" si="3"/>
        <v>#DIV/0!</v>
      </c>
      <c r="R26" s="87">
        <f>Tabela2736810[[#This Row],[Nº]]</f>
        <v>22</v>
      </c>
      <c r="S26" s="41"/>
      <c r="T26" s="42"/>
      <c r="U26" s="28" t="e">
        <f t="shared" si="4"/>
        <v>#DIV/0!</v>
      </c>
      <c r="V26" s="39"/>
      <c r="W26" s="40"/>
      <c r="X26" s="29" t="e">
        <f t="shared" si="5"/>
        <v>#DIV/0!</v>
      </c>
      <c r="Y26" s="87">
        <f>Tabela2736810[[#This Row],[Nº]]</f>
        <v>22</v>
      </c>
      <c r="Z26" s="41"/>
      <c r="AA26" s="42"/>
      <c r="AB26" s="28" t="e">
        <f t="shared" si="6"/>
        <v>#DIV/0!</v>
      </c>
      <c r="AC26" s="39"/>
      <c r="AD26" s="40"/>
      <c r="AE26" s="30" t="e">
        <f t="shared" si="7"/>
        <v>#DIV/0!</v>
      </c>
    </row>
    <row r="27" spans="1:31" ht="15">
      <c r="A27" s="72">
        <v>23</v>
      </c>
      <c r="B27" s="60" t="str">
        <f>IF('1A-A'!B25&lt;&gt;0,'1A-A'!B25,"")</f>
        <v/>
      </c>
      <c r="C27" s="61" t="str">
        <f>IF('1A-A'!C25&lt;&gt;0,'1A-A'!C25,"")</f>
        <v/>
      </c>
      <c r="D27" s="62" t="str">
        <f>IF('1A-A'!D25&lt;&gt;0,'1A-A'!D25,"")</f>
        <v/>
      </c>
      <c r="E27" s="43"/>
      <c r="F27" s="42"/>
      <c r="G27" s="28" t="e">
        <f t="shared" si="0"/>
        <v>#DIV/0!</v>
      </c>
      <c r="H27" s="39"/>
      <c r="I27" s="40"/>
      <c r="J27" s="29" t="e">
        <f t="shared" si="1"/>
        <v>#DIV/0!</v>
      </c>
      <c r="K27" s="87">
        <f>Tabela2736810[[#This Row],[Nº]]</f>
        <v>23</v>
      </c>
      <c r="L27" s="41"/>
      <c r="M27" s="42"/>
      <c r="N27" s="28" t="e">
        <f t="shared" si="2"/>
        <v>#DIV/0!</v>
      </c>
      <c r="O27" s="39"/>
      <c r="P27" s="40"/>
      <c r="Q27" s="29" t="e">
        <f t="shared" si="3"/>
        <v>#DIV/0!</v>
      </c>
      <c r="R27" s="87">
        <f>Tabela2736810[[#This Row],[Nº]]</f>
        <v>23</v>
      </c>
      <c r="S27" s="41"/>
      <c r="T27" s="42"/>
      <c r="U27" s="28" t="e">
        <f t="shared" si="4"/>
        <v>#DIV/0!</v>
      </c>
      <c r="V27" s="39"/>
      <c r="W27" s="40"/>
      <c r="X27" s="29" t="e">
        <f t="shared" si="5"/>
        <v>#DIV/0!</v>
      </c>
      <c r="Y27" s="87">
        <f>Tabela2736810[[#This Row],[Nº]]</f>
        <v>23</v>
      </c>
      <c r="Z27" s="41"/>
      <c r="AA27" s="42"/>
      <c r="AB27" s="28" t="e">
        <f t="shared" si="6"/>
        <v>#DIV/0!</v>
      </c>
      <c r="AC27" s="39"/>
      <c r="AD27" s="40"/>
      <c r="AE27" s="30" t="e">
        <f t="shared" si="7"/>
        <v>#DIV/0!</v>
      </c>
    </row>
    <row r="28" spans="1:31" ht="15">
      <c r="A28" s="72">
        <v>24</v>
      </c>
      <c r="B28" s="60" t="str">
        <f>IF('1A-A'!B26&lt;&gt;0,'1A-A'!B26,"")</f>
        <v/>
      </c>
      <c r="C28" s="61" t="str">
        <f>IF('1A-A'!C26&lt;&gt;0,'1A-A'!C26,"")</f>
        <v/>
      </c>
      <c r="D28" s="62" t="str">
        <f>IF('1A-A'!D26&lt;&gt;0,'1A-A'!D26,"")</f>
        <v/>
      </c>
      <c r="E28" s="43"/>
      <c r="F28" s="42"/>
      <c r="G28" s="28" t="e">
        <f t="shared" si="0"/>
        <v>#DIV/0!</v>
      </c>
      <c r="H28" s="39"/>
      <c r="I28" s="40"/>
      <c r="J28" s="29" t="e">
        <f t="shared" si="1"/>
        <v>#DIV/0!</v>
      </c>
      <c r="K28" s="87">
        <f>Tabela2736810[[#This Row],[Nº]]</f>
        <v>24</v>
      </c>
      <c r="L28" s="41"/>
      <c r="M28" s="42"/>
      <c r="N28" s="28" t="e">
        <f t="shared" si="2"/>
        <v>#DIV/0!</v>
      </c>
      <c r="O28" s="39"/>
      <c r="P28" s="40"/>
      <c r="Q28" s="29" t="e">
        <f t="shared" si="3"/>
        <v>#DIV/0!</v>
      </c>
      <c r="R28" s="87">
        <f>Tabela2736810[[#This Row],[Nº]]</f>
        <v>24</v>
      </c>
      <c r="S28" s="41"/>
      <c r="T28" s="42"/>
      <c r="U28" s="28" t="e">
        <f t="shared" si="4"/>
        <v>#DIV/0!</v>
      </c>
      <c r="V28" s="39"/>
      <c r="W28" s="40"/>
      <c r="X28" s="29" t="e">
        <f t="shared" si="5"/>
        <v>#DIV/0!</v>
      </c>
      <c r="Y28" s="87">
        <f>Tabela2736810[[#This Row],[Nº]]</f>
        <v>24</v>
      </c>
      <c r="Z28" s="41"/>
      <c r="AA28" s="42"/>
      <c r="AB28" s="28" t="e">
        <f t="shared" si="6"/>
        <v>#DIV/0!</v>
      </c>
      <c r="AC28" s="39"/>
      <c r="AD28" s="40"/>
      <c r="AE28" s="30" t="e">
        <f t="shared" si="7"/>
        <v>#DIV/0!</v>
      </c>
    </row>
    <row r="29" spans="1:31" ht="15">
      <c r="A29" s="72">
        <v>25</v>
      </c>
      <c r="B29" s="60" t="str">
        <f>IF('1A-A'!B27&lt;&gt;0,'1A-A'!B27,"")</f>
        <v/>
      </c>
      <c r="C29" s="61" t="str">
        <f>IF('1A-A'!C27&lt;&gt;0,'1A-A'!C27,"")</f>
        <v/>
      </c>
      <c r="D29" s="62" t="str">
        <f>IF('1A-A'!D27&lt;&gt;0,'1A-A'!D27,"")</f>
        <v/>
      </c>
      <c r="E29" s="43"/>
      <c r="F29" s="42"/>
      <c r="G29" s="28" t="e">
        <f t="shared" si="0"/>
        <v>#DIV/0!</v>
      </c>
      <c r="H29" s="39"/>
      <c r="I29" s="40"/>
      <c r="J29" s="29" t="e">
        <f t="shared" si="1"/>
        <v>#DIV/0!</v>
      </c>
      <c r="K29" s="87">
        <f>Tabela2736810[[#This Row],[Nº]]</f>
        <v>25</v>
      </c>
      <c r="L29" s="41"/>
      <c r="M29" s="42"/>
      <c r="N29" s="28" t="e">
        <f t="shared" si="2"/>
        <v>#DIV/0!</v>
      </c>
      <c r="O29" s="39"/>
      <c r="P29" s="40"/>
      <c r="Q29" s="29" t="e">
        <f t="shared" si="3"/>
        <v>#DIV/0!</v>
      </c>
      <c r="R29" s="87">
        <f>Tabela2736810[[#This Row],[Nº]]</f>
        <v>25</v>
      </c>
      <c r="S29" s="41"/>
      <c r="T29" s="42"/>
      <c r="U29" s="28" t="e">
        <f t="shared" si="4"/>
        <v>#DIV/0!</v>
      </c>
      <c r="V29" s="39"/>
      <c r="W29" s="40"/>
      <c r="X29" s="29" t="e">
        <f t="shared" si="5"/>
        <v>#DIV/0!</v>
      </c>
      <c r="Y29" s="87">
        <f>Tabela2736810[[#This Row],[Nº]]</f>
        <v>25</v>
      </c>
      <c r="Z29" s="41"/>
      <c r="AA29" s="42"/>
      <c r="AB29" s="28" t="e">
        <f t="shared" si="6"/>
        <v>#DIV/0!</v>
      </c>
      <c r="AC29" s="39"/>
      <c r="AD29" s="40"/>
      <c r="AE29" s="30" t="e">
        <f t="shared" si="7"/>
        <v>#DIV/0!</v>
      </c>
    </row>
  </sheetData>
  <sheetProtection algorithmName="SHA-512" hashValue="WLC4cqB1e/AH4HIcZS9T3LoJ9TM1fXc7vFKTs91Pcm4R0obzzXslgPxyJjVAl1/kAvbMNSevwJOm8BpUnn7eoQ==" saltValue="w29vHqnskaSRA9M7IupWhA==" spinCount="100000" sheet="1" objects="1" scenarios="1" selectLockedCells="1"/>
  <mergeCells count="12">
    <mergeCell ref="Z3:AB3"/>
    <mergeCell ref="AC3:AE3"/>
    <mergeCell ref="A1:D3"/>
    <mergeCell ref="E1:AE1"/>
    <mergeCell ref="E2:Q2"/>
    <mergeCell ref="S2:AE2"/>
    <mergeCell ref="E3:G3"/>
    <mergeCell ref="H3:J3"/>
    <mergeCell ref="L3:N3"/>
    <mergeCell ref="O3:Q3"/>
    <mergeCell ref="S3:U3"/>
    <mergeCell ref="V3:X3"/>
  </mergeCells>
  <conditionalFormatting sqref="A5:D29">
    <cfRule type="expression" dxfId="216" priority="11">
      <formula>ROW()=CELL("LIN")</formula>
    </cfRule>
    <cfRule type="expression" dxfId="215" priority="12">
      <formula>IF($D5&lt;&gt;"",1,0)</formula>
    </cfRule>
  </conditionalFormatting>
  <conditionalFormatting sqref="G5:G29">
    <cfRule type="iconSet" priority="8">
      <iconSet iconSet="3Symbols">
        <cfvo type="percent" val="0"/>
        <cfvo type="num" val="0.75"/>
        <cfvo type="num" val="0.8"/>
      </iconSet>
    </cfRule>
  </conditionalFormatting>
  <conditionalFormatting sqref="J5:J29">
    <cfRule type="iconSet" priority="7">
      <iconSet iconSet="3Symbols">
        <cfvo type="percent" val="0"/>
        <cfvo type="num" val="0.75"/>
        <cfvo type="num" val="0.8"/>
      </iconSet>
    </cfRule>
  </conditionalFormatting>
  <conditionalFormatting sqref="N5:N29">
    <cfRule type="iconSet" priority="6">
      <iconSet iconSet="3Symbols">
        <cfvo type="percent" val="0"/>
        <cfvo type="num" val="0.75"/>
        <cfvo type="num" val="0.8"/>
      </iconSet>
    </cfRule>
  </conditionalFormatting>
  <conditionalFormatting sqref="Q5:Q29">
    <cfRule type="iconSet" priority="5">
      <iconSet iconSet="3Symbols">
        <cfvo type="percent" val="0"/>
        <cfvo type="num" val="0.75"/>
        <cfvo type="num" val="0.8"/>
      </iconSet>
    </cfRule>
  </conditionalFormatting>
  <conditionalFormatting sqref="U5:U29">
    <cfRule type="iconSet" priority="4">
      <iconSet iconSet="3Symbols">
        <cfvo type="percent" val="0"/>
        <cfvo type="num" val="0.75"/>
        <cfvo type="num" val="0.8"/>
      </iconSet>
    </cfRule>
  </conditionalFormatting>
  <conditionalFormatting sqref="X5:X29">
    <cfRule type="iconSet" priority="3">
      <iconSet iconSet="3Symbols">
        <cfvo type="percent" val="0"/>
        <cfvo type="num" val="0.75"/>
        <cfvo type="num" val="0.8"/>
      </iconSet>
    </cfRule>
  </conditionalFormatting>
  <conditionalFormatting sqref="AB5:AB29">
    <cfRule type="iconSet" priority="2">
      <iconSet iconSet="3Symbols">
        <cfvo type="percent" val="0"/>
        <cfvo type="num" val="0.75"/>
        <cfvo type="num" val="0.8"/>
      </iconSet>
    </cfRule>
  </conditionalFormatting>
  <conditionalFormatting sqref="AE5:AE29">
    <cfRule type="iconSet" priority="1">
      <iconSet iconSet="3Symbols">
        <cfvo type="percent" val="0"/>
        <cfvo type="num" val="0.75"/>
        <cfvo type="num" val="0.8"/>
      </iconSet>
    </cfRule>
  </conditionalFormatting>
  <conditionalFormatting sqref="E5:AE29">
    <cfRule type="expression" dxfId="214" priority="9">
      <formula>ROW()=CELL("LIN")</formula>
    </cfRule>
    <cfRule type="expression" dxfId="213" priority="10">
      <formula>IF($D5&lt;&gt;"",1,0)</formula>
    </cfRule>
  </conditionalFormatting>
  <pageMargins left="0.511811024" right="0.511811024" top="0.78740157499999996" bottom="0.78740157499999996" header="0.31496062000000002" footer="0.31496062000000002"/>
  <pageSetup paperSize="9" scale="54" orientation="landscape" r:id="rId1"/>
  <colBreaks count="2" manualBreakCount="2">
    <brk id="10" max="1048575" man="1"/>
    <brk id="24" max="1048575" man="1"/>
  </colBreaks>
  <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B86B0-1D8B-4D39-A87B-E9401BC4C31F}">
  <sheetPr codeName="Plan21">
    <pageSetUpPr fitToPage="1"/>
  </sheetPr>
  <dimension ref="A1:K48"/>
  <sheetViews>
    <sheetView showGridLines="0" showRowColHeaders="0" view="pageBreakPreview" zoomScaleNormal="60" zoomScaleSheetLayoutView="100" zoomScalePageLayoutView="91" workbookViewId="0">
      <selection activeCell="B4" sqref="B4:K4"/>
    </sheetView>
  </sheetViews>
  <sheetFormatPr defaultColWidth="9.140625" defaultRowHeight="15"/>
  <cols>
    <col min="1" max="1" width="19.85546875" style="17" customWidth="1"/>
    <col min="2" max="16384" width="9.140625" style="17"/>
  </cols>
  <sheetData>
    <row r="1" spans="1:11" ht="15.75">
      <c r="A1" s="73" t="s">
        <v>69</v>
      </c>
      <c r="B1" s="92" t="str">
        <f>MENU!C2</f>
        <v>E.M.E.I.E.F. Ficticio</v>
      </c>
      <c r="C1" s="92"/>
      <c r="D1" s="92"/>
      <c r="E1" s="92"/>
      <c r="F1" s="92"/>
      <c r="G1" s="92"/>
      <c r="H1" s="92"/>
      <c r="I1" s="92"/>
      <c r="J1" s="92"/>
      <c r="K1" s="93"/>
    </row>
    <row r="2" spans="1:11" ht="15.75">
      <c r="A2" s="74" t="s">
        <v>71</v>
      </c>
      <c r="B2" s="156" t="s">
        <v>101</v>
      </c>
      <c r="C2" s="95"/>
      <c r="D2" s="95"/>
      <c r="E2" s="95"/>
      <c r="F2" s="95"/>
      <c r="G2" s="95"/>
      <c r="H2" s="95"/>
      <c r="I2" s="95"/>
      <c r="J2" s="95"/>
      <c r="K2" s="96"/>
    </row>
    <row r="3" spans="1:11" ht="15.75">
      <c r="A3" s="74" t="s">
        <v>70</v>
      </c>
      <c r="B3" s="94" t="s">
        <v>8</v>
      </c>
      <c r="C3" s="95"/>
      <c r="D3" s="95"/>
      <c r="E3" s="95"/>
      <c r="F3" s="95"/>
      <c r="G3" s="95"/>
      <c r="H3" s="95"/>
      <c r="I3" s="95"/>
      <c r="J3" s="95"/>
      <c r="K3" s="96"/>
    </row>
    <row r="4" spans="1:11" ht="15.75">
      <c r="A4" s="74" t="s">
        <v>5</v>
      </c>
      <c r="B4" s="94" t="s">
        <v>113</v>
      </c>
      <c r="C4" s="95"/>
      <c r="D4" s="95"/>
      <c r="E4" s="95"/>
      <c r="F4" s="95"/>
      <c r="G4" s="95"/>
      <c r="H4" s="95"/>
      <c r="I4" s="95"/>
      <c r="J4" s="95"/>
      <c r="K4" s="96"/>
    </row>
    <row r="5" spans="1:11" ht="15.75">
      <c r="A5" s="74" t="s">
        <v>73</v>
      </c>
      <c r="B5" s="95"/>
      <c r="C5" s="95"/>
      <c r="D5" s="95"/>
      <c r="E5" s="95"/>
      <c r="F5" s="95"/>
      <c r="G5" s="95"/>
      <c r="H5" s="95"/>
      <c r="I5" s="95"/>
      <c r="J5" s="95"/>
      <c r="K5" s="96"/>
    </row>
    <row r="6" spans="1:11" ht="15.75">
      <c r="A6" s="99" t="s">
        <v>74</v>
      </c>
      <c r="B6" s="100"/>
      <c r="C6" s="100"/>
      <c r="D6" s="95"/>
      <c r="E6" s="95"/>
      <c r="F6" s="95"/>
      <c r="G6" s="95"/>
      <c r="H6" s="95"/>
      <c r="I6" s="95"/>
      <c r="J6" s="95"/>
      <c r="K6" s="96"/>
    </row>
    <row r="7" spans="1:11" ht="16.5" thickBot="1">
      <c r="A7" s="75" t="s">
        <v>72</v>
      </c>
      <c r="B7" s="97">
        <f>MENU!D10</f>
        <v>2022</v>
      </c>
      <c r="C7" s="97"/>
      <c r="D7" s="97"/>
      <c r="E7" s="97"/>
      <c r="F7" s="97"/>
      <c r="G7" s="97"/>
      <c r="H7" s="97"/>
      <c r="I7" s="97"/>
      <c r="J7" s="97"/>
      <c r="K7" s="98"/>
    </row>
    <row r="8" spans="1:11" ht="15.75" thickBot="1"/>
    <row r="9" spans="1:11">
      <c r="A9" s="107" t="s">
        <v>77</v>
      </c>
      <c r="B9" s="108"/>
      <c r="C9" s="108"/>
      <c r="D9" s="108"/>
      <c r="E9" s="108"/>
      <c r="F9" s="108"/>
      <c r="G9" s="108"/>
      <c r="H9" s="108"/>
      <c r="I9" s="108"/>
      <c r="J9" s="108"/>
      <c r="K9" s="109"/>
    </row>
    <row r="10" spans="1:11" ht="15.75" thickBot="1">
      <c r="A10" s="110"/>
      <c r="B10" s="111"/>
      <c r="C10" s="111"/>
      <c r="D10" s="111"/>
      <c r="E10" s="111"/>
      <c r="F10" s="111"/>
      <c r="G10" s="111"/>
      <c r="H10" s="111"/>
      <c r="I10" s="111"/>
      <c r="J10" s="111"/>
      <c r="K10" s="112"/>
    </row>
    <row r="11" spans="1:11" ht="15.75">
      <c r="A11" s="79" t="s">
        <v>9</v>
      </c>
      <c r="B11" s="107" t="s">
        <v>78</v>
      </c>
      <c r="C11" s="108"/>
      <c r="D11" s="108"/>
      <c r="E11" s="109"/>
      <c r="F11" s="107" t="s">
        <v>79</v>
      </c>
      <c r="G11" s="109"/>
      <c r="H11" s="107" t="s">
        <v>80</v>
      </c>
      <c r="I11" s="109"/>
      <c r="J11" s="107" t="s">
        <v>99</v>
      </c>
      <c r="K11" s="109"/>
    </row>
    <row r="12" spans="1:11">
      <c r="A12" s="78">
        <f>IF('1A-B'!A3&lt;&gt;0,'1A-B'!A3,"")</f>
        <v>1</v>
      </c>
      <c r="B12" s="149" t="str">
        <f>IF('1A-B'!B3&lt;&gt;0,'1A-B'!B3,"")</f>
        <v/>
      </c>
      <c r="C12" s="150"/>
      <c r="D12" s="150"/>
      <c r="E12" s="151"/>
      <c r="F12" s="152" t="str">
        <f>IF('1A-B'!G3&lt;&gt;0,'1A-B'!G3,"")</f>
        <v/>
      </c>
      <c r="G12" s="153"/>
      <c r="H12" s="159" t="str">
        <f>IF('1A-B'!C3&lt;&gt;0,'1A-B'!C3,"")</f>
        <v/>
      </c>
      <c r="I12" s="160"/>
      <c r="J12" s="152" t="str">
        <f>IF('1A-B'!D3&lt;&gt;0,'1A-B'!D3,"")</f>
        <v/>
      </c>
      <c r="K12" s="155"/>
    </row>
    <row r="13" spans="1:11">
      <c r="A13" s="78">
        <f>IF('1A-B'!A4&lt;&gt;0,'1A-B'!A4,"")</f>
        <v>2</v>
      </c>
      <c r="B13" s="149" t="str">
        <f>IF('1A-B'!B4&lt;&gt;0,'1A-B'!B4,"")</f>
        <v/>
      </c>
      <c r="C13" s="150"/>
      <c r="D13" s="150"/>
      <c r="E13" s="151"/>
      <c r="F13" s="152" t="str">
        <f>IF('1A-B'!G4&lt;&gt;0,'1A-B'!G4,"")</f>
        <v/>
      </c>
      <c r="G13" s="153"/>
      <c r="H13" s="159" t="str">
        <f>IF('1A-B'!C4&lt;&gt;0,'1A-B'!C4,"")</f>
        <v/>
      </c>
      <c r="I13" s="160"/>
      <c r="J13" s="152" t="str">
        <f>IF('1A-B'!D4&lt;&gt;0,'1A-B'!D4,"")</f>
        <v/>
      </c>
      <c r="K13" s="155"/>
    </row>
    <row r="14" spans="1:11">
      <c r="A14" s="78">
        <f>IF('1A-B'!A5&lt;&gt;0,'1A-B'!A5,"")</f>
        <v>3</v>
      </c>
      <c r="B14" s="149" t="str">
        <f>IF('1A-B'!B5&lt;&gt;0,'1A-B'!B5,"")</f>
        <v/>
      </c>
      <c r="C14" s="150"/>
      <c r="D14" s="150"/>
      <c r="E14" s="151"/>
      <c r="F14" s="152" t="str">
        <f>IF('1A-B'!G5&lt;&gt;0,'1A-B'!G5,"")</f>
        <v/>
      </c>
      <c r="G14" s="153"/>
      <c r="H14" s="159" t="str">
        <f>IF('1A-B'!C5&lt;&gt;0,'1A-B'!C5,"")</f>
        <v/>
      </c>
      <c r="I14" s="160"/>
      <c r="J14" s="152" t="str">
        <f>IF('1A-B'!D5&lt;&gt;0,'1A-B'!D5,"")</f>
        <v/>
      </c>
      <c r="K14" s="155"/>
    </row>
    <row r="15" spans="1:11">
      <c r="A15" s="78">
        <f>IF('1A-B'!A6&lt;&gt;0,'1A-B'!A6,"")</f>
        <v>4</v>
      </c>
      <c r="B15" s="149" t="str">
        <f>IF('1A-B'!B6&lt;&gt;0,'1A-B'!B6,"")</f>
        <v/>
      </c>
      <c r="C15" s="150"/>
      <c r="D15" s="150"/>
      <c r="E15" s="151"/>
      <c r="F15" s="152" t="str">
        <f>IF('1A-B'!G6&lt;&gt;0,'1A-B'!G6,"")</f>
        <v/>
      </c>
      <c r="G15" s="153"/>
      <c r="H15" s="159" t="str">
        <f>IF('1A-B'!C6&lt;&gt;0,'1A-B'!C6,"")</f>
        <v/>
      </c>
      <c r="I15" s="160"/>
      <c r="J15" s="152" t="str">
        <f>IF('1A-B'!D6&lt;&gt;0,'1A-B'!D6,"")</f>
        <v/>
      </c>
      <c r="K15" s="155"/>
    </row>
    <row r="16" spans="1:11">
      <c r="A16" s="78">
        <f>IF('1A-B'!A7&lt;&gt;0,'1A-B'!A7,"")</f>
        <v>5</v>
      </c>
      <c r="B16" s="149" t="str">
        <f>IF('1A-B'!B7&lt;&gt;0,'1A-B'!B7,"")</f>
        <v/>
      </c>
      <c r="C16" s="150"/>
      <c r="D16" s="150"/>
      <c r="E16" s="151"/>
      <c r="F16" s="152" t="str">
        <f>IF('1A-B'!G7&lt;&gt;0,'1A-B'!G7,"")</f>
        <v/>
      </c>
      <c r="G16" s="153"/>
      <c r="H16" s="159" t="str">
        <f>IF('1A-B'!C7&lt;&gt;0,'1A-B'!C7,"")</f>
        <v/>
      </c>
      <c r="I16" s="160"/>
      <c r="J16" s="152" t="str">
        <f>IF('1A-B'!D7&lt;&gt;0,'1A-B'!D7,"")</f>
        <v/>
      </c>
      <c r="K16" s="155"/>
    </row>
    <row r="17" spans="1:11">
      <c r="A17" s="78">
        <f>IF('1A-B'!A8&lt;&gt;0,'1A-B'!A8,"")</f>
        <v>6</v>
      </c>
      <c r="B17" s="149" t="str">
        <f>IF('1A-B'!B8&lt;&gt;0,'1A-B'!B8,"")</f>
        <v/>
      </c>
      <c r="C17" s="150"/>
      <c r="D17" s="150"/>
      <c r="E17" s="151"/>
      <c r="F17" s="152" t="str">
        <f>IF('1A-B'!G8&lt;&gt;0,'1A-B'!G8,"")</f>
        <v/>
      </c>
      <c r="G17" s="153"/>
      <c r="H17" s="159" t="str">
        <f>IF('1A-B'!C8&lt;&gt;0,'1A-B'!C8,"")</f>
        <v/>
      </c>
      <c r="I17" s="160"/>
      <c r="J17" s="152" t="str">
        <f>IF('1A-B'!D8&lt;&gt;0,'1A-B'!D8,"")</f>
        <v/>
      </c>
      <c r="K17" s="155"/>
    </row>
    <row r="18" spans="1:11">
      <c r="A18" s="78">
        <f>IF('1A-B'!A9&lt;&gt;0,'1A-B'!A9,"")</f>
        <v>7</v>
      </c>
      <c r="B18" s="149" t="str">
        <f>IF('1A-B'!B9&lt;&gt;0,'1A-B'!B9,"")</f>
        <v/>
      </c>
      <c r="C18" s="150"/>
      <c r="D18" s="150"/>
      <c r="E18" s="151"/>
      <c r="F18" s="152" t="str">
        <f>IF('1A-B'!G9&lt;&gt;0,'1A-B'!G9,"")</f>
        <v/>
      </c>
      <c r="G18" s="153"/>
      <c r="H18" s="159" t="str">
        <f>IF('1A-B'!C9&lt;&gt;0,'1A-B'!C9,"")</f>
        <v/>
      </c>
      <c r="I18" s="160"/>
      <c r="J18" s="152" t="str">
        <f>IF('1A-B'!D9&lt;&gt;0,'1A-B'!D9,"")</f>
        <v/>
      </c>
      <c r="K18" s="155"/>
    </row>
    <row r="19" spans="1:11">
      <c r="A19" s="78">
        <f>IF('1A-B'!A10&lt;&gt;0,'1A-B'!A10,"")</f>
        <v>8</v>
      </c>
      <c r="B19" s="149" t="str">
        <f>IF('1A-B'!B10&lt;&gt;0,'1A-B'!B10,"")</f>
        <v/>
      </c>
      <c r="C19" s="150"/>
      <c r="D19" s="150"/>
      <c r="E19" s="151"/>
      <c r="F19" s="152" t="str">
        <f>IF('1A-B'!G10&lt;&gt;0,'1A-B'!G10,"")</f>
        <v/>
      </c>
      <c r="G19" s="153"/>
      <c r="H19" s="159" t="str">
        <f>IF('1A-B'!C10&lt;&gt;0,'1A-B'!C10,"")</f>
        <v/>
      </c>
      <c r="I19" s="160"/>
      <c r="J19" s="152" t="str">
        <f>IF('1A-B'!D10&lt;&gt;0,'1A-B'!D10,"")</f>
        <v/>
      </c>
      <c r="K19" s="155"/>
    </row>
    <row r="20" spans="1:11">
      <c r="A20" s="78">
        <f>IF('1A-B'!A11&lt;&gt;0,'1A-B'!A11,"")</f>
        <v>9</v>
      </c>
      <c r="B20" s="149" t="str">
        <f>IF('1A-B'!B11&lt;&gt;0,'1A-B'!B11,"")</f>
        <v/>
      </c>
      <c r="C20" s="150"/>
      <c r="D20" s="150"/>
      <c r="E20" s="151"/>
      <c r="F20" s="152" t="str">
        <f>IF('1A-B'!G11&lt;&gt;0,'1A-B'!G11,"")</f>
        <v/>
      </c>
      <c r="G20" s="153"/>
      <c r="H20" s="159" t="str">
        <f>IF('1A-B'!C11&lt;&gt;0,'1A-B'!C11,"")</f>
        <v/>
      </c>
      <c r="I20" s="160"/>
      <c r="J20" s="152" t="str">
        <f>IF('1A-B'!D11&lt;&gt;0,'1A-B'!D11,"")</f>
        <v/>
      </c>
      <c r="K20" s="155"/>
    </row>
    <row r="21" spans="1:11">
      <c r="A21" s="78">
        <f>IF('1A-B'!A12&lt;&gt;0,'1A-B'!A12,"")</f>
        <v>10</v>
      </c>
      <c r="B21" s="149" t="str">
        <f>IF('1A-B'!B12&lt;&gt;0,'1A-B'!B12,"")</f>
        <v/>
      </c>
      <c r="C21" s="150"/>
      <c r="D21" s="150"/>
      <c r="E21" s="151"/>
      <c r="F21" s="152" t="str">
        <f>IF('1A-B'!G12&lt;&gt;0,'1A-B'!G12,"")</f>
        <v/>
      </c>
      <c r="G21" s="153"/>
      <c r="H21" s="159" t="str">
        <f>IF('1A-B'!C12&lt;&gt;0,'1A-B'!C12,"")</f>
        <v/>
      </c>
      <c r="I21" s="160"/>
      <c r="J21" s="152" t="str">
        <f>IF('1A-B'!D12&lt;&gt;0,'1A-B'!D12,"")</f>
        <v/>
      </c>
      <c r="K21" s="155"/>
    </row>
    <row r="22" spans="1:11">
      <c r="A22" s="78">
        <f>IF('1A-B'!A13&lt;&gt;0,'1A-B'!A13,"")</f>
        <v>11</v>
      </c>
      <c r="B22" s="149" t="str">
        <f>IF('1A-B'!B13&lt;&gt;0,'1A-B'!B13,"")</f>
        <v/>
      </c>
      <c r="C22" s="150"/>
      <c r="D22" s="150"/>
      <c r="E22" s="151"/>
      <c r="F22" s="152" t="str">
        <f>IF('1A-B'!G13&lt;&gt;0,'1A-B'!G13,"")</f>
        <v/>
      </c>
      <c r="G22" s="153"/>
      <c r="H22" s="159" t="str">
        <f>IF('1A-B'!C13&lt;&gt;0,'1A-B'!C13,"")</f>
        <v/>
      </c>
      <c r="I22" s="160"/>
      <c r="J22" s="152" t="str">
        <f>IF('1A-B'!D13&lt;&gt;0,'1A-B'!D13,"")</f>
        <v/>
      </c>
      <c r="K22" s="155"/>
    </row>
    <row r="23" spans="1:11">
      <c r="A23" s="78">
        <f>IF('1A-B'!A14&lt;&gt;0,'1A-B'!A14,"")</f>
        <v>12</v>
      </c>
      <c r="B23" s="149" t="str">
        <f>IF('1A-B'!B14&lt;&gt;0,'1A-B'!B14,"")</f>
        <v/>
      </c>
      <c r="C23" s="150"/>
      <c r="D23" s="150"/>
      <c r="E23" s="151"/>
      <c r="F23" s="152" t="str">
        <f>IF('1A-B'!G14&lt;&gt;0,'1A-B'!G14,"")</f>
        <v/>
      </c>
      <c r="G23" s="153"/>
      <c r="H23" s="159" t="str">
        <f>IF('1A-B'!C14&lt;&gt;0,'1A-B'!C14,"")</f>
        <v/>
      </c>
      <c r="I23" s="160"/>
      <c r="J23" s="152" t="str">
        <f>IF('1A-B'!D14&lt;&gt;0,'1A-B'!D14,"")</f>
        <v/>
      </c>
      <c r="K23" s="155"/>
    </row>
    <row r="24" spans="1:11">
      <c r="A24" s="78">
        <f>IF('1A-B'!A15&lt;&gt;0,'1A-B'!A15,"")</f>
        <v>13</v>
      </c>
      <c r="B24" s="149" t="str">
        <f>IF('1A-B'!B15&lt;&gt;0,'1A-B'!B15,"")</f>
        <v/>
      </c>
      <c r="C24" s="150"/>
      <c r="D24" s="150"/>
      <c r="E24" s="151"/>
      <c r="F24" s="152" t="str">
        <f>IF('1A-B'!G15&lt;&gt;0,'1A-B'!G15,"")</f>
        <v/>
      </c>
      <c r="G24" s="153"/>
      <c r="H24" s="159" t="str">
        <f>IF('1A-B'!C15&lt;&gt;0,'1A-B'!C15,"")</f>
        <v/>
      </c>
      <c r="I24" s="160"/>
      <c r="J24" s="152" t="str">
        <f>IF('1A-B'!D15&lt;&gt;0,'1A-B'!D15,"")</f>
        <v/>
      </c>
      <c r="K24" s="155"/>
    </row>
    <row r="25" spans="1:11">
      <c r="A25" s="78">
        <f>IF('1A-B'!A16&lt;&gt;0,'1A-B'!A16,"")</f>
        <v>14</v>
      </c>
      <c r="B25" s="149" t="str">
        <f>IF('1A-B'!B16&lt;&gt;0,'1A-B'!B16,"")</f>
        <v/>
      </c>
      <c r="C25" s="150"/>
      <c r="D25" s="150"/>
      <c r="E25" s="151"/>
      <c r="F25" s="152" t="str">
        <f>IF('1A-B'!G16&lt;&gt;0,'1A-B'!G16,"")</f>
        <v/>
      </c>
      <c r="G25" s="153"/>
      <c r="H25" s="159" t="str">
        <f>IF('1A-B'!C16&lt;&gt;0,'1A-B'!C16,"")</f>
        <v/>
      </c>
      <c r="I25" s="160"/>
      <c r="J25" s="152" t="str">
        <f>IF('1A-B'!D16&lt;&gt;0,'1A-B'!D16,"")</f>
        <v/>
      </c>
      <c r="K25" s="155"/>
    </row>
    <row r="26" spans="1:11">
      <c r="A26" s="78">
        <f>IF('1A-B'!A17&lt;&gt;0,'1A-B'!A17,"")</f>
        <v>15</v>
      </c>
      <c r="B26" s="149" t="str">
        <f>IF('1A-B'!B17&lt;&gt;0,'1A-B'!B17,"")</f>
        <v/>
      </c>
      <c r="C26" s="150"/>
      <c r="D26" s="150"/>
      <c r="E26" s="151"/>
      <c r="F26" s="152" t="str">
        <f>IF('1A-B'!G17&lt;&gt;0,'1A-B'!G17,"")</f>
        <v/>
      </c>
      <c r="G26" s="153"/>
      <c r="H26" s="159" t="str">
        <f>IF('1A-B'!C17&lt;&gt;0,'1A-B'!C17,"")</f>
        <v/>
      </c>
      <c r="I26" s="160"/>
      <c r="J26" s="152" t="str">
        <f>IF('1A-B'!D17&lt;&gt;0,'1A-B'!D17,"")</f>
        <v/>
      </c>
      <c r="K26" s="155"/>
    </row>
    <row r="27" spans="1:11">
      <c r="A27" s="78">
        <f>IF('1A-B'!A18&lt;&gt;0,'1A-B'!A18,"")</f>
        <v>16</v>
      </c>
      <c r="B27" s="149" t="str">
        <f>IF('1A-B'!B18&lt;&gt;0,'1A-B'!B18,"")</f>
        <v/>
      </c>
      <c r="C27" s="150"/>
      <c r="D27" s="150"/>
      <c r="E27" s="151"/>
      <c r="F27" s="152" t="str">
        <f>IF('1A-B'!G18&lt;&gt;0,'1A-B'!G18,"")</f>
        <v/>
      </c>
      <c r="G27" s="153"/>
      <c r="H27" s="159" t="str">
        <f>IF('1A-B'!C18&lt;&gt;0,'1A-B'!C18,"")</f>
        <v/>
      </c>
      <c r="I27" s="160"/>
      <c r="J27" s="152" t="str">
        <f>IF('1A-B'!D18&lt;&gt;0,'1A-B'!D18,"")</f>
        <v/>
      </c>
      <c r="K27" s="155"/>
    </row>
    <row r="28" spans="1:11">
      <c r="A28" s="78">
        <f>IF('1A-B'!A19&lt;&gt;0,'1A-B'!A19,"")</f>
        <v>17</v>
      </c>
      <c r="B28" s="149" t="str">
        <f>IF('1A-B'!B19&lt;&gt;0,'1A-B'!B19,"")</f>
        <v/>
      </c>
      <c r="C28" s="150"/>
      <c r="D28" s="150"/>
      <c r="E28" s="151"/>
      <c r="F28" s="152" t="str">
        <f>IF('1A-B'!G19&lt;&gt;0,'1A-B'!G19,"")</f>
        <v/>
      </c>
      <c r="G28" s="153"/>
      <c r="H28" s="159" t="str">
        <f>IF('1A-B'!C19&lt;&gt;0,'1A-B'!C19,"")</f>
        <v/>
      </c>
      <c r="I28" s="160"/>
      <c r="J28" s="152" t="str">
        <f>IF('1A-B'!D19&lt;&gt;0,'1A-B'!D19,"")</f>
        <v/>
      </c>
      <c r="K28" s="155"/>
    </row>
    <row r="29" spans="1:11">
      <c r="A29" s="78">
        <f>IF('1A-B'!A20&lt;&gt;0,'1A-B'!A20,"")</f>
        <v>18</v>
      </c>
      <c r="B29" s="149" t="str">
        <f>IF('1A-B'!B20&lt;&gt;0,'1A-B'!B20,"")</f>
        <v/>
      </c>
      <c r="C29" s="150"/>
      <c r="D29" s="150"/>
      <c r="E29" s="151"/>
      <c r="F29" s="152" t="str">
        <f>IF('1A-B'!G20&lt;&gt;0,'1A-B'!G20,"")</f>
        <v/>
      </c>
      <c r="G29" s="153"/>
      <c r="H29" s="159" t="str">
        <f>IF('1A-B'!C20&lt;&gt;0,'1A-B'!C20,"")</f>
        <v/>
      </c>
      <c r="I29" s="160"/>
      <c r="J29" s="152" t="str">
        <f>IF('1A-B'!D20&lt;&gt;0,'1A-B'!D20,"")</f>
        <v/>
      </c>
      <c r="K29" s="155"/>
    </row>
    <row r="30" spans="1:11">
      <c r="A30" s="78">
        <f>IF('1A-B'!A21&lt;&gt;0,'1A-B'!A21,"")</f>
        <v>19</v>
      </c>
      <c r="B30" s="149" t="str">
        <f>IF('1A-B'!B21&lt;&gt;0,'1A-B'!B21,"")</f>
        <v/>
      </c>
      <c r="C30" s="150"/>
      <c r="D30" s="150"/>
      <c r="E30" s="151"/>
      <c r="F30" s="152" t="str">
        <f>IF('1A-B'!G21&lt;&gt;0,'1A-B'!G21,"")</f>
        <v/>
      </c>
      <c r="G30" s="153"/>
      <c r="H30" s="159" t="str">
        <f>IF('1A-B'!C21&lt;&gt;0,'1A-B'!C21,"")</f>
        <v/>
      </c>
      <c r="I30" s="160"/>
      <c r="J30" s="152" t="str">
        <f>IF('1A-B'!D21&lt;&gt;0,'1A-B'!D21,"")</f>
        <v/>
      </c>
      <c r="K30" s="155"/>
    </row>
    <row r="31" spans="1:11">
      <c r="A31" s="78">
        <f>IF('1A-B'!A22&lt;&gt;0,'1A-B'!A22,"")</f>
        <v>20</v>
      </c>
      <c r="B31" s="149" t="str">
        <f>IF('1A-B'!B22&lt;&gt;0,'1A-B'!B22,"")</f>
        <v/>
      </c>
      <c r="C31" s="150"/>
      <c r="D31" s="150"/>
      <c r="E31" s="151"/>
      <c r="F31" s="152" t="str">
        <f>IF('1A-B'!G22&lt;&gt;0,'1A-B'!G22,"")</f>
        <v/>
      </c>
      <c r="G31" s="153"/>
      <c r="H31" s="159" t="str">
        <f>IF('1A-B'!C22&lt;&gt;0,'1A-B'!C22,"")</f>
        <v/>
      </c>
      <c r="I31" s="160"/>
      <c r="J31" s="152" t="str">
        <f>IF('1A-B'!D22&lt;&gt;0,'1A-B'!D22,"")</f>
        <v/>
      </c>
      <c r="K31" s="155"/>
    </row>
    <row r="32" spans="1:11">
      <c r="A32" s="78">
        <f>IF('1A-B'!A23&lt;&gt;0,'1A-B'!A23,"")</f>
        <v>21</v>
      </c>
      <c r="B32" s="149" t="str">
        <f>IF('1A-B'!B23&lt;&gt;0,'1A-B'!B23,"")</f>
        <v/>
      </c>
      <c r="C32" s="150"/>
      <c r="D32" s="150"/>
      <c r="E32" s="151"/>
      <c r="F32" s="152" t="str">
        <f>IF('1A-B'!G23&lt;&gt;0,'1A-B'!G23,"")</f>
        <v/>
      </c>
      <c r="G32" s="153"/>
      <c r="H32" s="159" t="str">
        <f>IF('1A-B'!C23&lt;&gt;0,'1A-B'!C23,"")</f>
        <v/>
      </c>
      <c r="I32" s="160"/>
      <c r="J32" s="152" t="str">
        <f>IF('1A-B'!D23&lt;&gt;0,'1A-B'!D23,"")</f>
        <v/>
      </c>
      <c r="K32" s="155"/>
    </row>
    <row r="33" spans="1:11">
      <c r="A33" s="78">
        <f>IF('1A-B'!A24&lt;&gt;0,'1A-B'!A24,"")</f>
        <v>22</v>
      </c>
      <c r="B33" s="149" t="str">
        <f>IF('1A-B'!B24&lt;&gt;0,'1A-B'!B24,"")</f>
        <v/>
      </c>
      <c r="C33" s="150"/>
      <c r="D33" s="150"/>
      <c r="E33" s="151"/>
      <c r="F33" s="152" t="str">
        <f>IF('1A-B'!G24&lt;&gt;0,'1A-B'!G24,"")</f>
        <v/>
      </c>
      <c r="G33" s="153"/>
      <c r="H33" s="159" t="str">
        <f>IF('1A-B'!C24&lt;&gt;0,'1A-B'!C24,"")</f>
        <v/>
      </c>
      <c r="I33" s="160"/>
      <c r="J33" s="152" t="str">
        <f>IF('1A-B'!D24&lt;&gt;0,'1A-B'!D24,"")</f>
        <v/>
      </c>
      <c r="K33" s="155"/>
    </row>
    <row r="34" spans="1:11">
      <c r="A34" s="78">
        <f>IF('1A-B'!A25&lt;&gt;0,'1A-B'!A25,"")</f>
        <v>23</v>
      </c>
      <c r="B34" s="149" t="str">
        <f>IF('1A-B'!B25&lt;&gt;0,'1A-B'!B25,"")</f>
        <v/>
      </c>
      <c r="C34" s="150"/>
      <c r="D34" s="150"/>
      <c r="E34" s="151"/>
      <c r="F34" s="152" t="str">
        <f>IF('1A-B'!G25&lt;&gt;0,'1A-B'!G25,"")</f>
        <v/>
      </c>
      <c r="G34" s="153"/>
      <c r="H34" s="159" t="str">
        <f>IF('1A-B'!C25&lt;&gt;0,'1A-B'!C25,"")</f>
        <v/>
      </c>
      <c r="I34" s="160"/>
      <c r="J34" s="152" t="str">
        <f>IF('1A-B'!D25&lt;&gt;0,'1A-B'!D25,"")</f>
        <v/>
      </c>
      <c r="K34" s="155"/>
    </row>
    <row r="35" spans="1:11">
      <c r="A35" s="78">
        <f>IF('1A-B'!A26&lt;&gt;0,'1A-B'!A26,"")</f>
        <v>24</v>
      </c>
      <c r="B35" s="149" t="str">
        <f>IF('1A-B'!B26&lt;&gt;0,'1A-B'!B26,"")</f>
        <v/>
      </c>
      <c r="C35" s="150"/>
      <c r="D35" s="150"/>
      <c r="E35" s="151"/>
      <c r="F35" s="152" t="str">
        <f>IF('1A-B'!G26&lt;&gt;0,'1A-B'!G26,"")</f>
        <v/>
      </c>
      <c r="G35" s="153"/>
      <c r="H35" s="159" t="str">
        <f>IF('1A-B'!C26&lt;&gt;0,'1A-B'!C26,"")</f>
        <v/>
      </c>
      <c r="I35" s="160"/>
      <c r="J35" s="152" t="str">
        <f>IF('1A-B'!D26&lt;&gt;0,'1A-B'!D26,"")</f>
        <v/>
      </c>
      <c r="K35" s="155"/>
    </row>
    <row r="36" spans="1:11" ht="15.75" thickBot="1">
      <c r="A36" s="80">
        <f>IF('1A-B'!A27&lt;&gt;0,'1A-B'!A27,"")</f>
        <v>25</v>
      </c>
      <c r="B36" s="142" t="str">
        <f>IF('1A-B'!B27&lt;&gt;0,'1A-B'!B27,"")</f>
        <v/>
      </c>
      <c r="C36" s="143"/>
      <c r="D36" s="143"/>
      <c r="E36" s="144"/>
      <c r="F36" s="145" t="str">
        <f>IF('1A-B'!G27&lt;&gt;0,'1A-B'!G27,"")</f>
        <v/>
      </c>
      <c r="G36" s="146"/>
      <c r="H36" s="157" t="str">
        <f>IF('1A-B'!C27&lt;&gt;0,'1A-B'!C27,"")</f>
        <v/>
      </c>
      <c r="I36" s="158"/>
      <c r="J36" s="145" t="str">
        <f>IF('1A-B'!D27&lt;&gt;0,'1A-B'!D27,"")</f>
        <v/>
      </c>
      <c r="K36" s="148"/>
    </row>
    <row r="38" spans="1:11" ht="15.75">
      <c r="A38" s="119" t="s">
        <v>81</v>
      </c>
      <c r="B38" s="119"/>
      <c r="C38" s="119"/>
      <c r="D38" s="119"/>
      <c r="E38" s="120">
        <f>'1A-B'!U4</f>
        <v>0</v>
      </c>
      <c r="F38" s="120"/>
    </row>
    <row r="39" spans="1:11">
      <c r="A39" s="66" t="s">
        <v>95</v>
      </c>
      <c r="E39" s="122">
        <f ca="1">'1A-B'!Q3</f>
        <v>0</v>
      </c>
      <c r="F39" s="122"/>
    </row>
    <row r="40" spans="1:11">
      <c r="A40" s="66" t="s">
        <v>96</v>
      </c>
      <c r="E40" s="122">
        <f ca="1">'1A-B'!R3</f>
        <v>0</v>
      </c>
      <c r="F40" s="122"/>
    </row>
    <row r="48" spans="1:11">
      <c r="A48" s="66" t="s">
        <v>84</v>
      </c>
      <c r="C48" s="121">
        <f ca="1">TODAY()</f>
        <v>44871</v>
      </c>
      <c r="D48" s="122"/>
      <c r="E48" s="122"/>
    </row>
  </sheetData>
  <sheetProtection algorithmName="SHA-512" hashValue="gkrMdOibNosJjG0TTGRk3IoYhTa77gKsHKISFxpNjtoIRFZVHg62IitZHuKBi7BlEwmzUDJcB4+gpmLTOc3XxA==" saltValue="Z1j3wPoR+SVDyL8FDtgg5g==" spinCount="100000" sheet="1" objects="1" scenarios="1" selectLockedCells="1"/>
  <mergeCells count="118">
    <mergeCell ref="B7:K7"/>
    <mergeCell ref="A9:K10"/>
    <mergeCell ref="B11:E11"/>
    <mergeCell ref="F11:G11"/>
    <mergeCell ref="H11:I11"/>
    <mergeCell ref="J11:K11"/>
    <mergeCell ref="B1:K1"/>
    <mergeCell ref="B2:K2"/>
    <mergeCell ref="B3:K3"/>
    <mergeCell ref="B4:K4"/>
    <mergeCell ref="B5:K5"/>
    <mergeCell ref="A6:C6"/>
    <mergeCell ref="D6:K6"/>
    <mergeCell ref="B14:E14"/>
    <mergeCell ref="F14:G14"/>
    <mergeCell ref="H14:I14"/>
    <mergeCell ref="J14:K14"/>
    <mergeCell ref="B15:E15"/>
    <mergeCell ref="F15:G15"/>
    <mergeCell ref="H15:I15"/>
    <mergeCell ref="J15:K15"/>
    <mergeCell ref="B12:E12"/>
    <mergeCell ref="F12:G12"/>
    <mergeCell ref="H12:I12"/>
    <mergeCell ref="J12:K12"/>
    <mergeCell ref="B13:E13"/>
    <mergeCell ref="F13:G13"/>
    <mergeCell ref="H13:I13"/>
    <mergeCell ref="J13:K13"/>
    <mergeCell ref="B18:E18"/>
    <mergeCell ref="F18:G18"/>
    <mergeCell ref="H18:I18"/>
    <mergeCell ref="J18:K18"/>
    <mergeCell ref="B19:E19"/>
    <mergeCell ref="F19:G19"/>
    <mergeCell ref="H19:I19"/>
    <mergeCell ref="J19:K19"/>
    <mergeCell ref="B16:E16"/>
    <mergeCell ref="F16:G16"/>
    <mergeCell ref="H16:I16"/>
    <mergeCell ref="J16:K16"/>
    <mergeCell ref="B17:E17"/>
    <mergeCell ref="F17:G17"/>
    <mergeCell ref="H17:I17"/>
    <mergeCell ref="J17:K17"/>
    <mergeCell ref="B22:E22"/>
    <mergeCell ref="F22:G22"/>
    <mergeCell ref="H22:I22"/>
    <mergeCell ref="J22:K22"/>
    <mergeCell ref="B23:E23"/>
    <mergeCell ref="F23:G23"/>
    <mergeCell ref="H23:I23"/>
    <mergeCell ref="J23:K23"/>
    <mergeCell ref="B20:E20"/>
    <mergeCell ref="F20:G20"/>
    <mergeCell ref="H20:I20"/>
    <mergeCell ref="J20:K20"/>
    <mergeCell ref="B21:E21"/>
    <mergeCell ref="F21:G21"/>
    <mergeCell ref="H21:I21"/>
    <mergeCell ref="J21:K21"/>
    <mergeCell ref="B26:E26"/>
    <mergeCell ref="F26:G26"/>
    <mergeCell ref="H26:I26"/>
    <mergeCell ref="J26:K26"/>
    <mergeCell ref="B27:E27"/>
    <mergeCell ref="F27:G27"/>
    <mergeCell ref="H27:I27"/>
    <mergeCell ref="J27:K27"/>
    <mergeCell ref="B24:E24"/>
    <mergeCell ref="F24:G24"/>
    <mergeCell ref="H24:I24"/>
    <mergeCell ref="J24:K24"/>
    <mergeCell ref="B25:E25"/>
    <mergeCell ref="F25:G25"/>
    <mergeCell ref="H25:I25"/>
    <mergeCell ref="J25:K25"/>
    <mergeCell ref="B30:E30"/>
    <mergeCell ref="F30:G30"/>
    <mergeCell ref="H30:I30"/>
    <mergeCell ref="J30:K30"/>
    <mergeCell ref="B31:E31"/>
    <mergeCell ref="F31:G31"/>
    <mergeCell ref="H31:I31"/>
    <mergeCell ref="J31:K31"/>
    <mergeCell ref="B28:E28"/>
    <mergeCell ref="F28:G28"/>
    <mergeCell ref="H28:I28"/>
    <mergeCell ref="J28:K28"/>
    <mergeCell ref="B29:E29"/>
    <mergeCell ref="F29:G29"/>
    <mergeCell ref="H29:I29"/>
    <mergeCell ref="J29:K29"/>
    <mergeCell ref="B34:E34"/>
    <mergeCell ref="F34:G34"/>
    <mergeCell ref="H34:I34"/>
    <mergeCell ref="J34:K34"/>
    <mergeCell ref="B35:E35"/>
    <mergeCell ref="F35:G35"/>
    <mergeCell ref="H35:I35"/>
    <mergeCell ref="J35:K35"/>
    <mergeCell ref="B32:E32"/>
    <mergeCell ref="F32:G32"/>
    <mergeCell ref="H32:I32"/>
    <mergeCell ref="J32:K32"/>
    <mergeCell ref="B33:E33"/>
    <mergeCell ref="F33:G33"/>
    <mergeCell ref="H33:I33"/>
    <mergeCell ref="J33:K33"/>
    <mergeCell ref="E39:F39"/>
    <mergeCell ref="E40:F40"/>
    <mergeCell ref="C48:E48"/>
    <mergeCell ref="B36:E36"/>
    <mergeCell ref="F36:G36"/>
    <mergeCell ref="H36:I36"/>
    <mergeCell ref="J36:K36"/>
    <mergeCell ref="A38:D38"/>
    <mergeCell ref="E38:F38"/>
  </mergeCells>
  <conditionalFormatting sqref="A12:K36">
    <cfRule type="expression" dxfId="212" priority="1">
      <formula>IF($J12&lt;&gt;"",1,0)</formula>
    </cfRule>
  </conditionalFormatting>
  <conditionalFormatting sqref="B2:B5 D6">
    <cfRule type="expression" dxfId="211" priority="2">
      <formula>ROW()=CELL("LIN")</formula>
    </cfRule>
  </conditionalFormatting>
  <pageMargins left="0.39370078740157483" right="0.3543307086614173" top="1.1417322834645669" bottom="0.39370078740157483" header="0.31496062992125984" footer="0.31496062992125984"/>
  <pageSetup paperSize="9" scale="96" fitToHeight="0" orientation="portrait" horizontalDpi="300" verticalDpi="3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2C4CF-7307-4DBC-8762-60716A696F56}">
  <sheetPr codeName="Plan6">
    <pageSetUpPr fitToPage="1"/>
  </sheetPr>
  <dimension ref="A1:U27"/>
  <sheetViews>
    <sheetView showGridLines="0" showRowColHeaders="0" view="pageBreakPreview" zoomScale="60" zoomScaleNormal="60" zoomScalePageLayoutView="40" workbookViewId="0">
      <pane ySplit="1" topLeftCell="A2" activePane="bottomLeft" state="frozen"/>
      <selection pane="bottomLeft" activeCell="B3" sqref="B3"/>
    </sheetView>
  </sheetViews>
  <sheetFormatPr defaultColWidth="9.140625" defaultRowHeight="15"/>
  <cols>
    <col min="1" max="1" width="8.5703125" style="17" customWidth="1"/>
    <col min="2" max="2" width="42" style="17" customWidth="1"/>
    <col min="3" max="3" width="17" style="18" bestFit="1" customWidth="1"/>
    <col min="4" max="4" width="23.85546875" style="19" customWidth="1"/>
    <col min="5" max="5" width="28.5703125" style="17" customWidth="1"/>
    <col min="6" max="6" width="30.5703125" style="27" bestFit="1" customWidth="1"/>
    <col min="7" max="7" width="25.7109375" style="27" customWidth="1"/>
    <col min="8" max="8" width="21.140625" style="17" customWidth="1"/>
    <col min="9" max="9" width="17.5703125" style="17" customWidth="1"/>
    <col min="10" max="10" width="44.42578125" style="17" customWidth="1"/>
    <col min="11" max="11" width="9.7109375" style="17" customWidth="1"/>
    <col min="12" max="12" width="9.28515625" style="17" customWidth="1"/>
    <col min="13" max="13" width="9.140625" style="17"/>
    <col min="14" max="14" width="16.140625" style="17" customWidth="1"/>
    <col min="15" max="15" width="12.7109375" style="17" customWidth="1"/>
    <col min="16" max="16384" width="9.140625" style="17"/>
  </cols>
  <sheetData>
    <row r="1" spans="1:21" ht="75" customHeight="1"/>
    <row r="2" spans="1:21" ht="60">
      <c r="A2" s="20" t="s">
        <v>9</v>
      </c>
      <c r="B2" s="21" t="s">
        <v>10</v>
      </c>
      <c r="C2" s="22" t="s">
        <v>13</v>
      </c>
      <c r="D2" s="23" t="s">
        <v>16</v>
      </c>
      <c r="E2" s="22" t="s">
        <v>11</v>
      </c>
      <c r="F2" s="22" t="s">
        <v>12</v>
      </c>
      <c r="G2" s="22" t="s">
        <v>14</v>
      </c>
      <c r="H2" s="22" t="s">
        <v>15</v>
      </c>
      <c r="I2" s="22" t="s">
        <v>17</v>
      </c>
      <c r="J2" s="21" t="s">
        <v>18</v>
      </c>
      <c r="K2" s="26" t="s">
        <v>19</v>
      </c>
      <c r="L2" s="67"/>
      <c r="M2" s="68"/>
      <c r="N2" s="68"/>
      <c r="O2" s="68"/>
      <c r="P2" s="69" t="s">
        <v>0</v>
      </c>
      <c r="Q2" s="70" t="s">
        <v>97</v>
      </c>
      <c r="R2" s="70" t="s">
        <v>98</v>
      </c>
      <c r="S2" s="71" t="s">
        <v>3</v>
      </c>
      <c r="T2" s="70" t="s">
        <v>4</v>
      </c>
      <c r="U2" s="68"/>
    </row>
    <row r="3" spans="1:21">
      <c r="A3" s="81">
        <v>1</v>
      </c>
      <c r="B3" s="44"/>
      <c r="C3" s="45"/>
      <c r="D3" s="47"/>
      <c r="E3" s="46">
        <v>0</v>
      </c>
      <c r="F3" s="51"/>
      <c r="G3" s="52"/>
      <c r="H3" s="52"/>
      <c r="I3" s="47"/>
      <c r="J3" s="44"/>
      <c r="K3" s="24">
        <f t="shared" ref="K3:K27" ca="1" si="0">QUOTIENT(IF(DATEDIF(C3,TODAY(),"y")&gt;90,0,DATEDIF(C3,TODAY(),"m")),12)</f>
        <v>0</v>
      </c>
      <c r="L3" s="68">
        <f t="shared" ref="L3:L27" ca="1" si="1">IF($K3=0,0,IF($K3&lt;($P$3),1,0))</f>
        <v>0</v>
      </c>
      <c r="M3" s="68">
        <f t="shared" ref="M3:M27" ca="1" si="2">IF($K3&gt;($P$3),1,0)</f>
        <v>0</v>
      </c>
      <c r="N3" s="68" t="b">
        <f ca="1">IF(IF(DATEDIF(C3,TODAY(),"y")&gt;90,0,DATEDIF(C3,TODAY(),"m"))&gt;0,CONCATENATE(QUOTIENT(IF(DATEDIF(C3,TODAY(),"y")&gt;90,0,DATEDIF(C3,TODAY(),"m")),12)," anos e ",MOD(IF(DATEDIF(C3,TODAY(),"y")&gt;90,0,DATEDIF(C3,TODAY(),"m")),12)," mês"))</f>
        <v>0</v>
      </c>
      <c r="O3" s="68" t="str">
        <f ca="1">IF(C3="","",DATEDIF($C3,TODAY(),"m"))</f>
        <v/>
      </c>
      <c r="P3" s="68">
        <v>6</v>
      </c>
      <c r="Q3" s="68">
        <f ca="1">SUM(L3:L27)</f>
        <v>0</v>
      </c>
      <c r="R3" s="68">
        <f ca="1">SUM(M3:M27)</f>
        <v>0</v>
      </c>
      <c r="S3" s="71" t="s">
        <v>7</v>
      </c>
      <c r="T3" s="68">
        <f>($P$3*12)</f>
        <v>72</v>
      </c>
      <c r="U3" s="68"/>
    </row>
    <row r="4" spans="1:21" ht="15.75">
      <c r="A4" s="81">
        <v>2</v>
      </c>
      <c r="B4" s="44"/>
      <c r="C4" s="45"/>
      <c r="D4" s="47"/>
      <c r="E4" s="46">
        <v>0</v>
      </c>
      <c r="F4" s="51"/>
      <c r="G4" s="52"/>
      <c r="H4" s="52"/>
      <c r="I4" s="47"/>
      <c r="J4" s="44"/>
      <c r="K4" s="24">
        <f t="shared" ca="1" si="0"/>
        <v>0</v>
      </c>
      <c r="L4" s="68">
        <f t="shared" ca="1" si="1"/>
        <v>0</v>
      </c>
      <c r="M4" s="68">
        <f t="shared" ca="1" si="2"/>
        <v>0</v>
      </c>
      <c r="N4" s="68" t="b">
        <f t="shared" ref="N4:N27" ca="1" si="3">IF(IF(DATEDIF(C4,TODAY(),"y")&gt;90,0,DATEDIF(C4,TODAY(),"m"))&gt;0,CONCATENATE(QUOTIENT(IF(DATEDIF(C4,TODAY(),"y")&gt;90,0,DATEDIF(C4,TODAY(),"m")),12)," anos e ",MOD(IF(DATEDIF(C4,TODAY(),"y")&gt;90,0,DATEDIF(C4,TODAY(),"m")),12)," mês"))</f>
        <v>0</v>
      </c>
      <c r="O4" s="68" t="str">
        <f ca="1">IF(C4="","",DATEDIF($C4,TODAY(),"m"))</f>
        <v/>
      </c>
      <c r="P4" s="123" t="s">
        <v>6</v>
      </c>
      <c r="Q4" s="123"/>
      <c r="R4" s="123"/>
      <c r="S4" s="123"/>
      <c r="T4" s="123"/>
      <c r="U4" s="68">
        <f>COUNTA(B3:B27)-COUNTA(D3:D27)</f>
        <v>0</v>
      </c>
    </row>
    <row r="5" spans="1:21">
      <c r="A5" s="81">
        <v>3</v>
      </c>
      <c r="B5" s="44"/>
      <c r="C5" s="45"/>
      <c r="D5" s="47"/>
      <c r="E5" s="46">
        <v>0</v>
      </c>
      <c r="F5" s="51"/>
      <c r="G5" s="52"/>
      <c r="H5" s="52"/>
      <c r="I5" s="47"/>
      <c r="J5" s="44"/>
      <c r="K5" s="24">
        <f t="shared" ca="1" si="0"/>
        <v>0</v>
      </c>
      <c r="L5" s="68">
        <f t="shared" ca="1" si="1"/>
        <v>0</v>
      </c>
      <c r="M5" s="68">
        <f t="shared" ca="1" si="2"/>
        <v>0</v>
      </c>
      <c r="N5" s="68" t="b">
        <f t="shared" ca="1" si="3"/>
        <v>0</v>
      </c>
      <c r="O5" s="68" t="str">
        <f ca="1">IF(C5="","",DATEDIF($C5,TODAY(),"m"))</f>
        <v/>
      </c>
      <c r="P5" s="68"/>
      <c r="Q5" s="68"/>
      <c r="R5" s="68"/>
      <c r="S5" s="68"/>
      <c r="T5" s="68"/>
      <c r="U5" s="68"/>
    </row>
    <row r="6" spans="1:21">
      <c r="A6" s="81">
        <v>4</v>
      </c>
      <c r="B6" s="44"/>
      <c r="C6" s="45"/>
      <c r="D6" s="47"/>
      <c r="E6" s="46">
        <v>0</v>
      </c>
      <c r="F6" s="51"/>
      <c r="G6" s="52"/>
      <c r="H6" s="52"/>
      <c r="I6" s="47"/>
      <c r="J6" s="44"/>
      <c r="K6" s="24">
        <f t="shared" ca="1" si="0"/>
        <v>0</v>
      </c>
      <c r="L6" s="68">
        <f t="shared" ca="1" si="1"/>
        <v>0</v>
      </c>
      <c r="M6" s="68">
        <f t="shared" ca="1" si="2"/>
        <v>0</v>
      </c>
      <c r="N6" s="68" t="b">
        <f t="shared" ca="1" si="3"/>
        <v>0</v>
      </c>
      <c r="O6" s="68" t="str">
        <f t="shared" ref="O6:O26" ca="1" si="4">IF(C5="","",DATEDIF($C5,TODAY(),"m"))</f>
        <v/>
      </c>
      <c r="P6" s="68"/>
      <c r="Q6" s="68"/>
      <c r="R6" s="68"/>
      <c r="S6" s="68"/>
      <c r="T6" s="68"/>
      <c r="U6" s="68"/>
    </row>
    <row r="7" spans="1:21">
      <c r="A7" s="81">
        <v>5</v>
      </c>
      <c r="B7" s="44"/>
      <c r="C7" s="45"/>
      <c r="D7" s="47"/>
      <c r="E7" s="46">
        <v>0</v>
      </c>
      <c r="F7" s="51"/>
      <c r="G7" s="52"/>
      <c r="H7" s="52"/>
      <c r="I7" s="47"/>
      <c r="J7" s="44"/>
      <c r="K7" s="24">
        <f t="shared" ca="1" si="0"/>
        <v>0</v>
      </c>
      <c r="L7" s="68">
        <f t="shared" ca="1" si="1"/>
        <v>0</v>
      </c>
      <c r="M7" s="68">
        <f t="shared" ca="1" si="2"/>
        <v>0</v>
      </c>
      <c r="N7" s="68" t="b">
        <f t="shared" ca="1" si="3"/>
        <v>0</v>
      </c>
      <c r="O7" s="68" t="str">
        <f t="shared" ca="1" si="4"/>
        <v/>
      </c>
      <c r="P7" s="68"/>
      <c r="Q7" s="68"/>
      <c r="R7" s="68"/>
      <c r="S7" s="68"/>
      <c r="T7" s="68"/>
      <c r="U7" s="68"/>
    </row>
    <row r="8" spans="1:21">
      <c r="A8" s="81">
        <v>6</v>
      </c>
      <c r="B8" s="44"/>
      <c r="C8" s="45"/>
      <c r="D8" s="47"/>
      <c r="E8" s="46">
        <v>0</v>
      </c>
      <c r="F8" s="51"/>
      <c r="G8" s="52"/>
      <c r="H8" s="52"/>
      <c r="I8" s="47"/>
      <c r="J8" s="44"/>
      <c r="K8" s="24">
        <f t="shared" ca="1" si="0"/>
        <v>0</v>
      </c>
      <c r="L8" s="68">
        <f t="shared" ca="1" si="1"/>
        <v>0</v>
      </c>
      <c r="M8" s="68">
        <f t="shared" ca="1" si="2"/>
        <v>0</v>
      </c>
      <c r="N8" s="68" t="b">
        <f t="shared" ca="1" si="3"/>
        <v>0</v>
      </c>
      <c r="O8" s="68" t="str">
        <f t="shared" ca="1" si="4"/>
        <v/>
      </c>
      <c r="P8" s="68"/>
      <c r="Q8" s="68"/>
      <c r="R8" s="68"/>
      <c r="S8" s="68"/>
      <c r="T8" s="68"/>
      <c r="U8" s="68"/>
    </row>
    <row r="9" spans="1:21">
      <c r="A9" s="81">
        <v>7</v>
      </c>
      <c r="B9" s="44"/>
      <c r="C9" s="45"/>
      <c r="D9" s="47"/>
      <c r="E9" s="46">
        <v>0</v>
      </c>
      <c r="F9" s="51"/>
      <c r="G9" s="52"/>
      <c r="H9" s="52"/>
      <c r="I9" s="47"/>
      <c r="J9" s="44"/>
      <c r="K9" s="24">
        <f t="shared" ca="1" si="0"/>
        <v>0</v>
      </c>
      <c r="L9" s="68">
        <f t="shared" ca="1" si="1"/>
        <v>0</v>
      </c>
      <c r="M9" s="68">
        <f t="shared" ca="1" si="2"/>
        <v>0</v>
      </c>
      <c r="N9" s="68" t="b">
        <f t="shared" ca="1" si="3"/>
        <v>0</v>
      </c>
      <c r="O9" s="68" t="str">
        <f t="shared" ca="1" si="4"/>
        <v/>
      </c>
      <c r="P9" s="68"/>
      <c r="Q9" s="68"/>
      <c r="R9" s="68"/>
      <c r="S9" s="68"/>
      <c r="T9" s="68"/>
      <c r="U9" s="68"/>
    </row>
    <row r="10" spans="1:21">
      <c r="A10" s="81">
        <v>8</v>
      </c>
      <c r="B10" s="44"/>
      <c r="C10" s="45"/>
      <c r="D10" s="47"/>
      <c r="E10" s="46">
        <v>0</v>
      </c>
      <c r="F10" s="51"/>
      <c r="G10" s="52"/>
      <c r="H10" s="52"/>
      <c r="I10" s="47"/>
      <c r="J10" s="44"/>
      <c r="K10" s="24">
        <f t="shared" ca="1" si="0"/>
        <v>0</v>
      </c>
      <c r="L10" s="68">
        <f t="shared" ca="1" si="1"/>
        <v>0</v>
      </c>
      <c r="M10" s="68">
        <f t="shared" ca="1" si="2"/>
        <v>0</v>
      </c>
      <c r="N10" s="68" t="b">
        <f t="shared" ca="1" si="3"/>
        <v>0</v>
      </c>
      <c r="O10" s="68" t="str">
        <f t="shared" ca="1" si="4"/>
        <v/>
      </c>
      <c r="P10" s="68"/>
      <c r="Q10" s="68"/>
      <c r="R10" s="68"/>
      <c r="S10" s="68"/>
      <c r="T10" s="68"/>
      <c r="U10" s="68"/>
    </row>
    <row r="11" spans="1:21">
      <c r="A11" s="81">
        <v>9</v>
      </c>
      <c r="B11" s="44"/>
      <c r="C11" s="45"/>
      <c r="D11" s="47"/>
      <c r="E11" s="46">
        <v>0</v>
      </c>
      <c r="F11" s="51"/>
      <c r="G11" s="52"/>
      <c r="H11" s="52"/>
      <c r="I11" s="47"/>
      <c r="J11" s="44"/>
      <c r="K11" s="24">
        <f t="shared" ca="1" si="0"/>
        <v>0</v>
      </c>
      <c r="L11" s="68">
        <f t="shared" ca="1" si="1"/>
        <v>0</v>
      </c>
      <c r="M11" s="68">
        <f t="shared" ca="1" si="2"/>
        <v>0</v>
      </c>
      <c r="N11" s="68" t="b">
        <f t="shared" ca="1" si="3"/>
        <v>0</v>
      </c>
      <c r="O11" s="68" t="str">
        <f t="shared" ca="1" si="4"/>
        <v/>
      </c>
      <c r="P11" s="68"/>
      <c r="Q11" s="68"/>
      <c r="R11" s="68"/>
      <c r="S11" s="68"/>
      <c r="T11" s="68"/>
      <c r="U11" s="68"/>
    </row>
    <row r="12" spans="1:21">
      <c r="A12" s="81">
        <v>10</v>
      </c>
      <c r="B12" s="44"/>
      <c r="C12" s="45"/>
      <c r="D12" s="47"/>
      <c r="E12" s="46">
        <v>0</v>
      </c>
      <c r="F12" s="51"/>
      <c r="G12" s="52"/>
      <c r="H12" s="52"/>
      <c r="I12" s="47"/>
      <c r="J12" s="44"/>
      <c r="K12" s="24">
        <f t="shared" ca="1" si="0"/>
        <v>0</v>
      </c>
      <c r="L12" s="68">
        <f t="shared" ca="1" si="1"/>
        <v>0</v>
      </c>
      <c r="M12" s="68">
        <f t="shared" ca="1" si="2"/>
        <v>0</v>
      </c>
      <c r="N12" s="68" t="b">
        <f t="shared" ca="1" si="3"/>
        <v>0</v>
      </c>
      <c r="O12" s="68" t="str">
        <f t="shared" ca="1" si="4"/>
        <v/>
      </c>
      <c r="P12" s="68"/>
      <c r="Q12" s="68"/>
      <c r="R12" s="68"/>
      <c r="S12" s="68"/>
      <c r="T12" s="68"/>
      <c r="U12" s="68"/>
    </row>
    <row r="13" spans="1:21">
      <c r="A13" s="81">
        <v>11</v>
      </c>
      <c r="B13" s="44"/>
      <c r="C13" s="45"/>
      <c r="D13" s="47"/>
      <c r="E13" s="46">
        <v>0</v>
      </c>
      <c r="F13" s="51"/>
      <c r="G13" s="52"/>
      <c r="H13" s="52"/>
      <c r="I13" s="47"/>
      <c r="J13" s="44"/>
      <c r="K13" s="24">
        <f t="shared" ca="1" si="0"/>
        <v>0</v>
      </c>
      <c r="L13" s="68">
        <f t="shared" ca="1" si="1"/>
        <v>0</v>
      </c>
      <c r="M13" s="68">
        <f t="shared" ca="1" si="2"/>
        <v>0</v>
      </c>
      <c r="N13" s="68" t="b">
        <f t="shared" ca="1" si="3"/>
        <v>0</v>
      </c>
      <c r="O13" s="68" t="str">
        <f t="shared" ca="1" si="4"/>
        <v/>
      </c>
      <c r="P13" s="68"/>
      <c r="Q13" s="68"/>
      <c r="R13" s="68"/>
      <c r="S13" s="68"/>
      <c r="T13" s="68"/>
      <c r="U13" s="68"/>
    </row>
    <row r="14" spans="1:21">
      <c r="A14" s="81">
        <v>12</v>
      </c>
      <c r="B14" s="44"/>
      <c r="C14" s="45"/>
      <c r="D14" s="47"/>
      <c r="E14" s="46">
        <v>0</v>
      </c>
      <c r="F14" s="51"/>
      <c r="G14" s="52"/>
      <c r="H14" s="52"/>
      <c r="I14" s="47"/>
      <c r="J14" s="44"/>
      <c r="K14" s="24">
        <f t="shared" ca="1" si="0"/>
        <v>0</v>
      </c>
      <c r="L14" s="68">
        <f t="shared" ca="1" si="1"/>
        <v>0</v>
      </c>
      <c r="M14" s="68">
        <f t="shared" ca="1" si="2"/>
        <v>0</v>
      </c>
      <c r="N14" s="68" t="b">
        <f t="shared" ca="1" si="3"/>
        <v>0</v>
      </c>
      <c r="O14" s="68" t="str">
        <f t="shared" ca="1" si="4"/>
        <v/>
      </c>
      <c r="P14" s="68"/>
      <c r="Q14" s="68"/>
      <c r="R14" s="68"/>
      <c r="S14" s="68"/>
      <c r="T14" s="68"/>
      <c r="U14" s="68"/>
    </row>
    <row r="15" spans="1:21">
      <c r="A15" s="81">
        <v>13</v>
      </c>
      <c r="B15" s="44"/>
      <c r="C15" s="45"/>
      <c r="D15" s="47"/>
      <c r="E15" s="46">
        <v>0</v>
      </c>
      <c r="F15" s="51"/>
      <c r="G15" s="52"/>
      <c r="H15" s="52"/>
      <c r="I15" s="47"/>
      <c r="J15" s="44"/>
      <c r="K15" s="24">
        <f t="shared" ca="1" si="0"/>
        <v>0</v>
      </c>
      <c r="L15" s="68">
        <f t="shared" ca="1" si="1"/>
        <v>0</v>
      </c>
      <c r="M15" s="68">
        <f t="shared" ca="1" si="2"/>
        <v>0</v>
      </c>
      <c r="N15" s="68" t="b">
        <f t="shared" ca="1" si="3"/>
        <v>0</v>
      </c>
      <c r="O15" s="68" t="str">
        <f t="shared" ca="1" si="4"/>
        <v/>
      </c>
      <c r="P15" s="68"/>
      <c r="Q15" s="68"/>
      <c r="R15" s="68"/>
      <c r="S15" s="68"/>
      <c r="T15" s="68"/>
      <c r="U15" s="68"/>
    </row>
    <row r="16" spans="1:21">
      <c r="A16" s="81">
        <v>14</v>
      </c>
      <c r="B16" s="44"/>
      <c r="C16" s="45"/>
      <c r="D16" s="47"/>
      <c r="E16" s="46">
        <v>0</v>
      </c>
      <c r="F16" s="51"/>
      <c r="G16" s="52"/>
      <c r="H16" s="52"/>
      <c r="I16" s="47"/>
      <c r="J16" s="44"/>
      <c r="K16" s="24">
        <f t="shared" ca="1" si="0"/>
        <v>0</v>
      </c>
      <c r="L16" s="68">
        <f t="shared" ca="1" si="1"/>
        <v>0</v>
      </c>
      <c r="M16" s="68">
        <f t="shared" ca="1" si="2"/>
        <v>0</v>
      </c>
      <c r="N16" s="68" t="b">
        <f t="shared" ca="1" si="3"/>
        <v>0</v>
      </c>
      <c r="O16" s="68" t="str">
        <f t="shared" ca="1" si="4"/>
        <v/>
      </c>
      <c r="P16" s="68"/>
      <c r="Q16" s="68"/>
      <c r="R16" s="68"/>
      <c r="S16" s="68"/>
      <c r="T16" s="68"/>
      <c r="U16" s="68"/>
    </row>
    <row r="17" spans="1:21">
      <c r="A17" s="81">
        <v>15</v>
      </c>
      <c r="B17" s="44"/>
      <c r="C17" s="45"/>
      <c r="D17" s="47"/>
      <c r="E17" s="46">
        <v>0</v>
      </c>
      <c r="F17" s="51"/>
      <c r="G17" s="52"/>
      <c r="H17" s="52"/>
      <c r="I17" s="53"/>
      <c r="J17" s="44"/>
      <c r="K17" s="24">
        <f t="shared" ca="1" si="0"/>
        <v>0</v>
      </c>
      <c r="L17" s="68">
        <f t="shared" ca="1" si="1"/>
        <v>0</v>
      </c>
      <c r="M17" s="68">
        <f t="shared" ca="1" si="2"/>
        <v>0</v>
      </c>
      <c r="N17" s="68" t="b">
        <f t="shared" ca="1" si="3"/>
        <v>0</v>
      </c>
      <c r="O17" s="68" t="str">
        <f t="shared" ca="1" si="4"/>
        <v/>
      </c>
      <c r="P17" s="68"/>
      <c r="Q17" s="68"/>
      <c r="R17" s="68"/>
      <c r="S17" s="68"/>
      <c r="T17" s="68"/>
      <c r="U17" s="68"/>
    </row>
    <row r="18" spans="1:21">
      <c r="A18" s="81">
        <v>16</v>
      </c>
      <c r="B18" s="44"/>
      <c r="C18" s="45"/>
      <c r="D18" s="47"/>
      <c r="E18" s="46">
        <v>0</v>
      </c>
      <c r="F18" s="51"/>
      <c r="G18" s="52"/>
      <c r="H18" s="52"/>
      <c r="I18" s="47"/>
      <c r="J18" s="44"/>
      <c r="K18" s="24">
        <f t="shared" ca="1" si="0"/>
        <v>0</v>
      </c>
      <c r="L18" s="68">
        <f t="shared" ca="1" si="1"/>
        <v>0</v>
      </c>
      <c r="M18" s="68">
        <f t="shared" ca="1" si="2"/>
        <v>0</v>
      </c>
      <c r="N18" s="68" t="b">
        <f t="shared" ca="1" si="3"/>
        <v>0</v>
      </c>
      <c r="O18" s="68" t="str">
        <f t="shared" ca="1" si="4"/>
        <v/>
      </c>
      <c r="P18" s="68"/>
      <c r="Q18" s="68"/>
      <c r="R18" s="68"/>
      <c r="S18" s="68"/>
      <c r="T18" s="68"/>
      <c r="U18" s="68"/>
    </row>
    <row r="19" spans="1:21">
      <c r="A19" s="81">
        <v>17</v>
      </c>
      <c r="B19" s="44"/>
      <c r="C19" s="45"/>
      <c r="D19" s="47"/>
      <c r="E19" s="46">
        <v>0</v>
      </c>
      <c r="F19" s="51"/>
      <c r="G19" s="52"/>
      <c r="H19" s="52"/>
      <c r="I19" s="53"/>
      <c r="J19" s="44"/>
      <c r="K19" s="24">
        <f t="shared" ca="1" si="0"/>
        <v>0</v>
      </c>
      <c r="L19" s="68">
        <f t="shared" ca="1" si="1"/>
        <v>0</v>
      </c>
      <c r="M19" s="68">
        <f t="shared" ca="1" si="2"/>
        <v>0</v>
      </c>
      <c r="N19" s="68" t="b">
        <f t="shared" ca="1" si="3"/>
        <v>0</v>
      </c>
      <c r="O19" s="68" t="str">
        <f t="shared" ca="1" si="4"/>
        <v/>
      </c>
      <c r="P19" s="68"/>
      <c r="Q19" s="68"/>
      <c r="R19" s="68"/>
      <c r="S19" s="68"/>
      <c r="T19" s="68"/>
      <c r="U19" s="68"/>
    </row>
    <row r="20" spans="1:21">
      <c r="A20" s="81">
        <v>18</v>
      </c>
      <c r="B20" s="44"/>
      <c r="C20" s="45"/>
      <c r="D20" s="47"/>
      <c r="E20" s="46">
        <v>0</v>
      </c>
      <c r="F20" s="51"/>
      <c r="G20" s="52"/>
      <c r="H20" s="52"/>
      <c r="I20" s="47"/>
      <c r="J20" s="44"/>
      <c r="K20" s="24">
        <f t="shared" ca="1" si="0"/>
        <v>0</v>
      </c>
      <c r="L20" s="68">
        <f t="shared" ca="1" si="1"/>
        <v>0</v>
      </c>
      <c r="M20" s="68">
        <f t="shared" ca="1" si="2"/>
        <v>0</v>
      </c>
      <c r="N20" s="68" t="b">
        <f t="shared" ca="1" si="3"/>
        <v>0</v>
      </c>
      <c r="O20" s="68" t="str">
        <f t="shared" ca="1" si="4"/>
        <v/>
      </c>
      <c r="P20" s="68"/>
      <c r="Q20" s="68"/>
      <c r="R20" s="68"/>
      <c r="S20" s="68"/>
      <c r="T20" s="68"/>
      <c r="U20" s="68"/>
    </row>
    <row r="21" spans="1:21">
      <c r="A21" s="81">
        <v>19</v>
      </c>
      <c r="B21" s="44"/>
      <c r="C21" s="45"/>
      <c r="D21" s="47"/>
      <c r="E21" s="46">
        <v>0</v>
      </c>
      <c r="F21" s="51"/>
      <c r="G21" s="52"/>
      <c r="H21" s="52"/>
      <c r="I21" s="47"/>
      <c r="J21" s="44"/>
      <c r="K21" s="24">
        <f t="shared" ca="1" si="0"/>
        <v>0</v>
      </c>
      <c r="L21" s="68">
        <f t="shared" ca="1" si="1"/>
        <v>0</v>
      </c>
      <c r="M21" s="68">
        <f t="shared" ca="1" si="2"/>
        <v>0</v>
      </c>
      <c r="N21" s="68" t="b">
        <f t="shared" ca="1" si="3"/>
        <v>0</v>
      </c>
      <c r="O21" s="68" t="str">
        <f t="shared" ca="1" si="4"/>
        <v/>
      </c>
      <c r="P21" s="68"/>
      <c r="Q21" s="68"/>
      <c r="R21" s="68"/>
      <c r="S21" s="68"/>
      <c r="T21" s="68"/>
      <c r="U21" s="68"/>
    </row>
    <row r="22" spans="1:21">
      <c r="A22" s="81">
        <v>20</v>
      </c>
      <c r="B22" s="44"/>
      <c r="C22" s="45"/>
      <c r="D22" s="47"/>
      <c r="E22" s="46">
        <v>0</v>
      </c>
      <c r="F22" s="51"/>
      <c r="G22" s="52"/>
      <c r="H22" s="52"/>
      <c r="I22" s="47"/>
      <c r="J22" s="44"/>
      <c r="K22" s="24">
        <f t="shared" ca="1" si="0"/>
        <v>0</v>
      </c>
      <c r="L22" s="68">
        <f t="shared" ca="1" si="1"/>
        <v>0</v>
      </c>
      <c r="M22" s="68">
        <f t="shared" ca="1" si="2"/>
        <v>0</v>
      </c>
      <c r="N22" s="68" t="b">
        <f t="shared" ca="1" si="3"/>
        <v>0</v>
      </c>
      <c r="O22" s="68" t="str">
        <f t="shared" ca="1" si="4"/>
        <v/>
      </c>
      <c r="P22" s="68"/>
      <c r="Q22" s="68"/>
      <c r="R22" s="68"/>
      <c r="S22" s="68"/>
      <c r="T22" s="68"/>
      <c r="U22" s="68"/>
    </row>
    <row r="23" spans="1:21" ht="15.75">
      <c r="A23" s="82">
        <v>21</v>
      </c>
      <c r="B23" s="44"/>
      <c r="C23" s="45"/>
      <c r="D23" s="47"/>
      <c r="E23" s="46">
        <v>0</v>
      </c>
      <c r="F23" s="51"/>
      <c r="G23" s="52"/>
      <c r="H23" s="52"/>
      <c r="I23" s="47"/>
      <c r="J23" s="44"/>
      <c r="K23" s="24">
        <f t="shared" ca="1" si="0"/>
        <v>0</v>
      </c>
      <c r="L23" s="68">
        <f t="shared" ca="1" si="1"/>
        <v>0</v>
      </c>
      <c r="M23" s="68">
        <f t="shared" ca="1" si="2"/>
        <v>0</v>
      </c>
      <c r="N23" s="68" t="b">
        <f t="shared" ca="1" si="3"/>
        <v>0</v>
      </c>
      <c r="O23" s="68" t="str">
        <f t="shared" ca="1" si="4"/>
        <v/>
      </c>
      <c r="P23" s="68"/>
      <c r="Q23" s="68"/>
      <c r="R23" s="68"/>
      <c r="S23" s="68"/>
      <c r="T23" s="68"/>
      <c r="U23" s="68"/>
    </row>
    <row r="24" spans="1:21" ht="15.75">
      <c r="A24" s="82">
        <v>22</v>
      </c>
      <c r="B24" s="44"/>
      <c r="C24" s="45"/>
      <c r="D24" s="47"/>
      <c r="E24" s="46">
        <v>0</v>
      </c>
      <c r="F24" s="51"/>
      <c r="G24" s="52"/>
      <c r="H24" s="52"/>
      <c r="I24" s="47"/>
      <c r="J24" s="44"/>
      <c r="K24" s="24">
        <f t="shared" ca="1" si="0"/>
        <v>0</v>
      </c>
      <c r="L24" s="68">
        <f t="shared" ca="1" si="1"/>
        <v>0</v>
      </c>
      <c r="M24" s="68">
        <f t="shared" ca="1" si="2"/>
        <v>0</v>
      </c>
      <c r="N24" s="68" t="b">
        <f t="shared" ca="1" si="3"/>
        <v>0</v>
      </c>
      <c r="O24" s="68" t="str">
        <f t="shared" ca="1" si="4"/>
        <v/>
      </c>
      <c r="P24" s="68"/>
      <c r="Q24" s="68"/>
      <c r="R24" s="68"/>
      <c r="S24" s="68"/>
      <c r="T24" s="68"/>
      <c r="U24" s="68"/>
    </row>
    <row r="25" spans="1:21" ht="15.75">
      <c r="A25" s="82">
        <v>23</v>
      </c>
      <c r="B25" s="44"/>
      <c r="C25" s="45"/>
      <c r="D25" s="47"/>
      <c r="E25" s="46">
        <v>0</v>
      </c>
      <c r="F25" s="51"/>
      <c r="G25" s="52"/>
      <c r="H25" s="52"/>
      <c r="I25" s="47"/>
      <c r="J25" s="44"/>
      <c r="K25" s="24">
        <f t="shared" ca="1" si="0"/>
        <v>0</v>
      </c>
      <c r="L25" s="68">
        <f t="shared" ca="1" si="1"/>
        <v>0</v>
      </c>
      <c r="M25" s="68">
        <f t="shared" ca="1" si="2"/>
        <v>0</v>
      </c>
      <c r="N25" s="68" t="b">
        <f t="shared" ca="1" si="3"/>
        <v>0</v>
      </c>
      <c r="O25" s="68" t="str">
        <f t="shared" ca="1" si="4"/>
        <v/>
      </c>
      <c r="P25" s="68"/>
      <c r="Q25" s="68"/>
      <c r="R25" s="68"/>
      <c r="S25" s="68"/>
      <c r="T25" s="68"/>
      <c r="U25" s="68"/>
    </row>
    <row r="26" spans="1:21" ht="15.75">
      <c r="A26" s="82">
        <v>24</v>
      </c>
      <c r="B26" s="44"/>
      <c r="C26" s="45"/>
      <c r="D26" s="54"/>
      <c r="E26" s="46">
        <v>0</v>
      </c>
      <c r="F26" s="51"/>
      <c r="G26" s="52"/>
      <c r="H26" s="52"/>
      <c r="I26" s="47"/>
      <c r="J26" s="44"/>
      <c r="K26" s="24">
        <f t="shared" ca="1" si="0"/>
        <v>0</v>
      </c>
      <c r="L26" s="68">
        <f t="shared" ca="1" si="1"/>
        <v>0</v>
      </c>
      <c r="M26" s="68">
        <f t="shared" ca="1" si="2"/>
        <v>0</v>
      </c>
      <c r="N26" s="68" t="b">
        <f t="shared" ca="1" si="3"/>
        <v>0</v>
      </c>
      <c r="O26" s="68" t="str">
        <f t="shared" ca="1" si="4"/>
        <v/>
      </c>
      <c r="P26" s="68"/>
      <c r="Q26" s="68"/>
      <c r="R26" s="68"/>
      <c r="S26" s="68"/>
      <c r="T26" s="68"/>
      <c r="U26" s="68"/>
    </row>
    <row r="27" spans="1:21" ht="15.75">
      <c r="A27" s="83">
        <v>25</v>
      </c>
      <c r="B27" s="48"/>
      <c r="C27" s="49"/>
      <c r="D27" s="50"/>
      <c r="E27" s="46">
        <v>0</v>
      </c>
      <c r="F27" s="55"/>
      <c r="G27" s="56"/>
      <c r="H27" s="56"/>
      <c r="I27" s="50"/>
      <c r="J27" s="48"/>
      <c r="K27" s="25">
        <f t="shared" ca="1" si="0"/>
        <v>0</v>
      </c>
      <c r="L27" s="68">
        <f t="shared" ca="1" si="1"/>
        <v>0</v>
      </c>
      <c r="M27" s="68">
        <f t="shared" ca="1" si="2"/>
        <v>0</v>
      </c>
      <c r="N27" s="68" t="b">
        <f t="shared" ca="1" si="3"/>
        <v>0</v>
      </c>
      <c r="O27" s="68" t="str">
        <f ca="1">IF(C27="","",DATEDIF($C27,TODAY(),"m"))</f>
        <v/>
      </c>
      <c r="P27" s="68"/>
      <c r="Q27" s="68"/>
      <c r="R27" s="68"/>
      <c r="S27" s="68"/>
      <c r="T27" s="68"/>
      <c r="U27" s="68"/>
    </row>
  </sheetData>
  <sheetProtection algorithmName="SHA-512" hashValue="6PuYGaqgTeKhH4lj/TPCNN2PBf9XTk9HmNO8nnkRB6sow09YIzLmS0JR634jYSXu8uLrHJS+3taZaLGW4M0cGg==" saltValue="yZ/XIcwbqxQGh08rBbmI1A==" spinCount="100000" sheet="1" objects="1" scenarios="1" selectLockedCells="1"/>
  <mergeCells count="1">
    <mergeCell ref="P4:T4"/>
  </mergeCells>
  <conditionalFormatting sqref="A3:K27">
    <cfRule type="expression" dxfId="210" priority="1">
      <formula>ROW()=CELL("LIN")</formula>
    </cfRule>
    <cfRule type="expression" dxfId="209" priority="2">
      <formula>IF($D3&lt;&gt;"",1,0)</formula>
    </cfRule>
  </conditionalFormatting>
  <conditionalFormatting sqref="O3:O27">
    <cfRule type="cellIs" dxfId="208" priority="3" operator="lessThan">
      <formula>$T$3</formula>
    </cfRule>
  </conditionalFormatting>
  <pageMargins left="1" right="1" top="1" bottom="1" header="0.5" footer="0.5"/>
  <pageSetup paperSize="9" scale="51" fitToHeight="0" orientation="landscape" horizontalDpi="300" verticalDpi="300" r:id="rId1"/>
  <drawing r:id="rId2"/>
  <tableParts count="1"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2771D4-FB03-40DF-BBDC-168C4F8751F6}">
  <sheetPr codeName="Planilha7"/>
  <dimension ref="A1:AE29"/>
  <sheetViews>
    <sheetView showGridLines="0" showRowColHeaders="0" view="pageBreakPreview" zoomScale="60" zoomScaleNormal="70" workbookViewId="0">
      <pane xSplit="4" topLeftCell="E1" activePane="topRight" state="frozen"/>
      <selection sqref="A1:D3"/>
      <selection pane="topRight" activeCell="E6" sqref="E6"/>
    </sheetView>
  </sheetViews>
  <sheetFormatPr defaultRowHeight="12.75"/>
  <cols>
    <col min="2" max="2" width="39.28515625" bestFit="1" customWidth="1"/>
    <col min="3" max="3" width="14.28515625" customWidth="1"/>
    <col min="4" max="4" width="40.140625" customWidth="1"/>
    <col min="5" max="5" width="15.28515625" customWidth="1"/>
    <col min="6" max="6" width="16.28515625" customWidth="1"/>
    <col min="7" max="7" width="24.7109375" customWidth="1"/>
    <col min="8" max="8" width="15.140625" customWidth="1"/>
    <col min="9" max="9" width="14.5703125" customWidth="1"/>
    <col min="10" max="10" width="24.5703125" customWidth="1"/>
    <col min="12" max="12" width="14.140625" customWidth="1"/>
    <col min="13" max="13" width="15.140625" customWidth="1"/>
    <col min="14" max="14" width="23.5703125" customWidth="1"/>
    <col min="15" max="15" width="14.85546875" customWidth="1"/>
    <col min="16" max="16" width="15.85546875" customWidth="1"/>
    <col min="17" max="17" width="24.28515625" customWidth="1"/>
    <col min="19" max="19" width="15.140625" customWidth="1"/>
    <col min="20" max="20" width="16.140625" customWidth="1"/>
    <col min="21" max="21" width="24.5703125" customWidth="1"/>
    <col min="22" max="22" width="14.7109375" customWidth="1"/>
    <col min="23" max="23" width="15.7109375" customWidth="1"/>
    <col min="24" max="24" width="24.140625" customWidth="1"/>
    <col min="26" max="26" width="15" customWidth="1"/>
    <col min="27" max="27" width="16" customWidth="1"/>
    <col min="28" max="28" width="24.42578125" customWidth="1"/>
    <col min="29" max="29" width="15.140625" customWidth="1"/>
    <col min="30" max="30" width="16.140625" customWidth="1"/>
    <col min="31" max="31" width="24.5703125" customWidth="1"/>
  </cols>
  <sheetData>
    <row r="1" spans="1:31" ht="30" customHeight="1" thickBot="1">
      <c r="A1" s="124" t="str">
        <f>CONCATENATE('1A-B-Turma'!B2&amp;" - ",'1A-B-Turma'!B3)</f>
        <v>1º Ano - B - Tarde</v>
      </c>
      <c r="B1" s="124"/>
      <c r="C1" s="124"/>
      <c r="D1" s="125"/>
      <c r="E1" s="128" t="s">
        <v>41</v>
      </c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  <c r="V1" s="129"/>
      <c r="W1" s="129"/>
      <c r="X1" s="129"/>
      <c r="Y1" s="129"/>
      <c r="Z1" s="129"/>
      <c r="AA1" s="129"/>
      <c r="AB1" s="129"/>
      <c r="AC1" s="129"/>
      <c r="AD1" s="129"/>
      <c r="AE1" s="130"/>
    </row>
    <row r="2" spans="1:31" ht="16.5" thickBot="1">
      <c r="A2" s="124"/>
      <c r="B2" s="124"/>
      <c r="C2" s="124"/>
      <c r="D2" s="125"/>
      <c r="E2" s="131" t="s">
        <v>37</v>
      </c>
      <c r="F2" s="132"/>
      <c r="G2" s="132"/>
      <c r="H2" s="132"/>
      <c r="I2" s="132"/>
      <c r="J2" s="132"/>
      <c r="K2" s="132"/>
      <c r="L2" s="132"/>
      <c r="M2" s="132"/>
      <c r="N2" s="132"/>
      <c r="O2" s="132"/>
      <c r="P2" s="132"/>
      <c r="Q2" s="133"/>
      <c r="R2" s="64"/>
      <c r="S2" s="131" t="s">
        <v>38</v>
      </c>
      <c r="T2" s="132"/>
      <c r="U2" s="132"/>
      <c r="V2" s="132"/>
      <c r="W2" s="132"/>
      <c r="X2" s="132"/>
      <c r="Y2" s="132"/>
      <c r="Z2" s="132"/>
      <c r="AA2" s="132"/>
      <c r="AB2" s="132"/>
      <c r="AC2" s="132"/>
      <c r="AD2" s="132"/>
      <c r="AE2" s="133"/>
    </row>
    <row r="3" spans="1:31" ht="15">
      <c r="A3" s="126"/>
      <c r="B3" s="126"/>
      <c r="C3" s="126"/>
      <c r="D3" s="127"/>
      <c r="E3" s="134" t="s">
        <v>33</v>
      </c>
      <c r="F3" s="135"/>
      <c r="G3" s="136"/>
      <c r="H3" s="138" t="s">
        <v>34</v>
      </c>
      <c r="I3" s="139"/>
      <c r="J3" s="140"/>
      <c r="K3" s="64"/>
      <c r="L3" s="134" t="s">
        <v>35</v>
      </c>
      <c r="M3" s="135"/>
      <c r="N3" s="136"/>
      <c r="O3" s="138" t="s">
        <v>36</v>
      </c>
      <c r="P3" s="139"/>
      <c r="Q3" s="140"/>
      <c r="R3" s="64"/>
      <c r="S3" s="137" t="s">
        <v>39</v>
      </c>
      <c r="T3" s="135"/>
      <c r="U3" s="136"/>
      <c r="V3" s="141" t="s">
        <v>40</v>
      </c>
      <c r="W3" s="139"/>
      <c r="X3" s="140"/>
      <c r="Y3" s="64"/>
      <c r="Z3" s="134" t="s">
        <v>31</v>
      </c>
      <c r="AA3" s="135"/>
      <c r="AB3" s="136"/>
      <c r="AC3" s="138" t="s">
        <v>32</v>
      </c>
      <c r="AD3" s="139"/>
      <c r="AE3" s="140"/>
    </row>
    <row r="4" spans="1:31" ht="31.5">
      <c r="A4" s="63" t="s">
        <v>9</v>
      </c>
      <c r="B4" s="57" t="s">
        <v>10</v>
      </c>
      <c r="C4" s="58" t="s">
        <v>13</v>
      </c>
      <c r="D4" s="59" t="s">
        <v>16</v>
      </c>
      <c r="E4" s="31" t="s">
        <v>42</v>
      </c>
      <c r="F4" s="32" t="s">
        <v>43</v>
      </c>
      <c r="G4" s="33" t="s">
        <v>44</v>
      </c>
      <c r="H4" s="34" t="s">
        <v>46</v>
      </c>
      <c r="I4" s="35" t="s">
        <v>45</v>
      </c>
      <c r="J4" s="36" t="s">
        <v>51</v>
      </c>
      <c r="K4" s="65" t="s">
        <v>47</v>
      </c>
      <c r="L4" s="37" t="s">
        <v>48</v>
      </c>
      <c r="M4" s="32" t="s">
        <v>49</v>
      </c>
      <c r="N4" s="33" t="s">
        <v>50</v>
      </c>
      <c r="O4" s="34" t="s">
        <v>52</v>
      </c>
      <c r="P4" s="35" t="s">
        <v>53</v>
      </c>
      <c r="Q4" s="36" t="s">
        <v>54</v>
      </c>
      <c r="R4" s="65" t="s">
        <v>55</v>
      </c>
      <c r="S4" s="37" t="s">
        <v>56</v>
      </c>
      <c r="T4" s="32" t="s">
        <v>57</v>
      </c>
      <c r="U4" s="33" t="s">
        <v>58</v>
      </c>
      <c r="V4" s="34" t="s">
        <v>59</v>
      </c>
      <c r="W4" s="35" t="s">
        <v>60</v>
      </c>
      <c r="X4" s="36" t="s">
        <v>61</v>
      </c>
      <c r="Y4" s="65" t="s">
        <v>62</v>
      </c>
      <c r="Z4" s="37" t="s">
        <v>63</v>
      </c>
      <c r="AA4" s="32" t="s">
        <v>64</v>
      </c>
      <c r="AB4" s="33" t="s">
        <v>65</v>
      </c>
      <c r="AC4" s="34" t="s">
        <v>66</v>
      </c>
      <c r="AD4" s="35" t="s">
        <v>67</v>
      </c>
      <c r="AE4" s="38" t="s">
        <v>68</v>
      </c>
    </row>
    <row r="5" spans="1:31" ht="15">
      <c r="A5" s="72">
        <v>1</v>
      </c>
      <c r="B5" s="60" t="str">
        <f>IF('1A-B'!B3&lt;&gt;0,'1A-B'!B3,"")</f>
        <v/>
      </c>
      <c r="C5" s="61" t="str">
        <f>IF('1A-B'!C3&lt;&gt;0,'1A-B'!C3,"")</f>
        <v/>
      </c>
      <c r="D5" s="62" t="str">
        <f>IF('1A-B'!D3&lt;&gt;0,'1A-B'!D3,"")</f>
        <v/>
      </c>
      <c r="E5" s="43"/>
      <c r="F5" s="42"/>
      <c r="G5" s="28" t="e">
        <f t="shared" ref="G5:G29" si="0">ROUND((E5*100)/(E5+F5),0)/100</f>
        <v>#DIV/0!</v>
      </c>
      <c r="H5" s="39"/>
      <c r="I5" s="40"/>
      <c r="J5" s="29" t="e">
        <f t="shared" ref="J5:J29" si="1">ROUND((H5*100)/(H5+I5),0)/100</f>
        <v>#DIV/0!</v>
      </c>
      <c r="K5" s="87">
        <f>Tabela273681012[[#This Row],[Nº]]</f>
        <v>1</v>
      </c>
      <c r="L5" s="41"/>
      <c r="M5" s="42"/>
      <c r="N5" s="28" t="e">
        <f t="shared" ref="N5:N29" si="2">ROUND((L5*100)/(L5+M5),0)/100</f>
        <v>#DIV/0!</v>
      </c>
      <c r="O5" s="39"/>
      <c r="P5" s="40"/>
      <c r="Q5" s="29" t="e">
        <f t="shared" ref="Q5:Q29" si="3">ROUND((O5*100)/(O5+P5),0)/100</f>
        <v>#DIV/0!</v>
      </c>
      <c r="R5" s="87">
        <f>Tabela273681012[[#This Row],[Nº]]</f>
        <v>1</v>
      </c>
      <c r="S5" s="41"/>
      <c r="T5" s="42"/>
      <c r="U5" s="28" t="e">
        <f t="shared" ref="U5:U29" si="4">ROUND((S5*100)/(S5+T5),0)/100</f>
        <v>#DIV/0!</v>
      </c>
      <c r="V5" s="39"/>
      <c r="W5" s="40"/>
      <c r="X5" s="29" t="e">
        <f t="shared" ref="X5:X29" si="5">ROUND((V5*100)/(V5+W5),0)/100</f>
        <v>#DIV/0!</v>
      </c>
      <c r="Y5" s="87">
        <f>Tabela273681012[[#This Row],[Nº]]</f>
        <v>1</v>
      </c>
      <c r="Z5" s="41"/>
      <c r="AA5" s="42"/>
      <c r="AB5" s="28" t="e">
        <f t="shared" ref="AB5:AB29" si="6">ROUND((Z5*100)/(Z5+AA5),0)/100</f>
        <v>#DIV/0!</v>
      </c>
      <c r="AC5" s="39"/>
      <c r="AD5" s="40"/>
      <c r="AE5" s="30" t="e">
        <f t="shared" ref="AE5:AE29" si="7">ROUND((AC5*100)/(AC5+AD5),0)/100</f>
        <v>#DIV/0!</v>
      </c>
    </row>
    <row r="6" spans="1:31" ht="15">
      <c r="A6" s="72">
        <v>2</v>
      </c>
      <c r="B6" s="60" t="str">
        <f>IF('1A-B'!B4&lt;&gt;0,'1A-B'!B4,"")</f>
        <v/>
      </c>
      <c r="C6" s="61" t="str">
        <f>IF('1A-B'!C4&lt;&gt;0,'1A-B'!C4,"")</f>
        <v/>
      </c>
      <c r="D6" s="62" t="str">
        <f>IF('1A-B'!D4&lt;&gt;0,'1A-B'!D4,"")</f>
        <v/>
      </c>
      <c r="E6" s="43"/>
      <c r="F6" s="42"/>
      <c r="G6" s="28" t="e">
        <f t="shared" si="0"/>
        <v>#DIV/0!</v>
      </c>
      <c r="H6" s="39"/>
      <c r="I6" s="40"/>
      <c r="J6" s="29" t="e">
        <f t="shared" si="1"/>
        <v>#DIV/0!</v>
      </c>
      <c r="K6" s="87">
        <f>Tabela273681012[[#This Row],[Nº]]</f>
        <v>2</v>
      </c>
      <c r="L6" s="41"/>
      <c r="M6" s="42"/>
      <c r="N6" s="28" t="e">
        <f t="shared" si="2"/>
        <v>#DIV/0!</v>
      </c>
      <c r="O6" s="39"/>
      <c r="P6" s="40"/>
      <c r="Q6" s="29" t="e">
        <f t="shared" si="3"/>
        <v>#DIV/0!</v>
      </c>
      <c r="R6" s="87">
        <f>Tabela273681012[[#This Row],[Nº]]</f>
        <v>2</v>
      </c>
      <c r="S6" s="41"/>
      <c r="T6" s="42"/>
      <c r="U6" s="28" t="e">
        <f t="shared" si="4"/>
        <v>#DIV/0!</v>
      </c>
      <c r="V6" s="39"/>
      <c r="W6" s="40"/>
      <c r="X6" s="29" t="e">
        <f t="shared" si="5"/>
        <v>#DIV/0!</v>
      </c>
      <c r="Y6" s="87">
        <f>Tabela273681012[[#This Row],[Nº]]</f>
        <v>2</v>
      </c>
      <c r="Z6" s="41"/>
      <c r="AA6" s="42"/>
      <c r="AB6" s="28" t="e">
        <f t="shared" si="6"/>
        <v>#DIV/0!</v>
      </c>
      <c r="AC6" s="39"/>
      <c r="AD6" s="40"/>
      <c r="AE6" s="30" t="e">
        <f t="shared" si="7"/>
        <v>#DIV/0!</v>
      </c>
    </row>
    <row r="7" spans="1:31" ht="15">
      <c r="A7" s="72">
        <v>3</v>
      </c>
      <c r="B7" s="60" t="str">
        <f>IF('1A-B'!B5&lt;&gt;0,'1A-B'!B5,"")</f>
        <v/>
      </c>
      <c r="C7" s="61" t="str">
        <f>IF('1A-B'!C5&lt;&gt;0,'1A-B'!C5,"")</f>
        <v/>
      </c>
      <c r="D7" s="62" t="str">
        <f>IF('1A-B'!D5&lt;&gt;0,'1A-B'!D5,"")</f>
        <v/>
      </c>
      <c r="E7" s="43"/>
      <c r="F7" s="42"/>
      <c r="G7" s="28" t="e">
        <f t="shared" si="0"/>
        <v>#DIV/0!</v>
      </c>
      <c r="H7" s="39"/>
      <c r="I7" s="40"/>
      <c r="J7" s="29" t="e">
        <f t="shared" si="1"/>
        <v>#DIV/0!</v>
      </c>
      <c r="K7" s="87">
        <f>Tabela273681012[[#This Row],[Nº]]</f>
        <v>3</v>
      </c>
      <c r="L7" s="41"/>
      <c r="M7" s="42"/>
      <c r="N7" s="28" t="e">
        <f t="shared" si="2"/>
        <v>#DIV/0!</v>
      </c>
      <c r="O7" s="39"/>
      <c r="P7" s="40"/>
      <c r="Q7" s="29" t="e">
        <f t="shared" si="3"/>
        <v>#DIV/0!</v>
      </c>
      <c r="R7" s="87">
        <f>Tabela273681012[[#This Row],[Nº]]</f>
        <v>3</v>
      </c>
      <c r="S7" s="41"/>
      <c r="T7" s="42"/>
      <c r="U7" s="28" t="e">
        <f t="shared" si="4"/>
        <v>#DIV/0!</v>
      </c>
      <c r="V7" s="39"/>
      <c r="W7" s="40"/>
      <c r="X7" s="29" t="e">
        <f t="shared" si="5"/>
        <v>#DIV/0!</v>
      </c>
      <c r="Y7" s="87">
        <f>Tabela273681012[[#This Row],[Nº]]</f>
        <v>3</v>
      </c>
      <c r="Z7" s="41"/>
      <c r="AA7" s="42"/>
      <c r="AB7" s="28" t="e">
        <f t="shared" si="6"/>
        <v>#DIV/0!</v>
      </c>
      <c r="AC7" s="39"/>
      <c r="AD7" s="40"/>
      <c r="AE7" s="30" t="e">
        <f t="shared" si="7"/>
        <v>#DIV/0!</v>
      </c>
    </row>
    <row r="8" spans="1:31" ht="15">
      <c r="A8" s="72">
        <v>4</v>
      </c>
      <c r="B8" s="60" t="str">
        <f>IF('1A-B'!B6&lt;&gt;0,'1A-B'!B6,"")</f>
        <v/>
      </c>
      <c r="C8" s="61" t="str">
        <f>IF('1A-B'!C6&lt;&gt;0,'1A-B'!C6,"")</f>
        <v/>
      </c>
      <c r="D8" s="62" t="str">
        <f>IF('1A-B'!D6&lt;&gt;0,'1A-B'!D6,"")</f>
        <v/>
      </c>
      <c r="E8" s="43"/>
      <c r="F8" s="42"/>
      <c r="G8" s="28" t="e">
        <f t="shared" si="0"/>
        <v>#DIV/0!</v>
      </c>
      <c r="H8" s="39"/>
      <c r="I8" s="40"/>
      <c r="J8" s="29" t="e">
        <f t="shared" si="1"/>
        <v>#DIV/0!</v>
      </c>
      <c r="K8" s="87">
        <f>Tabela273681012[[#This Row],[Nº]]</f>
        <v>4</v>
      </c>
      <c r="L8" s="41"/>
      <c r="M8" s="42"/>
      <c r="N8" s="28" t="e">
        <f t="shared" si="2"/>
        <v>#DIV/0!</v>
      </c>
      <c r="O8" s="39"/>
      <c r="P8" s="40"/>
      <c r="Q8" s="29" t="e">
        <f t="shared" si="3"/>
        <v>#DIV/0!</v>
      </c>
      <c r="R8" s="87">
        <f>Tabela273681012[[#This Row],[Nº]]</f>
        <v>4</v>
      </c>
      <c r="S8" s="41"/>
      <c r="T8" s="42"/>
      <c r="U8" s="28" t="e">
        <f t="shared" si="4"/>
        <v>#DIV/0!</v>
      </c>
      <c r="V8" s="39"/>
      <c r="W8" s="40"/>
      <c r="X8" s="29" t="e">
        <f t="shared" si="5"/>
        <v>#DIV/0!</v>
      </c>
      <c r="Y8" s="87">
        <f>Tabela273681012[[#This Row],[Nº]]</f>
        <v>4</v>
      </c>
      <c r="Z8" s="41"/>
      <c r="AA8" s="42"/>
      <c r="AB8" s="28" t="e">
        <f t="shared" si="6"/>
        <v>#DIV/0!</v>
      </c>
      <c r="AC8" s="39"/>
      <c r="AD8" s="40"/>
      <c r="AE8" s="30" t="e">
        <f t="shared" si="7"/>
        <v>#DIV/0!</v>
      </c>
    </row>
    <row r="9" spans="1:31" ht="15">
      <c r="A9" s="72">
        <v>5</v>
      </c>
      <c r="B9" s="60" t="str">
        <f>IF('1A-B'!B7&lt;&gt;0,'1A-B'!B7,"")</f>
        <v/>
      </c>
      <c r="C9" s="61" t="str">
        <f>IF('1A-B'!C7&lt;&gt;0,'1A-B'!C7,"")</f>
        <v/>
      </c>
      <c r="D9" s="62" t="str">
        <f>IF('1A-B'!D7&lt;&gt;0,'1A-B'!D7,"")</f>
        <v/>
      </c>
      <c r="E9" s="43"/>
      <c r="F9" s="42"/>
      <c r="G9" s="28" t="e">
        <f t="shared" si="0"/>
        <v>#DIV/0!</v>
      </c>
      <c r="H9" s="39"/>
      <c r="I9" s="40"/>
      <c r="J9" s="29" t="e">
        <f t="shared" si="1"/>
        <v>#DIV/0!</v>
      </c>
      <c r="K9" s="87">
        <f>Tabela273681012[[#This Row],[Nº]]</f>
        <v>5</v>
      </c>
      <c r="L9" s="41"/>
      <c r="M9" s="42"/>
      <c r="N9" s="28" t="e">
        <f t="shared" si="2"/>
        <v>#DIV/0!</v>
      </c>
      <c r="O9" s="39"/>
      <c r="P9" s="40"/>
      <c r="Q9" s="29" t="e">
        <f t="shared" si="3"/>
        <v>#DIV/0!</v>
      </c>
      <c r="R9" s="87">
        <f>Tabela273681012[[#This Row],[Nº]]</f>
        <v>5</v>
      </c>
      <c r="S9" s="41"/>
      <c r="T9" s="42"/>
      <c r="U9" s="28" t="e">
        <f t="shared" si="4"/>
        <v>#DIV/0!</v>
      </c>
      <c r="V9" s="39"/>
      <c r="W9" s="40"/>
      <c r="X9" s="29" t="e">
        <f t="shared" si="5"/>
        <v>#DIV/0!</v>
      </c>
      <c r="Y9" s="87">
        <f>Tabela273681012[[#This Row],[Nº]]</f>
        <v>5</v>
      </c>
      <c r="Z9" s="41"/>
      <c r="AA9" s="42"/>
      <c r="AB9" s="28" t="e">
        <f t="shared" si="6"/>
        <v>#DIV/0!</v>
      </c>
      <c r="AC9" s="39"/>
      <c r="AD9" s="40"/>
      <c r="AE9" s="30" t="e">
        <f t="shared" si="7"/>
        <v>#DIV/0!</v>
      </c>
    </row>
    <row r="10" spans="1:31" ht="15">
      <c r="A10" s="72">
        <v>6</v>
      </c>
      <c r="B10" s="60" t="str">
        <f>IF('1A-B'!B8&lt;&gt;0,'1A-B'!B8,"")</f>
        <v/>
      </c>
      <c r="C10" s="61" t="str">
        <f>IF('1A-B'!C8&lt;&gt;0,'1A-B'!C8,"")</f>
        <v/>
      </c>
      <c r="D10" s="62" t="str">
        <f>IF('1A-B'!D8&lt;&gt;0,'1A-B'!D8,"")</f>
        <v/>
      </c>
      <c r="E10" s="43"/>
      <c r="F10" s="42"/>
      <c r="G10" s="28" t="e">
        <f t="shared" si="0"/>
        <v>#DIV/0!</v>
      </c>
      <c r="H10" s="39"/>
      <c r="I10" s="40"/>
      <c r="J10" s="29" t="e">
        <f t="shared" si="1"/>
        <v>#DIV/0!</v>
      </c>
      <c r="K10" s="87">
        <f>Tabela273681012[[#This Row],[Nº]]</f>
        <v>6</v>
      </c>
      <c r="L10" s="41"/>
      <c r="M10" s="42"/>
      <c r="N10" s="28" t="e">
        <f t="shared" si="2"/>
        <v>#DIV/0!</v>
      </c>
      <c r="O10" s="39"/>
      <c r="P10" s="40"/>
      <c r="Q10" s="29" t="e">
        <f t="shared" si="3"/>
        <v>#DIV/0!</v>
      </c>
      <c r="R10" s="87">
        <f>Tabela273681012[[#This Row],[Nº]]</f>
        <v>6</v>
      </c>
      <c r="S10" s="41"/>
      <c r="T10" s="42"/>
      <c r="U10" s="28" t="e">
        <f t="shared" si="4"/>
        <v>#DIV/0!</v>
      </c>
      <c r="V10" s="39"/>
      <c r="W10" s="40"/>
      <c r="X10" s="29" t="e">
        <f t="shared" si="5"/>
        <v>#DIV/0!</v>
      </c>
      <c r="Y10" s="87">
        <f>Tabela273681012[[#This Row],[Nº]]</f>
        <v>6</v>
      </c>
      <c r="Z10" s="41"/>
      <c r="AA10" s="42"/>
      <c r="AB10" s="28" t="e">
        <f t="shared" si="6"/>
        <v>#DIV/0!</v>
      </c>
      <c r="AC10" s="39"/>
      <c r="AD10" s="40"/>
      <c r="AE10" s="30" t="e">
        <f t="shared" si="7"/>
        <v>#DIV/0!</v>
      </c>
    </row>
    <row r="11" spans="1:31" ht="15">
      <c r="A11" s="72">
        <v>7</v>
      </c>
      <c r="B11" s="60" t="str">
        <f>IF('1A-B'!B9&lt;&gt;0,'1A-B'!B9,"")</f>
        <v/>
      </c>
      <c r="C11" s="61" t="str">
        <f>IF('1A-B'!C9&lt;&gt;0,'1A-B'!C9,"")</f>
        <v/>
      </c>
      <c r="D11" s="62" t="str">
        <f>IF('1A-B'!D9&lt;&gt;0,'1A-B'!D9,"")</f>
        <v/>
      </c>
      <c r="E11" s="43"/>
      <c r="F11" s="42"/>
      <c r="G11" s="28" t="e">
        <f t="shared" si="0"/>
        <v>#DIV/0!</v>
      </c>
      <c r="H11" s="39"/>
      <c r="I11" s="40"/>
      <c r="J11" s="29" t="e">
        <f t="shared" si="1"/>
        <v>#DIV/0!</v>
      </c>
      <c r="K11" s="87">
        <f>Tabela273681012[[#This Row],[Nº]]</f>
        <v>7</v>
      </c>
      <c r="L11" s="41"/>
      <c r="M11" s="42"/>
      <c r="N11" s="28" t="e">
        <f t="shared" si="2"/>
        <v>#DIV/0!</v>
      </c>
      <c r="O11" s="39"/>
      <c r="P11" s="40"/>
      <c r="Q11" s="29" t="e">
        <f t="shared" si="3"/>
        <v>#DIV/0!</v>
      </c>
      <c r="R11" s="87">
        <f>Tabela273681012[[#This Row],[Nº]]</f>
        <v>7</v>
      </c>
      <c r="S11" s="41"/>
      <c r="T11" s="42"/>
      <c r="U11" s="28" t="e">
        <f t="shared" si="4"/>
        <v>#DIV/0!</v>
      </c>
      <c r="V11" s="39"/>
      <c r="W11" s="40"/>
      <c r="X11" s="29" t="e">
        <f t="shared" si="5"/>
        <v>#DIV/0!</v>
      </c>
      <c r="Y11" s="87">
        <f>Tabela273681012[[#This Row],[Nº]]</f>
        <v>7</v>
      </c>
      <c r="Z11" s="41"/>
      <c r="AA11" s="42"/>
      <c r="AB11" s="28" t="e">
        <f t="shared" si="6"/>
        <v>#DIV/0!</v>
      </c>
      <c r="AC11" s="39"/>
      <c r="AD11" s="40"/>
      <c r="AE11" s="30" t="e">
        <f t="shared" si="7"/>
        <v>#DIV/0!</v>
      </c>
    </row>
    <row r="12" spans="1:31" ht="15">
      <c r="A12" s="72">
        <v>8</v>
      </c>
      <c r="B12" s="60" t="str">
        <f>IF('1A-B'!B10&lt;&gt;0,'1A-B'!B10,"")</f>
        <v/>
      </c>
      <c r="C12" s="61" t="str">
        <f>IF('1A-B'!C10&lt;&gt;0,'1A-B'!C10,"")</f>
        <v/>
      </c>
      <c r="D12" s="62" t="str">
        <f>IF('1A-B'!D10&lt;&gt;0,'1A-B'!D10,"")</f>
        <v/>
      </c>
      <c r="E12" s="43"/>
      <c r="F12" s="42"/>
      <c r="G12" s="28" t="e">
        <f t="shared" si="0"/>
        <v>#DIV/0!</v>
      </c>
      <c r="H12" s="39"/>
      <c r="I12" s="40"/>
      <c r="J12" s="29" t="e">
        <f t="shared" si="1"/>
        <v>#DIV/0!</v>
      </c>
      <c r="K12" s="87">
        <f>Tabela273681012[[#This Row],[Nº]]</f>
        <v>8</v>
      </c>
      <c r="L12" s="41"/>
      <c r="M12" s="42"/>
      <c r="N12" s="28" t="e">
        <f t="shared" si="2"/>
        <v>#DIV/0!</v>
      </c>
      <c r="O12" s="39"/>
      <c r="P12" s="40"/>
      <c r="Q12" s="29" t="e">
        <f t="shared" si="3"/>
        <v>#DIV/0!</v>
      </c>
      <c r="R12" s="87">
        <f>Tabela273681012[[#This Row],[Nº]]</f>
        <v>8</v>
      </c>
      <c r="S12" s="41"/>
      <c r="T12" s="42"/>
      <c r="U12" s="28" t="e">
        <f t="shared" si="4"/>
        <v>#DIV/0!</v>
      </c>
      <c r="V12" s="39"/>
      <c r="W12" s="40"/>
      <c r="X12" s="29" t="e">
        <f t="shared" si="5"/>
        <v>#DIV/0!</v>
      </c>
      <c r="Y12" s="87">
        <f>Tabela273681012[[#This Row],[Nº]]</f>
        <v>8</v>
      </c>
      <c r="Z12" s="41"/>
      <c r="AA12" s="42"/>
      <c r="AB12" s="28" t="e">
        <f t="shared" si="6"/>
        <v>#DIV/0!</v>
      </c>
      <c r="AC12" s="39"/>
      <c r="AD12" s="40"/>
      <c r="AE12" s="30" t="e">
        <f t="shared" si="7"/>
        <v>#DIV/0!</v>
      </c>
    </row>
    <row r="13" spans="1:31" ht="15">
      <c r="A13" s="72">
        <v>9</v>
      </c>
      <c r="B13" s="60" t="str">
        <f>IF('1A-B'!B11&lt;&gt;0,'1A-B'!B11,"")</f>
        <v/>
      </c>
      <c r="C13" s="61" t="str">
        <f>IF('1A-B'!C11&lt;&gt;0,'1A-B'!C11,"")</f>
        <v/>
      </c>
      <c r="D13" s="62" t="str">
        <f>IF('1A-B'!D11&lt;&gt;0,'1A-B'!D11,"")</f>
        <v/>
      </c>
      <c r="E13" s="43"/>
      <c r="F13" s="42"/>
      <c r="G13" s="28" t="e">
        <f t="shared" si="0"/>
        <v>#DIV/0!</v>
      </c>
      <c r="H13" s="39"/>
      <c r="I13" s="40"/>
      <c r="J13" s="29" t="e">
        <f t="shared" si="1"/>
        <v>#DIV/0!</v>
      </c>
      <c r="K13" s="87">
        <f>Tabela273681012[[#This Row],[Nº]]</f>
        <v>9</v>
      </c>
      <c r="L13" s="41"/>
      <c r="M13" s="42"/>
      <c r="N13" s="28" t="e">
        <f t="shared" si="2"/>
        <v>#DIV/0!</v>
      </c>
      <c r="O13" s="39"/>
      <c r="P13" s="40"/>
      <c r="Q13" s="29" t="e">
        <f t="shared" si="3"/>
        <v>#DIV/0!</v>
      </c>
      <c r="R13" s="87">
        <f>Tabela273681012[[#This Row],[Nº]]</f>
        <v>9</v>
      </c>
      <c r="S13" s="41"/>
      <c r="T13" s="42"/>
      <c r="U13" s="28" t="e">
        <f t="shared" si="4"/>
        <v>#DIV/0!</v>
      </c>
      <c r="V13" s="39"/>
      <c r="W13" s="40"/>
      <c r="X13" s="29" t="e">
        <f t="shared" si="5"/>
        <v>#DIV/0!</v>
      </c>
      <c r="Y13" s="87">
        <f>Tabela273681012[[#This Row],[Nº]]</f>
        <v>9</v>
      </c>
      <c r="Z13" s="41"/>
      <c r="AA13" s="42"/>
      <c r="AB13" s="28" t="e">
        <f t="shared" si="6"/>
        <v>#DIV/0!</v>
      </c>
      <c r="AC13" s="39"/>
      <c r="AD13" s="40"/>
      <c r="AE13" s="30" t="e">
        <f t="shared" si="7"/>
        <v>#DIV/0!</v>
      </c>
    </row>
    <row r="14" spans="1:31" ht="15">
      <c r="A14" s="72">
        <v>10</v>
      </c>
      <c r="B14" s="60" t="str">
        <f>IF('1A-B'!B12&lt;&gt;0,'1A-B'!B12,"")</f>
        <v/>
      </c>
      <c r="C14" s="61" t="str">
        <f>IF('1A-B'!C12&lt;&gt;0,'1A-B'!C12,"")</f>
        <v/>
      </c>
      <c r="D14" s="62" t="str">
        <f>IF('1A-B'!D12&lt;&gt;0,'1A-B'!D12,"")</f>
        <v/>
      </c>
      <c r="E14" s="43"/>
      <c r="F14" s="42"/>
      <c r="G14" s="28" t="e">
        <f t="shared" si="0"/>
        <v>#DIV/0!</v>
      </c>
      <c r="H14" s="39"/>
      <c r="I14" s="40"/>
      <c r="J14" s="29" t="e">
        <f t="shared" si="1"/>
        <v>#DIV/0!</v>
      </c>
      <c r="K14" s="87">
        <f>Tabela273681012[[#This Row],[Nº]]</f>
        <v>10</v>
      </c>
      <c r="L14" s="41"/>
      <c r="M14" s="42"/>
      <c r="N14" s="28" t="e">
        <f t="shared" si="2"/>
        <v>#DIV/0!</v>
      </c>
      <c r="O14" s="39"/>
      <c r="P14" s="40"/>
      <c r="Q14" s="29" t="e">
        <f t="shared" si="3"/>
        <v>#DIV/0!</v>
      </c>
      <c r="R14" s="87">
        <f>Tabela273681012[[#This Row],[Nº]]</f>
        <v>10</v>
      </c>
      <c r="S14" s="41"/>
      <c r="T14" s="42"/>
      <c r="U14" s="28" t="e">
        <f t="shared" si="4"/>
        <v>#DIV/0!</v>
      </c>
      <c r="V14" s="39"/>
      <c r="W14" s="40"/>
      <c r="X14" s="29" t="e">
        <f t="shared" si="5"/>
        <v>#DIV/0!</v>
      </c>
      <c r="Y14" s="87">
        <f>Tabela273681012[[#This Row],[Nº]]</f>
        <v>10</v>
      </c>
      <c r="Z14" s="41"/>
      <c r="AA14" s="42"/>
      <c r="AB14" s="28" t="e">
        <f t="shared" si="6"/>
        <v>#DIV/0!</v>
      </c>
      <c r="AC14" s="39"/>
      <c r="AD14" s="40"/>
      <c r="AE14" s="30" t="e">
        <f t="shared" si="7"/>
        <v>#DIV/0!</v>
      </c>
    </row>
    <row r="15" spans="1:31" ht="15">
      <c r="A15" s="72">
        <v>11</v>
      </c>
      <c r="B15" s="60" t="str">
        <f>IF('1A-B'!B13&lt;&gt;0,'1A-B'!B13,"")</f>
        <v/>
      </c>
      <c r="C15" s="61" t="str">
        <f>IF('1A-B'!C13&lt;&gt;0,'1A-B'!C13,"")</f>
        <v/>
      </c>
      <c r="D15" s="62" t="str">
        <f>IF('1A-B'!D13&lt;&gt;0,'1A-B'!D13,"")</f>
        <v/>
      </c>
      <c r="E15" s="43"/>
      <c r="F15" s="42"/>
      <c r="G15" s="28" t="e">
        <f t="shared" si="0"/>
        <v>#DIV/0!</v>
      </c>
      <c r="H15" s="39"/>
      <c r="I15" s="40"/>
      <c r="J15" s="29" t="e">
        <f t="shared" si="1"/>
        <v>#DIV/0!</v>
      </c>
      <c r="K15" s="87">
        <f>Tabela273681012[[#This Row],[Nº]]</f>
        <v>11</v>
      </c>
      <c r="L15" s="41"/>
      <c r="M15" s="42"/>
      <c r="N15" s="28" t="e">
        <f t="shared" si="2"/>
        <v>#DIV/0!</v>
      </c>
      <c r="O15" s="39"/>
      <c r="P15" s="40"/>
      <c r="Q15" s="29" t="e">
        <f t="shared" si="3"/>
        <v>#DIV/0!</v>
      </c>
      <c r="R15" s="87">
        <f>Tabela273681012[[#This Row],[Nº]]</f>
        <v>11</v>
      </c>
      <c r="S15" s="41"/>
      <c r="T15" s="42"/>
      <c r="U15" s="28" t="e">
        <f t="shared" si="4"/>
        <v>#DIV/0!</v>
      </c>
      <c r="V15" s="39"/>
      <c r="W15" s="40"/>
      <c r="X15" s="29" t="e">
        <f t="shared" si="5"/>
        <v>#DIV/0!</v>
      </c>
      <c r="Y15" s="87">
        <f>Tabela273681012[[#This Row],[Nº]]</f>
        <v>11</v>
      </c>
      <c r="Z15" s="41"/>
      <c r="AA15" s="42"/>
      <c r="AB15" s="28" t="e">
        <f t="shared" si="6"/>
        <v>#DIV/0!</v>
      </c>
      <c r="AC15" s="39"/>
      <c r="AD15" s="40"/>
      <c r="AE15" s="30" t="e">
        <f t="shared" si="7"/>
        <v>#DIV/0!</v>
      </c>
    </row>
    <row r="16" spans="1:31" ht="15">
      <c r="A16" s="72">
        <v>12</v>
      </c>
      <c r="B16" s="60" t="str">
        <f>IF('1A-B'!B14&lt;&gt;0,'1A-B'!B14,"")</f>
        <v/>
      </c>
      <c r="C16" s="61" t="str">
        <f>IF('1A-B'!C14&lt;&gt;0,'1A-B'!C14,"")</f>
        <v/>
      </c>
      <c r="D16" s="62" t="str">
        <f>IF('1A-B'!D14&lt;&gt;0,'1A-B'!D14,"")</f>
        <v/>
      </c>
      <c r="E16" s="43"/>
      <c r="F16" s="42"/>
      <c r="G16" s="28" t="e">
        <f t="shared" si="0"/>
        <v>#DIV/0!</v>
      </c>
      <c r="H16" s="39"/>
      <c r="I16" s="40"/>
      <c r="J16" s="29" t="e">
        <f t="shared" si="1"/>
        <v>#DIV/0!</v>
      </c>
      <c r="K16" s="87">
        <f>Tabela273681012[[#This Row],[Nº]]</f>
        <v>12</v>
      </c>
      <c r="L16" s="41"/>
      <c r="M16" s="42"/>
      <c r="N16" s="28" t="e">
        <f t="shared" si="2"/>
        <v>#DIV/0!</v>
      </c>
      <c r="O16" s="39"/>
      <c r="P16" s="40"/>
      <c r="Q16" s="29" t="e">
        <f t="shared" si="3"/>
        <v>#DIV/0!</v>
      </c>
      <c r="R16" s="87">
        <f>Tabela273681012[[#This Row],[Nº]]</f>
        <v>12</v>
      </c>
      <c r="S16" s="41"/>
      <c r="T16" s="42"/>
      <c r="U16" s="28" t="e">
        <f t="shared" si="4"/>
        <v>#DIV/0!</v>
      </c>
      <c r="V16" s="39"/>
      <c r="W16" s="40"/>
      <c r="X16" s="29" t="e">
        <f t="shared" si="5"/>
        <v>#DIV/0!</v>
      </c>
      <c r="Y16" s="87">
        <f>Tabela273681012[[#This Row],[Nº]]</f>
        <v>12</v>
      </c>
      <c r="Z16" s="41"/>
      <c r="AA16" s="42"/>
      <c r="AB16" s="28" t="e">
        <f t="shared" si="6"/>
        <v>#DIV/0!</v>
      </c>
      <c r="AC16" s="39"/>
      <c r="AD16" s="40"/>
      <c r="AE16" s="30" t="e">
        <f t="shared" si="7"/>
        <v>#DIV/0!</v>
      </c>
    </row>
    <row r="17" spans="1:31" ht="15">
      <c r="A17" s="72">
        <v>13</v>
      </c>
      <c r="B17" s="60" t="str">
        <f>IF('1A-B'!B15&lt;&gt;0,'1A-B'!B15,"")</f>
        <v/>
      </c>
      <c r="C17" s="61" t="str">
        <f>IF('1A-B'!C15&lt;&gt;0,'1A-B'!C15,"")</f>
        <v/>
      </c>
      <c r="D17" s="62" t="str">
        <f>IF('1A-B'!D15&lt;&gt;0,'1A-B'!D15,"")</f>
        <v/>
      </c>
      <c r="E17" s="43"/>
      <c r="F17" s="42"/>
      <c r="G17" s="28" t="e">
        <f t="shared" si="0"/>
        <v>#DIV/0!</v>
      </c>
      <c r="H17" s="39"/>
      <c r="I17" s="40"/>
      <c r="J17" s="29" t="e">
        <f t="shared" si="1"/>
        <v>#DIV/0!</v>
      </c>
      <c r="K17" s="87">
        <f>Tabela273681012[[#This Row],[Nº]]</f>
        <v>13</v>
      </c>
      <c r="L17" s="41"/>
      <c r="M17" s="42"/>
      <c r="N17" s="28" t="e">
        <f t="shared" si="2"/>
        <v>#DIV/0!</v>
      </c>
      <c r="O17" s="39"/>
      <c r="P17" s="40"/>
      <c r="Q17" s="29" t="e">
        <f t="shared" si="3"/>
        <v>#DIV/0!</v>
      </c>
      <c r="R17" s="87">
        <f>Tabela273681012[[#This Row],[Nº]]</f>
        <v>13</v>
      </c>
      <c r="S17" s="41"/>
      <c r="T17" s="42"/>
      <c r="U17" s="28" t="e">
        <f t="shared" si="4"/>
        <v>#DIV/0!</v>
      </c>
      <c r="V17" s="39"/>
      <c r="W17" s="40"/>
      <c r="X17" s="29" t="e">
        <f t="shared" si="5"/>
        <v>#DIV/0!</v>
      </c>
      <c r="Y17" s="87">
        <f>Tabela273681012[[#This Row],[Nº]]</f>
        <v>13</v>
      </c>
      <c r="Z17" s="41"/>
      <c r="AA17" s="42"/>
      <c r="AB17" s="28" t="e">
        <f t="shared" si="6"/>
        <v>#DIV/0!</v>
      </c>
      <c r="AC17" s="39"/>
      <c r="AD17" s="40"/>
      <c r="AE17" s="30" t="e">
        <f t="shared" si="7"/>
        <v>#DIV/0!</v>
      </c>
    </row>
    <row r="18" spans="1:31" ht="15">
      <c r="A18" s="72">
        <v>14</v>
      </c>
      <c r="B18" s="60" t="str">
        <f>IF('1A-B'!B16&lt;&gt;0,'1A-B'!B16,"")</f>
        <v/>
      </c>
      <c r="C18" s="61" t="str">
        <f>IF('1A-B'!C16&lt;&gt;0,'1A-B'!C16,"")</f>
        <v/>
      </c>
      <c r="D18" s="62" t="str">
        <f>IF('1A-B'!D16&lt;&gt;0,'1A-B'!D16,"")</f>
        <v/>
      </c>
      <c r="E18" s="43"/>
      <c r="F18" s="42"/>
      <c r="G18" s="28" t="e">
        <f t="shared" si="0"/>
        <v>#DIV/0!</v>
      </c>
      <c r="H18" s="39"/>
      <c r="I18" s="40"/>
      <c r="J18" s="29" t="e">
        <f t="shared" si="1"/>
        <v>#DIV/0!</v>
      </c>
      <c r="K18" s="87">
        <f>Tabela273681012[[#This Row],[Nº]]</f>
        <v>14</v>
      </c>
      <c r="L18" s="41"/>
      <c r="M18" s="42"/>
      <c r="N18" s="28" t="e">
        <f t="shared" si="2"/>
        <v>#DIV/0!</v>
      </c>
      <c r="O18" s="39"/>
      <c r="P18" s="40"/>
      <c r="Q18" s="29" t="e">
        <f t="shared" si="3"/>
        <v>#DIV/0!</v>
      </c>
      <c r="R18" s="87">
        <f>Tabela273681012[[#This Row],[Nº]]</f>
        <v>14</v>
      </c>
      <c r="S18" s="41"/>
      <c r="T18" s="42"/>
      <c r="U18" s="28" t="e">
        <f t="shared" si="4"/>
        <v>#DIV/0!</v>
      </c>
      <c r="V18" s="39"/>
      <c r="W18" s="40"/>
      <c r="X18" s="29" t="e">
        <f t="shared" si="5"/>
        <v>#DIV/0!</v>
      </c>
      <c r="Y18" s="87">
        <f>Tabela273681012[[#This Row],[Nº]]</f>
        <v>14</v>
      </c>
      <c r="Z18" s="41"/>
      <c r="AA18" s="42"/>
      <c r="AB18" s="28" t="e">
        <f t="shared" si="6"/>
        <v>#DIV/0!</v>
      </c>
      <c r="AC18" s="39"/>
      <c r="AD18" s="40"/>
      <c r="AE18" s="30" t="e">
        <f t="shared" si="7"/>
        <v>#DIV/0!</v>
      </c>
    </row>
    <row r="19" spans="1:31" ht="15">
      <c r="A19" s="72">
        <v>15</v>
      </c>
      <c r="B19" s="60" t="str">
        <f>IF('1A-B'!B17&lt;&gt;0,'1A-B'!B17,"")</f>
        <v/>
      </c>
      <c r="C19" s="61" t="str">
        <f>IF('1A-B'!C17&lt;&gt;0,'1A-B'!C17,"")</f>
        <v/>
      </c>
      <c r="D19" s="62" t="str">
        <f>IF('1A-B'!D17&lt;&gt;0,'1A-B'!D17,"")</f>
        <v/>
      </c>
      <c r="E19" s="43"/>
      <c r="F19" s="42"/>
      <c r="G19" s="28" t="e">
        <f t="shared" si="0"/>
        <v>#DIV/0!</v>
      </c>
      <c r="H19" s="39"/>
      <c r="I19" s="40"/>
      <c r="J19" s="29" t="e">
        <f t="shared" si="1"/>
        <v>#DIV/0!</v>
      </c>
      <c r="K19" s="87">
        <f>Tabela273681012[[#This Row],[Nº]]</f>
        <v>15</v>
      </c>
      <c r="L19" s="41"/>
      <c r="M19" s="42"/>
      <c r="N19" s="28" t="e">
        <f t="shared" si="2"/>
        <v>#DIV/0!</v>
      </c>
      <c r="O19" s="39"/>
      <c r="P19" s="40"/>
      <c r="Q19" s="29" t="e">
        <f t="shared" si="3"/>
        <v>#DIV/0!</v>
      </c>
      <c r="R19" s="87">
        <f>Tabela273681012[[#This Row],[Nº]]</f>
        <v>15</v>
      </c>
      <c r="S19" s="41"/>
      <c r="T19" s="42"/>
      <c r="U19" s="28" t="e">
        <f t="shared" si="4"/>
        <v>#DIV/0!</v>
      </c>
      <c r="V19" s="39"/>
      <c r="W19" s="40"/>
      <c r="X19" s="29" t="e">
        <f t="shared" si="5"/>
        <v>#DIV/0!</v>
      </c>
      <c r="Y19" s="87">
        <f>Tabela273681012[[#This Row],[Nº]]</f>
        <v>15</v>
      </c>
      <c r="Z19" s="41"/>
      <c r="AA19" s="42"/>
      <c r="AB19" s="28" t="e">
        <f t="shared" si="6"/>
        <v>#DIV/0!</v>
      </c>
      <c r="AC19" s="39"/>
      <c r="AD19" s="40"/>
      <c r="AE19" s="30" t="e">
        <f t="shared" si="7"/>
        <v>#DIV/0!</v>
      </c>
    </row>
    <row r="20" spans="1:31" ht="15">
      <c r="A20" s="72">
        <v>16</v>
      </c>
      <c r="B20" s="60" t="str">
        <f>IF('1A-B'!B18&lt;&gt;0,'1A-B'!B18,"")</f>
        <v/>
      </c>
      <c r="C20" s="61" t="str">
        <f>IF('1A-B'!C18&lt;&gt;0,'1A-B'!C18,"")</f>
        <v/>
      </c>
      <c r="D20" s="62" t="str">
        <f>IF('1A-B'!D18&lt;&gt;0,'1A-B'!D18,"")</f>
        <v/>
      </c>
      <c r="E20" s="43"/>
      <c r="F20" s="42"/>
      <c r="G20" s="28" t="e">
        <f t="shared" si="0"/>
        <v>#DIV/0!</v>
      </c>
      <c r="H20" s="39"/>
      <c r="I20" s="40"/>
      <c r="J20" s="29" t="e">
        <f t="shared" si="1"/>
        <v>#DIV/0!</v>
      </c>
      <c r="K20" s="87">
        <f>Tabela273681012[[#This Row],[Nº]]</f>
        <v>16</v>
      </c>
      <c r="L20" s="41"/>
      <c r="M20" s="42"/>
      <c r="N20" s="28" t="e">
        <f t="shared" si="2"/>
        <v>#DIV/0!</v>
      </c>
      <c r="O20" s="39"/>
      <c r="P20" s="40"/>
      <c r="Q20" s="29" t="e">
        <f t="shared" si="3"/>
        <v>#DIV/0!</v>
      </c>
      <c r="R20" s="87">
        <f>Tabela273681012[[#This Row],[Nº]]</f>
        <v>16</v>
      </c>
      <c r="S20" s="41"/>
      <c r="T20" s="42"/>
      <c r="U20" s="28" t="e">
        <f t="shared" si="4"/>
        <v>#DIV/0!</v>
      </c>
      <c r="V20" s="39"/>
      <c r="W20" s="40"/>
      <c r="X20" s="29" t="e">
        <f t="shared" si="5"/>
        <v>#DIV/0!</v>
      </c>
      <c r="Y20" s="87">
        <f>Tabela273681012[[#This Row],[Nº]]</f>
        <v>16</v>
      </c>
      <c r="Z20" s="41"/>
      <c r="AA20" s="42"/>
      <c r="AB20" s="28" t="e">
        <f t="shared" si="6"/>
        <v>#DIV/0!</v>
      </c>
      <c r="AC20" s="39"/>
      <c r="AD20" s="40"/>
      <c r="AE20" s="30" t="e">
        <f t="shared" si="7"/>
        <v>#DIV/0!</v>
      </c>
    </row>
    <row r="21" spans="1:31" ht="15">
      <c r="A21" s="72">
        <v>17</v>
      </c>
      <c r="B21" s="60" t="str">
        <f>IF('1A-B'!B19&lt;&gt;0,'1A-B'!B19,"")</f>
        <v/>
      </c>
      <c r="C21" s="61" t="str">
        <f>IF('1A-B'!C19&lt;&gt;0,'1A-B'!C19,"")</f>
        <v/>
      </c>
      <c r="D21" s="62" t="str">
        <f>IF('1A-B'!D19&lt;&gt;0,'1A-B'!D19,"")</f>
        <v/>
      </c>
      <c r="E21" s="43"/>
      <c r="F21" s="42"/>
      <c r="G21" s="28" t="e">
        <f t="shared" si="0"/>
        <v>#DIV/0!</v>
      </c>
      <c r="H21" s="39"/>
      <c r="I21" s="40"/>
      <c r="J21" s="29" t="e">
        <f t="shared" si="1"/>
        <v>#DIV/0!</v>
      </c>
      <c r="K21" s="87">
        <f>Tabela273681012[[#This Row],[Nº]]</f>
        <v>17</v>
      </c>
      <c r="L21" s="41"/>
      <c r="M21" s="42"/>
      <c r="N21" s="28" t="e">
        <f t="shared" si="2"/>
        <v>#DIV/0!</v>
      </c>
      <c r="O21" s="39"/>
      <c r="P21" s="40"/>
      <c r="Q21" s="29" t="e">
        <f t="shared" si="3"/>
        <v>#DIV/0!</v>
      </c>
      <c r="R21" s="87">
        <f>Tabela273681012[[#This Row],[Nº]]</f>
        <v>17</v>
      </c>
      <c r="S21" s="41"/>
      <c r="T21" s="42"/>
      <c r="U21" s="28" t="e">
        <f t="shared" si="4"/>
        <v>#DIV/0!</v>
      </c>
      <c r="V21" s="39"/>
      <c r="W21" s="40"/>
      <c r="X21" s="29" t="e">
        <f t="shared" si="5"/>
        <v>#DIV/0!</v>
      </c>
      <c r="Y21" s="87">
        <f>Tabela273681012[[#This Row],[Nº]]</f>
        <v>17</v>
      </c>
      <c r="Z21" s="41"/>
      <c r="AA21" s="42"/>
      <c r="AB21" s="28" t="e">
        <f t="shared" si="6"/>
        <v>#DIV/0!</v>
      </c>
      <c r="AC21" s="39"/>
      <c r="AD21" s="40"/>
      <c r="AE21" s="30" t="e">
        <f t="shared" si="7"/>
        <v>#DIV/0!</v>
      </c>
    </row>
    <row r="22" spans="1:31" ht="15">
      <c r="A22" s="72">
        <v>18</v>
      </c>
      <c r="B22" s="60" t="str">
        <f>IF('1A-B'!B20&lt;&gt;0,'1A-B'!B20,"")</f>
        <v/>
      </c>
      <c r="C22" s="61" t="str">
        <f>IF('1A-B'!C20&lt;&gt;0,'1A-B'!C20,"")</f>
        <v/>
      </c>
      <c r="D22" s="62" t="str">
        <f>IF('1A-B'!D20&lt;&gt;0,'1A-B'!D20,"")</f>
        <v/>
      </c>
      <c r="E22" s="43"/>
      <c r="F22" s="42"/>
      <c r="G22" s="28" t="e">
        <f t="shared" si="0"/>
        <v>#DIV/0!</v>
      </c>
      <c r="H22" s="39"/>
      <c r="I22" s="40"/>
      <c r="J22" s="29" t="e">
        <f t="shared" si="1"/>
        <v>#DIV/0!</v>
      </c>
      <c r="K22" s="87">
        <f>Tabela273681012[[#This Row],[Nº]]</f>
        <v>18</v>
      </c>
      <c r="L22" s="41"/>
      <c r="M22" s="42"/>
      <c r="N22" s="28" t="e">
        <f t="shared" si="2"/>
        <v>#DIV/0!</v>
      </c>
      <c r="O22" s="39"/>
      <c r="P22" s="40"/>
      <c r="Q22" s="29" t="e">
        <f t="shared" si="3"/>
        <v>#DIV/0!</v>
      </c>
      <c r="R22" s="87">
        <f>Tabela273681012[[#This Row],[Nº]]</f>
        <v>18</v>
      </c>
      <c r="S22" s="41"/>
      <c r="T22" s="42"/>
      <c r="U22" s="28" t="e">
        <f t="shared" si="4"/>
        <v>#DIV/0!</v>
      </c>
      <c r="V22" s="39"/>
      <c r="W22" s="40"/>
      <c r="X22" s="29" t="e">
        <f t="shared" si="5"/>
        <v>#DIV/0!</v>
      </c>
      <c r="Y22" s="87">
        <f>Tabela273681012[[#This Row],[Nº]]</f>
        <v>18</v>
      </c>
      <c r="Z22" s="41"/>
      <c r="AA22" s="42"/>
      <c r="AB22" s="28" t="e">
        <f t="shared" si="6"/>
        <v>#DIV/0!</v>
      </c>
      <c r="AC22" s="39"/>
      <c r="AD22" s="40"/>
      <c r="AE22" s="30" t="e">
        <f t="shared" si="7"/>
        <v>#DIV/0!</v>
      </c>
    </row>
    <row r="23" spans="1:31" ht="15">
      <c r="A23" s="72">
        <v>19</v>
      </c>
      <c r="B23" s="60" t="str">
        <f>IF('1A-B'!B21&lt;&gt;0,'1A-B'!B21,"")</f>
        <v/>
      </c>
      <c r="C23" s="61" t="str">
        <f>IF('1A-B'!C21&lt;&gt;0,'1A-B'!C21,"")</f>
        <v/>
      </c>
      <c r="D23" s="62" t="str">
        <f>IF('1A-B'!D21&lt;&gt;0,'1A-B'!D21,"")</f>
        <v/>
      </c>
      <c r="E23" s="43"/>
      <c r="F23" s="42"/>
      <c r="G23" s="28" t="e">
        <f t="shared" si="0"/>
        <v>#DIV/0!</v>
      </c>
      <c r="H23" s="39"/>
      <c r="I23" s="40"/>
      <c r="J23" s="29" t="e">
        <f t="shared" si="1"/>
        <v>#DIV/0!</v>
      </c>
      <c r="K23" s="87">
        <f>Tabela273681012[[#This Row],[Nº]]</f>
        <v>19</v>
      </c>
      <c r="L23" s="41"/>
      <c r="M23" s="42"/>
      <c r="N23" s="28" t="e">
        <f t="shared" si="2"/>
        <v>#DIV/0!</v>
      </c>
      <c r="O23" s="39"/>
      <c r="P23" s="40"/>
      <c r="Q23" s="29" t="e">
        <f t="shared" si="3"/>
        <v>#DIV/0!</v>
      </c>
      <c r="R23" s="87">
        <f>Tabela273681012[[#This Row],[Nº]]</f>
        <v>19</v>
      </c>
      <c r="S23" s="41"/>
      <c r="T23" s="42"/>
      <c r="U23" s="28" t="e">
        <f t="shared" si="4"/>
        <v>#DIV/0!</v>
      </c>
      <c r="V23" s="39"/>
      <c r="W23" s="40"/>
      <c r="X23" s="29" t="e">
        <f t="shared" si="5"/>
        <v>#DIV/0!</v>
      </c>
      <c r="Y23" s="87">
        <f>Tabela273681012[[#This Row],[Nº]]</f>
        <v>19</v>
      </c>
      <c r="Z23" s="41"/>
      <c r="AA23" s="42"/>
      <c r="AB23" s="28" t="e">
        <f t="shared" si="6"/>
        <v>#DIV/0!</v>
      </c>
      <c r="AC23" s="39"/>
      <c r="AD23" s="40"/>
      <c r="AE23" s="30" t="e">
        <f t="shared" si="7"/>
        <v>#DIV/0!</v>
      </c>
    </row>
    <row r="24" spans="1:31" ht="15">
      <c r="A24" s="72">
        <v>20</v>
      </c>
      <c r="B24" s="60" t="str">
        <f>IF('1A-B'!B22&lt;&gt;0,'1A-B'!B22,"")</f>
        <v/>
      </c>
      <c r="C24" s="61" t="str">
        <f>IF('1A-B'!C22&lt;&gt;0,'1A-B'!C22,"")</f>
        <v/>
      </c>
      <c r="D24" s="62" t="str">
        <f>IF('1A-B'!D22&lt;&gt;0,'1A-B'!D22,"")</f>
        <v/>
      </c>
      <c r="E24" s="43"/>
      <c r="F24" s="42"/>
      <c r="G24" s="28" t="e">
        <f t="shared" si="0"/>
        <v>#DIV/0!</v>
      </c>
      <c r="H24" s="39"/>
      <c r="I24" s="40"/>
      <c r="J24" s="29" t="e">
        <f t="shared" si="1"/>
        <v>#DIV/0!</v>
      </c>
      <c r="K24" s="87">
        <f>Tabela273681012[[#This Row],[Nº]]</f>
        <v>20</v>
      </c>
      <c r="L24" s="41"/>
      <c r="M24" s="42"/>
      <c r="N24" s="28" t="e">
        <f t="shared" si="2"/>
        <v>#DIV/0!</v>
      </c>
      <c r="O24" s="39"/>
      <c r="P24" s="40"/>
      <c r="Q24" s="29" t="e">
        <f t="shared" si="3"/>
        <v>#DIV/0!</v>
      </c>
      <c r="R24" s="87">
        <f>Tabela273681012[[#This Row],[Nº]]</f>
        <v>20</v>
      </c>
      <c r="S24" s="41"/>
      <c r="T24" s="42"/>
      <c r="U24" s="28" t="e">
        <f t="shared" si="4"/>
        <v>#DIV/0!</v>
      </c>
      <c r="V24" s="39"/>
      <c r="W24" s="40"/>
      <c r="X24" s="29" t="e">
        <f t="shared" si="5"/>
        <v>#DIV/0!</v>
      </c>
      <c r="Y24" s="87">
        <f>Tabela273681012[[#This Row],[Nº]]</f>
        <v>20</v>
      </c>
      <c r="Z24" s="41"/>
      <c r="AA24" s="42"/>
      <c r="AB24" s="28" t="e">
        <f t="shared" si="6"/>
        <v>#DIV/0!</v>
      </c>
      <c r="AC24" s="39"/>
      <c r="AD24" s="40"/>
      <c r="AE24" s="30" t="e">
        <f t="shared" si="7"/>
        <v>#DIV/0!</v>
      </c>
    </row>
    <row r="25" spans="1:31" ht="15">
      <c r="A25" s="72">
        <v>21</v>
      </c>
      <c r="B25" s="60" t="str">
        <f>IF('1A-B'!B23&lt;&gt;0,'1A-B'!B23,"")</f>
        <v/>
      </c>
      <c r="C25" s="61" t="str">
        <f>IF('1A-B'!C23&lt;&gt;0,'1A-B'!C23,"")</f>
        <v/>
      </c>
      <c r="D25" s="62" t="str">
        <f>IF('1A-B'!D23&lt;&gt;0,'1A-B'!D23,"")</f>
        <v/>
      </c>
      <c r="E25" s="43"/>
      <c r="F25" s="42"/>
      <c r="G25" s="28" t="e">
        <f t="shared" si="0"/>
        <v>#DIV/0!</v>
      </c>
      <c r="H25" s="39"/>
      <c r="I25" s="40"/>
      <c r="J25" s="29" t="e">
        <f t="shared" si="1"/>
        <v>#DIV/0!</v>
      </c>
      <c r="K25" s="87">
        <f>Tabela273681012[[#This Row],[Nº]]</f>
        <v>21</v>
      </c>
      <c r="L25" s="41"/>
      <c r="M25" s="42"/>
      <c r="N25" s="28" t="e">
        <f t="shared" si="2"/>
        <v>#DIV/0!</v>
      </c>
      <c r="O25" s="39"/>
      <c r="P25" s="40"/>
      <c r="Q25" s="29" t="e">
        <f t="shared" si="3"/>
        <v>#DIV/0!</v>
      </c>
      <c r="R25" s="87">
        <f>Tabela273681012[[#This Row],[Nº]]</f>
        <v>21</v>
      </c>
      <c r="S25" s="41"/>
      <c r="T25" s="42"/>
      <c r="U25" s="28" t="e">
        <f t="shared" si="4"/>
        <v>#DIV/0!</v>
      </c>
      <c r="V25" s="39"/>
      <c r="W25" s="40"/>
      <c r="X25" s="29" t="e">
        <f t="shared" si="5"/>
        <v>#DIV/0!</v>
      </c>
      <c r="Y25" s="87">
        <f>Tabela273681012[[#This Row],[Nº]]</f>
        <v>21</v>
      </c>
      <c r="Z25" s="41"/>
      <c r="AA25" s="42"/>
      <c r="AB25" s="28" t="e">
        <f t="shared" si="6"/>
        <v>#DIV/0!</v>
      </c>
      <c r="AC25" s="39"/>
      <c r="AD25" s="40"/>
      <c r="AE25" s="30" t="e">
        <f t="shared" si="7"/>
        <v>#DIV/0!</v>
      </c>
    </row>
    <row r="26" spans="1:31" ht="15">
      <c r="A26" s="72">
        <v>22</v>
      </c>
      <c r="B26" s="60" t="str">
        <f>IF('1A-B'!B24&lt;&gt;0,'1A-B'!B24,"")</f>
        <v/>
      </c>
      <c r="C26" s="61" t="str">
        <f>IF('1A-B'!C24&lt;&gt;0,'1A-B'!C24,"")</f>
        <v/>
      </c>
      <c r="D26" s="62" t="str">
        <f>IF('1A-B'!D24&lt;&gt;0,'1A-B'!D24,"")</f>
        <v/>
      </c>
      <c r="E26" s="43"/>
      <c r="F26" s="42"/>
      <c r="G26" s="28" t="e">
        <f t="shared" si="0"/>
        <v>#DIV/0!</v>
      </c>
      <c r="H26" s="39"/>
      <c r="I26" s="40"/>
      <c r="J26" s="29" t="e">
        <f t="shared" si="1"/>
        <v>#DIV/0!</v>
      </c>
      <c r="K26" s="87">
        <f>Tabela273681012[[#This Row],[Nº]]</f>
        <v>22</v>
      </c>
      <c r="L26" s="41"/>
      <c r="M26" s="42"/>
      <c r="N26" s="28" t="e">
        <f t="shared" si="2"/>
        <v>#DIV/0!</v>
      </c>
      <c r="O26" s="39"/>
      <c r="P26" s="40"/>
      <c r="Q26" s="29" t="e">
        <f t="shared" si="3"/>
        <v>#DIV/0!</v>
      </c>
      <c r="R26" s="87">
        <f>Tabela273681012[[#This Row],[Nº]]</f>
        <v>22</v>
      </c>
      <c r="S26" s="41"/>
      <c r="T26" s="42"/>
      <c r="U26" s="28" t="e">
        <f t="shared" si="4"/>
        <v>#DIV/0!</v>
      </c>
      <c r="V26" s="39"/>
      <c r="W26" s="40"/>
      <c r="X26" s="29" t="e">
        <f t="shared" si="5"/>
        <v>#DIV/0!</v>
      </c>
      <c r="Y26" s="87">
        <f>Tabela273681012[[#This Row],[Nº]]</f>
        <v>22</v>
      </c>
      <c r="Z26" s="41"/>
      <c r="AA26" s="42"/>
      <c r="AB26" s="28" t="e">
        <f t="shared" si="6"/>
        <v>#DIV/0!</v>
      </c>
      <c r="AC26" s="39"/>
      <c r="AD26" s="40"/>
      <c r="AE26" s="30" t="e">
        <f t="shared" si="7"/>
        <v>#DIV/0!</v>
      </c>
    </row>
    <row r="27" spans="1:31" ht="15">
      <c r="A27" s="72">
        <v>23</v>
      </c>
      <c r="B27" s="60" t="str">
        <f>IF('1A-B'!B25&lt;&gt;0,'1A-B'!B25,"")</f>
        <v/>
      </c>
      <c r="C27" s="61" t="str">
        <f>IF('1A-B'!C25&lt;&gt;0,'1A-B'!C25,"")</f>
        <v/>
      </c>
      <c r="D27" s="62" t="str">
        <f>IF('1A-B'!D25&lt;&gt;0,'1A-B'!D25,"")</f>
        <v/>
      </c>
      <c r="E27" s="43"/>
      <c r="F27" s="42"/>
      <c r="G27" s="28" t="e">
        <f t="shared" si="0"/>
        <v>#DIV/0!</v>
      </c>
      <c r="H27" s="39"/>
      <c r="I27" s="40"/>
      <c r="J27" s="29" t="e">
        <f t="shared" si="1"/>
        <v>#DIV/0!</v>
      </c>
      <c r="K27" s="87">
        <f>Tabela273681012[[#This Row],[Nº]]</f>
        <v>23</v>
      </c>
      <c r="L27" s="41"/>
      <c r="M27" s="42"/>
      <c r="N27" s="28" t="e">
        <f t="shared" si="2"/>
        <v>#DIV/0!</v>
      </c>
      <c r="O27" s="39"/>
      <c r="P27" s="40"/>
      <c r="Q27" s="29" t="e">
        <f t="shared" si="3"/>
        <v>#DIV/0!</v>
      </c>
      <c r="R27" s="87">
        <f>Tabela273681012[[#This Row],[Nº]]</f>
        <v>23</v>
      </c>
      <c r="S27" s="41"/>
      <c r="T27" s="42"/>
      <c r="U27" s="28" t="e">
        <f t="shared" si="4"/>
        <v>#DIV/0!</v>
      </c>
      <c r="V27" s="39"/>
      <c r="W27" s="40"/>
      <c r="X27" s="29" t="e">
        <f t="shared" si="5"/>
        <v>#DIV/0!</v>
      </c>
      <c r="Y27" s="87">
        <f>Tabela273681012[[#This Row],[Nº]]</f>
        <v>23</v>
      </c>
      <c r="Z27" s="41"/>
      <c r="AA27" s="42"/>
      <c r="AB27" s="28" t="e">
        <f t="shared" si="6"/>
        <v>#DIV/0!</v>
      </c>
      <c r="AC27" s="39"/>
      <c r="AD27" s="40"/>
      <c r="AE27" s="30" t="e">
        <f t="shared" si="7"/>
        <v>#DIV/0!</v>
      </c>
    </row>
    <row r="28" spans="1:31" ht="15">
      <c r="A28" s="72">
        <v>24</v>
      </c>
      <c r="B28" s="60" t="str">
        <f>IF('1A-B'!B26&lt;&gt;0,'1A-B'!B26,"")</f>
        <v/>
      </c>
      <c r="C28" s="61" t="str">
        <f>IF('1A-B'!C26&lt;&gt;0,'1A-B'!C26,"")</f>
        <v/>
      </c>
      <c r="D28" s="62" t="str">
        <f>IF('1A-B'!D26&lt;&gt;0,'1A-B'!D26,"")</f>
        <v/>
      </c>
      <c r="E28" s="43"/>
      <c r="F28" s="42"/>
      <c r="G28" s="28" t="e">
        <f t="shared" si="0"/>
        <v>#DIV/0!</v>
      </c>
      <c r="H28" s="39"/>
      <c r="I28" s="40"/>
      <c r="J28" s="29" t="e">
        <f t="shared" si="1"/>
        <v>#DIV/0!</v>
      </c>
      <c r="K28" s="87">
        <f>Tabela273681012[[#This Row],[Nº]]</f>
        <v>24</v>
      </c>
      <c r="L28" s="41"/>
      <c r="M28" s="42"/>
      <c r="N28" s="28" t="e">
        <f t="shared" si="2"/>
        <v>#DIV/0!</v>
      </c>
      <c r="O28" s="39"/>
      <c r="P28" s="40"/>
      <c r="Q28" s="29" t="e">
        <f t="shared" si="3"/>
        <v>#DIV/0!</v>
      </c>
      <c r="R28" s="87">
        <f>Tabela273681012[[#This Row],[Nº]]</f>
        <v>24</v>
      </c>
      <c r="S28" s="41"/>
      <c r="T28" s="42"/>
      <c r="U28" s="28" t="e">
        <f t="shared" si="4"/>
        <v>#DIV/0!</v>
      </c>
      <c r="V28" s="39"/>
      <c r="W28" s="40"/>
      <c r="X28" s="29" t="e">
        <f t="shared" si="5"/>
        <v>#DIV/0!</v>
      </c>
      <c r="Y28" s="87">
        <f>Tabela273681012[[#This Row],[Nº]]</f>
        <v>24</v>
      </c>
      <c r="Z28" s="41"/>
      <c r="AA28" s="42"/>
      <c r="AB28" s="28" t="e">
        <f t="shared" si="6"/>
        <v>#DIV/0!</v>
      </c>
      <c r="AC28" s="39"/>
      <c r="AD28" s="40"/>
      <c r="AE28" s="30" t="e">
        <f t="shared" si="7"/>
        <v>#DIV/0!</v>
      </c>
    </row>
    <row r="29" spans="1:31" ht="15">
      <c r="A29" s="72">
        <v>25</v>
      </c>
      <c r="B29" s="60" t="str">
        <f>IF('1A-B'!B27&lt;&gt;0,'1A-B'!B27,"")</f>
        <v/>
      </c>
      <c r="C29" s="61" t="str">
        <f>IF('1A-B'!C27&lt;&gt;0,'1A-B'!C27,"")</f>
        <v/>
      </c>
      <c r="D29" s="62" t="str">
        <f>IF('1A-B'!D27&lt;&gt;0,'1A-B'!D27,"")</f>
        <v/>
      </c>
      <c r="E29" s="43"/>
      <c r="F29" s="42"/>
      <c r="G29" s="28" t="e">
        <f t="shared" si="0"/>
        <v>#DIV/0!</v>
      </c>
      <c r="H29" s="39"/>
      <c r="I29" s="40"/>
      <c r="J29" s="29" t="e">
        <f t="shared" si="1"/>
        <v>#DIV/0!</v>
      </c>
      <c r="K29" s="87">
        <f>Tabela273681012[[#This Row],[Nº]]</f>
        <v>25</v>
      </c>
      <c r="L29" s="41"/>
      <c r="M29" s="42"/>
      <c r="N29" s="28" t="e">
        <f t="shared" si="2"/>
        <v>#DIV/0!</v>
      </c>
      <c r="O29" s="39"/>
      <c r="P29" s="40"/>
      <c r="Q29" s="29" t="e">
        <f t="shared" si="3"/>
        <v>#DIV/0!</v>
      </c>
      <c r="R29" s="87">
        <f>Tabela273681012[[#This Row],[Nº]]</f>
        <v>25</v>
      </c>
      <c r="S29" s="41"/>
      <c r="T29" s="42"/>
      <c r="U29" s="28" t="e">
        <f t="shared" si="4"/>
        <v>#DIV/0!</v>
      </c>
      <c r="V29" s="39"/>
      <c r="W29" s="40"/>
      <c r="X29" s="29" t="e">
        <f t="shared" si="5"/>
        <v>#DIV/0!</v>
      </c>
      <c r="Y29" s="87">
        <f>Tabela273681012[[#This Row],[Nº]]</f>
        <v>25</v>
      </c>
      <c r="Z29" s="41"/>
      <c r="AA29" s="42"/>
      <c r="AB29" s="28" t="e">
        <f t="shared" si="6"/>
        <v>#DIV/0!</v>
      </c>
      <c r="AC29" s="39"/>
      <c r="AD29" s="40"/>
      <c r="AE29" s="30" t="e">
        <f t="shared" si="7"/>
        <v>#DIV/0!</v>
      </c>
    </row>
  </sheetData>
  <sheetProtection algorithmName="SHA-512" hashValue="YPqP19jBB5ul4LljNpr27abTvx5zpGVpohiFmhosIInbwfy6ySxGBP9z3TZM+NhvT+5FACurjXhW2oW7KmwUfQ==" saltValue="Tgm8/4XSQ+kx0V+L8fgX1w==" spinCount="100000" sheet="1" objects="1" scenarios="1" selectLockedCells="1"/>
  <mergeCells count="12">
    <mergeCell ref="Z3:AB3"/>
    <mergeCell ref="AC3:AE3"/>
    <mergeCell ref="A1:D3"/>
    <mergeCell ref="E1:AE1"/>
    <mergeCell ref="E2:Q2"/>
    <mergeCell ref="S2:AE2"/>
    <mergeCell ref="E3:G3"/>
    <mergeCell ref="H3:J3"/>
    <mergeCell ref="L3:N3"/>
    <mergeCell ref="O3:Q3"/>
    <mergeCell ref="S3:U3"/>
    <mergeCell ref="V3:X3"/>
  </mergeCells>
  <conditionalFormatting sqref="A5:D29">
    <cfRule type="expression" dxfId="207" priority="11">
      <formula>ROW()=CELL("LIN")</formula>
    </cfRule>
    <cfRule type="expression" dxfId="206" priority="12">
      <formula>IF($D5&lt;&gt;"",1,0)</formula>
    </cfRule>
  </conditionalFormatting>
  <conditionalFormatting sqref="G5:G29">
    <cfRule type="iconSet" priority="8">
      <iconSet iconSet="3Symbols">
        <cfvo type="percent" val="0"/>
        <cfvo type="num" val="0.75"/>
        <cfvo type="num" val="0.8"/>
      </iconSet>
    </cfRule>
  </conditionalFormatting>
  <conditionalFormatting sqref="J5:J29">
    <cfRule type="iconSet" priority="7">
      <iconSet iconSet="3Symbols">
        <cfvo type="percent" val="0"/>
        <cfvo type="num" val="0.75"/>
        <cfvo type="num" val="0.8"/>
      </iconSet>
    </cfRule>
  </conditionalFormatting>
  <conditionalFormatting sqref="N5:N29">
    <cfRule type="iconSet" priority="6">
      <iconSet iconSet="3Symbols">
        <cfvo type="percent" val="0"/>
        <cfvo type="num" val="0.75"/>
        <cfvo type="num" val="0.8"/>
      </iconSet>
    </cfRule>
  </conditionalFormatting>
  <conditionalFormatting sqref="Q5:Q29">
    <cfRule type="iconSet" priority="5">
      <iconSet iconSet="3Symbols">
        <cfvo type="percent" val="0"/>
        <cfvo type="num" val="0.75"/>
        <cfvo type="num" val="0.8"/>
      </iconSet>
    </cfRule>
  </conditionalFormatting>
  <conditionalFormatting sqref="U5:U29">
    <cfRule type="iconSet" priority="4">
      <iconSet iconSet="3Symbols">
        <cfvo type="percent" val="0"/>
        <cfvo type="num" val="0.75"/>
        <cfvo type="num" val="0.8"/>
      </iconSet>
    </cfRule>
  </conditionalFormatting>
  <conditionalFormatting sqref="X5:X29">
    <cfRule type="iconSet" priority="3">
      <iconSet iconSet="3Symbols">
        <cfvo type="percent" val="0"/>
        <cfvo type="num" val="0.75"/>
        <cfvo type="num" val="0.8"/>
      </iconSet>
    </cfRule>
  </conditionalFormatting>
  <conditionalFormatting sqref="AB5:AB29">
    <cfRule type="iconSet" priority="2">
      <iconSet iconSet="3Symbols">
        <cfvo type="percent" val="0"/>
        <cfvo type="num" val="0.75"/>
        <cfvo type="num" val="0.8"/>
      </iconSet>
    </cfRule>
  </conditionalFormatting>
  <conditionalFormatting sqref="AE5:AE29">
    <cfRule type="iconSet" priority="1">
      <iconSet iconSet="3Symbols">
        <cfvo type="percent" val="0"/>
        <cfvo type="num" val="0.75"/>
        <cfvo type="num" val="0.8"/>
      </iconSet>
    </cfRule>
  </conditionalFormatting>
  <conditionalFormatting sqref="E5:AE29">
    <cfRule type="expression" dxfId="205" priority="9">
      <formula>ROW()=CELL("LIN")</formula>
    </cfRule>
    <cfRule type="expression" dxfId="204" priority="10">
      <formula>IF($D5&lt;&gt;"",1,0)</formula>
    </cfRule>
  </conditionalFormatting>
  <pageMargins left="0.511811024" right="0.511811024" top="0.78740157499999996" bottom="0.78740157499999996" header="0.31496062000000002" footer="0.31496062000000002"/>
  <pageSetup paperSize="9" scale="54" orientation="landscape" r:id="rId1"/>
  <colBreaks count="2" manualBreakCount="2">
    <brk id="10" max="1048575" man="1"/>
    <brk id="24" max="1048575" man="1"/>
  </colBreaks>
  <drawing r:id="rId2"/>
  <tableParts count="1">
    <tablePart r:id="rId3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9E58A9-BE37-4655-838D-0D02D2A885BF}">
  <sheetPr codeName="Plan22">
    <pageSetUpPr fitToPage="1"/>
  </sheetPr>
  <dimension ref="A1:K48"/>
  <sheetViews>
    <sheetView showGridLines="0" showRowColHeaders="0" view="pageBreakPreview" zoomScaleNormal="60" zoomScaleSheetLayoutView="100" zoomScalePageLayoutView="91" workbookViewId="0">
      <selection activeCell="B4" sqref="B4:K4"/>
    </sheetView>
  </sheetViews>
  <sheetFormatPr defaultColWidth="9.140625" defaultRowHeight="15"/>
  <cols>
    <col min="1" max="1" width="19.85546875" style="17" customWidth="1"/>
    <col min="2" max="16384" width="9.140625" style="17"/>
  </cols>
  <sheetData>
    <row r="1" spans="1:11" ht="15.75">
      <c r="A1" s="73" t="s">
        <v>69</v>
      </c>
      <c r="B1" s="92" t="str">
        <f>MENU!C2</f>
        <v>E.M.E.I.E.F. Ficticio</v>
      </c>
      <c r="C1" s="92"/>
      <c r="D1" s="92"/>
      <c r="E1" s="92"/>
      <c r="F1" s="92"/>
      <c r="G1" s="92"/>
      <c r="H1" s="92"/>
      <c r="I1" s="92"/>
      <c r="J1" s="92"/>
      <c r="K1" s="93"/>
    </row>
    <row r="2" spans="1:11" ht="15.75">
      <c r="A2" s="74" t="s">
        <v>71</v>
      </c>
      <c r="B2" s="156" t="s">
        <v>103</v>
      </c>
      <c r="C2" s="95"/>
      <c r="D2" s="95"/>
      <c r="E2" s="95"/>
      <c r="F2" s="95"/>
      <c r="G2" s="95"/>
      <c r="H2" s="95"/>
      <c r="I2" s="95"/>
      <c r="J2" s="95"/>
      <c r="K2" s="96"/>
    </row>
    <row r="3" spans="1:11" ht="15.75">
      <c r="A3" s="74" t="s">
        <v>70</v>
      </c>
      <c r="B3" s="94" t="s">
        <v>21</v>
      </c>
      <c r="C3" s="95"/>
      <c r="D3" s="95"/>
      <c r="E3" s="95"/>
      <c r="F3" s="95"/>
      <c r="G3" s="95"/>
      <c r="H3" s="95"/>
      <c r="I3" s="95"/>
      <c r="J3" s="95"/>
      <c r="K3" s="96"/>
    </row>
    <row r="4" spans="1:11" ht="15.75">
      <c r="A4" s="74" t="s">
        <v>5</v>
      </c>
      <c r="B4" s="94" t="s">
        <v>114</v>
      </c>
      <c r="C4" s="95"/>
      <c r="D4" s="95"/>
      <c r="E4" s="95"/>
      <c r="F4" s="95"/>
      <c r="G4" s="95"/>
      <c r="H4" s="95"/>
      <c r="I4" s="95"/>
      <c r="J4" s="95"/>
      <c r="K4" s="96"/>
    </row>
    <row r="5" spans="1:11" ht="15.75">
      <c r="A5" s="74" t="s">
        <v>73</v>
      </c>
      <c r="B5" s="95"/>
      <c r="C5" s="95"/>
      <c r="D5" s="95"/>
      <c r="E5" s="95"/>
      <c r="F5" s="95"/>
      <c r="G5" s="95"/>
      <c r="H5" s="95"/>
      <c r="I5" s="95"/>
      <c r="J5" s="95"/>
      <c r="K5" s="96"/>
    </row>
    <row r="6" spans="1:11" ht="15.75">
      <c r="A6" s="99" t="s">
        <v>74</v>
      </c>
      <c r="B6" s="100"/>
      <c r="C6" s="100"/>
      <c r="D6" s="95"/>
      <c r="E6" s="95"/>
      <c r="F6" s="95"/>
      <c r="G6" s="95"/>
      <c r="H6" s="95"/>
      <c r="I6" s="95"/>
      <c r="J6" s="95"/>
      <c r="K6" s="96"/>
    </row>
    <row r="7" spans="1:11" ht="16.5" thickBot="1">
      <c r="A7" s="75" t="s">
        <v>72</v>
      </c>
      <c r="B7" s="97">
        <f>MENU!D10</f>
        <v>2022</v>
      </c>
      <c r="C7" s="97"/>
      <c r="D7" s="97"/>
      <c r="E7" s="97"/>
      <c r="F7" s="97"/>
      <c r="G7" s="97"/>
      <c r="H7" s="97"/>
      <c r="I7" s="97"/>
      <c r="J7" s="97"/>
      <c r="K7" s="98"/>
    </row>
    <row r="8" spans="1:11" ht="15.75" thickBot="1"/>
    <row r="9" spans="1:11">
      <c r="A9" s="107" t="s">
        <v>77</v>
      </c>
      <c r="B9" s="108"/>
      <c r="C9" s="108"/>
      <c r="D9" s="108"/>
      <c r="E9" s="108"/>
      <c r="F9" s="108"/>
      <c r="G9" s="108"/>
      <c r="H9" s="108"/>
      <c r="I9" s="108"/>
      <c r="J9" s="108"/>
      <c r="K9" s="109"/>
    </row>
    <row r="10" spans="1:11" ht="15.75" thickBot="1">
      <c r="A10" s="110"/>
      <c r="B10" s="111"/>
      <c r="C10" s="111"/>
      <c r="D10" s="111"/>
      <c r="E10" s="111"/>
      <c r="F10" s="111"/>
      <c r="G10" s="111"/>
      <c r="H10" s="111"/>
      <c r="I10" s="111"/>
      <c r="J10" s="111"/>
      <c r="K10" s="112"/>
    </row>
    <row r="11" spans="1:11" ht="15.75">
      <c r="A11" s="79" t="s">
        <v>9</v>
      </c>
      <c r="B11" s="107" t="s">
        <v>78</v>
      </c>
      <c r="C11" s="108"/>
      <c r="D11" s="108"/>
      <c r="E11" s="109"/>
      <c r="F11" s="107" t="s">
        <v>79</v>
      </c>
      <c r="G11" s="109"/>
      <c r="H11" s="107" t="s">
        <v>80</v>
      </c>
      <c r="I11" s="109"/>
      <c r="J11" s="107" t="s">
        <v>99</v>
      </c>
      <c r="K11" s="109"/>
    </row>
    <row r="12" spans="1:11">
      <c r="A12" s="78">
        <f>IF('2A-A'!A3&lt;&gt;0,'2A-A'!A3,"")</f>
        <v>1</v>
      </c>
      <c r="B12" s="149" t="str">
        <f>IF('2A-A'!B3&lt;&gt;0,'2A-A'!B3,"")</f>
        <v/>
      </c>
      <c r="C12" s="150"/>
      <c r="D12" s="150"/>
      <c r="E12" s="151"/>
      <c r="F12" s="152" t="str">
        <f>IF('2A-A'!G3&lt;&gt;0,'2A-A'!G3,"")</f>
        <v/>
      </c>
      <c r="G12" s="153"/>
      <c r="H12" s="159" t="str">
        <f>IF('2A-A'!C3&lt;&gt;0,'2A-A'!C3,"")</f>
        <v/>
      </c>
      <c r="I12" s="160"/>
      <c r="J12" s="152" t="str">
        <f>IF('2A-A'!D3&lt;&gt;0,'2A-A'!D3,"")</f>
        <v/>
      </c>
      <c r="K12" s="155"/>
    </row>
    <row r="13" spans="1:11">
      <c r="A13" s="78">
        <f>IF('2A-A'!A4&lt;&gt;0,'2A-A'!A4,"")</f>
        <v>2</v>
      </c>
      <c r="B13" s="149" t="str">
        <f>IF('2A-A'!B4&lt;&gt;0,'2A-A'!B4,"")</f>
        <v/>
      </c>
      <c r="C13" s="150"/>
      <c r="D13" s="150"/>
      <c r="E13" s="151"/>
      <c r="F13" s="152" t="str">
        <f>IF('2A-A'!G4&lt;&gt;0,'2A-A'!G4,"")</f>
        <v/>
      </c>
      <c r="G13" s="153"/>
      <c r="H13" s="159" t="str">
        <f>IF('2A-A'!C4&lt;&gt;0,'2A-A'!C4,"")</f>
        <v/>
      </c>
      <c r="I13" s="160"/>
      <c r="J13" s="152" t="str">
        <f>IF('2A-A'!D4&lt;&gt;0,'2A-A'!D4,"")</f>
        <v/>
      </c>
      <c r="K13" s="155"/>
    </row>
    <row r="14" spans="1:11">
      <c r="A14" s="78">
        <f>IF('2A-A'!A5&lt;&gt;0,'2A-A'!A5,"")</f>
        <v>3</v>
      </c>
      <c r="B14" s="149" t="str">
        <f>IF('2A-A'!B5&lt;&gt;0,'2A-A'!B5,"")</f>
        <v/>
      </c>
      <c r="C14" s="150"/>
      <c r="D14" s="150"/>
      <c r="E14" s="151"/>
      <c r="F14" s="152" t="str">
        <f>IF('2A-A'!G5&lt;&gt;0,'2A-A'!G5,"")</f>
        <v/>
      </c>
      <c r="G14" s="153"/>
      <c r="H14" s="159" t="str">
        <f>IF('2A-A'!C5&lt;&gt;0,'2A-A'!C5,"")</f>
        <v/>
      </c>
      <c r="I14" s="160"/>
      <c r="J14" s="152" t="str">
        <f>IF('2A-A'!D5&lt;&gt;0,'2A-A'!D5,"")</f>
        <v/>
      </c>
      <c r="K14" s="155"/>
    </row>
    <row r="15" spans="1:11">
      <c r="A15" s="78">
        <f>IF('2A-A'!A6&lt;&gt;0,'2A-A'!A6,"")</f>
        <v>4</v>
      </c>
      <c r="B15" s="149" t="str">
        <f>IF('2A-A'!B6&lt;&gt;0,'2A-A'!B6,"")</f>
        <v/>
      </c>
      <c r="C15" s="150"/>
      <c r="D15" s="150"/>
      <c r="E15" s="151"/>
      <c r="F15" s="152" t="str">
        <f>IF('2A-A'!G6&lt;&gt;0,'2A-A'!G6,"")</f>
        <v/>
      </c>
      <c r="G15" s="153"/>
      <c r="H15" s="159" t="str">
        <f>IF('2A-A'!C6&lt;&gt;0,'2A-A'!C6,"")</f>
        <v/>
      </c>
      <c r="I15" s="160"/>
      <c r="J15" s="152" t="str">
        <f>IF('2A-A'!D6&lt;&gt;0,'2A-A'!D6,"")</f>
        <v/>
      </c>
      <c r="K15" s="155"/>
    </row>
    <row r="16" spans="1:11">
      <c r="A16" s="78">
        <f>IF('2A-A'!A7&lt;&gt;0,'2A-A'!A7,"")</f>
        <v>5</v>
      </c>
      <c r="B16" s="149" t="str">
        <f>IF('2A-A'!B7&lt;&gt;0,'2A-A'!B7,"")</f>
        <v/>
      </c>
      <c r="C16" s="150"/>
      <c r="D16" s="150"/>
      <c r="E16" s="151"/>
      <c r="F16" s="152" t="str">
        <f>IF('2A-A'!G7&lt;&gt;0,'2A-A'!G7,"")</f>
        <v/>
      </c>
      <c r="G16" s="153"/>
      <c r="H16" s="159" t="str">
        <f>IF('2A-A'!C7&lt;&gt;0,'2A-A'!C7,"")</f>
        <v/>
      </c>
      <c r="I16" s="160"/>
      <c r="J16" s="152" t="str">
        <f>IF('2A-A'!D7&lt;&gt;0,'2A-A'!D7,"")</f>
        <v/>
      </c>
      <c r="K16" s="155"/>
    </row>
    <row r="17" spans="1:11">
      <c r="A17" s="78">
        <f>IF('2A-A'!A8&lt;&gt;0,'2A-A'!A8,"")</f>
        <v>6</v>
      </c>
      <c r="B17" s="149" t="str">
        <f>IF('2A-A'!B8&lt;&gt;0,'2A-A'!B8,"")</f>
        <v/>
      </c>
      <c r="C17" s="150"/>
      <c r="D17" s="150"/>
      <c r="E17" s="151"/>
      <c r="F17" s="152" t="str">
        <f>IF('2A-A'!G8&lt;&gt;0,'2A-A'!G8,"")</f>
        <v/>
      </c>
      <c r="G17" s="153"/>
      <c r="H17" s="159" t="str">
        <f>IF('2A-A'!C8&lt;&gt;0,'2A-A'!C8,"")</f>
        <v/>
      </c>
      <c r="I17" s="160"/>
      <c r="J17" s="152" t="str">
        <f>IF('2A-A'!D8&lt;&gt;0,'2A-A'!D8,"")</f>
        <v/>
      </c>
      <c r="K17" s="155"/>
    </row>
    <row r="18" spans="1:11">
      <c r="A18" s="78">
        <f>IF('2A-A'!A9&lt;&gt;0,'2A-A'!A9,"")</f>
        <v>7</v>
      </c>
      <c r="B18" s="149" t="str">
        <f>IF('2A-A'!B9&lt;&gt;0,'2A-A'!B9,"")</f>
        <v/>
      </c>
      <c r="C18" s="150"/>
      <c r="D18" s="150"/>
      <c r="E18" s="151"/>
      <c r="F18" s="152" t="str">
        <f>IF('2A-A'!G9&lt;&gt;0,'2A-A'!G9,"")</f>
        <v/>
      </c>
      <c r="G18" s="153"/>
      <c r="H18" s="159" t="str">
        <f>IF('2A-A'!C9&lt;&gt;0,'2A-A'!C9,"")</f>
        <v/>
      </c>
      <c r="I18" s="160"/>
      <c r="J18" s="152" t="str">
        <f>IF('2A-A'!D9&lt;&gt;0,'2A-A'!D9,"")</f>
        <v/>
      </c>
      <c r="K18" s="155"/>
    </row>
    <row r="19" spans="1:11">
      <c r="A19" s="78">
        <f>IF('2A-A'!A10&lt;&gt;0,'2A-A'!A10,"")</f>
        <v>8</v>
      </c>
      <c r="B19" s="149" t="str">
        <f>IF('2A-A'!B10&lt;&gt;0,'2A-A'!B10,"")</f>
        <v/>
      </c>
      <c r="C19" s="150"/>
      <c r="D19" s="150"/>
      <c r="E19" s="151"/>
      <c r="F19" s="152" t="str">
        <f>IF('2A-A'!G10&lt;&gt;0,'2A-A'!G10,"")</f>
        <v/>
      </c>
      <c r="G19" s="153"/>
      <c r="H19" s="159" t="str">
        <f>IF('2A-A'!C10&lt;&gt;0,'2A-A'!C10,"")</f>
        <v/>
      </c>
      <c r="I19" s="160"/>
      <c r="J19" s="152" t="str">
        <f>IF('2A-A'!D10&lt;&gt;0,'2A-A'!D10,"")</f>
        <v/>
      </c>
      <c r="K19" s="155"/>
    </row>
    <row r="20" spans="1:11">
      <c r="A20" s="78">
        <f>IF('2A-A'!A11&lt;&gt;0,'2A-A'!A11,"")</f>
        <v>9</v>
      </c>
      <c r="B20" s="149" t="str">
        <f>IF('2A-A'!B11&lt;&gt;0,'2A-A'!B11,"")</f>
        <v/>
      </c>
      <c r="C20" s="150"/>
      <c r="D20" s="150"/>
      <c r="E20" s="151"/>
      <c r="F20" s="152" t="str">
        <f>IF('2A-A'!G11&lt;&gt;0,'2A-A'!G11,"")</f>
        <v/>
      </c>
      <c r="G20" s="153"/>
      <c r="H20" s="159" t="str">
        <f>IF('2A-A'!C11&lt;&gt;0,'2A-A'!C11,"")</f>
        <v/>
      </c>
      <c r="I20" s="160"/>
      <c r="J20" s="152" t="str">
        <f>IF('2A-A'!D11&lt;&gt;0,'2A-A'!D11,"")</f>
        <v/>
      </c>
      <c r="K20" s="155"/>
    </row>
    <row r="21" spans="1:11">
      <c r="A21" s="78">
        <f>IF('2A-A'!A12&lt;&gt;0,'2A-A'!A12,"")</f>
        <v>10</v>
      </c>
      <c r="B21" s="149" t="str">
        <f>IF('2A-A'!B12&lt;&gt;0,'2A-A'!B12,"")</f>
        <v/>
      </c>
      <c r="C21" s="150"/>
      <c r="D21" s="150"/>
      <c r="E21" s="151"/>
      <c r="F21" s="152" t="str">
        <f>IF('2A-A'!G12&lt;&gt;0,'2A-A'!G12,"")</f>
        <v/>
      </c>
      <c r="G21" s="153"/>
      <c r="H21" s="159" t="str">
        <f>IF('2A-A'!C12&lt;&gt;0,'2A-A'!C12,"")</f>
        <v/>
      </c>
      <c r="I21" s="160"/>
      <c r="J21" s="152" t="str">
        <f>IF('2A-A'!D12&lt;&gt;0,'2A-A'!D12,"")</f>
        <v/>
      </c>
      <c r="K21" s="155"/>
    </row>
    <row r="22" spans="1:11">
      <c r="A22" s="78">
        <f>IF('2A-A'!A13&lt;&gt;0,'2A-A'!A13,"")</f>
        <v>11</v>
      </c>
      <c r="B22" s="149" t="str">
        <f>IF('2A-A'!B13&lt;&gt;0,'2A-A'!B13,"")</f>
        <v/>
      </c>
      <c r="C22" s="150"/>
      <c r="D22" s="150"/>
      <c r="E22" s="151"/>
      <c r="F22" s="152" t="str">
        <f>IF('2A-A'!G13&lt;&gt;0,'2A-A'!G13,"")</f>
        <v/>
      </c>
      <c r="G22" s="153"/>
      <c r="H22" s="159" t="str">
        <f>IF('2A-A'!C13&lt;&gt;0,'2A-A'!C13,"")</f>
        <v/>
      </c>
      <c r="I22" s="160"/>
      <c r="J22" s="152" t="str">
        <f>IF('2A-A'!D13&lt;&gt;0,'2A-A'!D13,"")</f>
        <v/>
      </c>
      <c r="K22" s="155"/>
    </row>
    <row r="23" spans="1:11">
      <c r="A23" s="78">
        <f>IF('2A-A'!A14&lt;&gt;0,'2A-A'!A14,"")</f>
        <v>12</v>
      </c>
      <c r="B23" s="149" t="str">
        <f>IF('2A-A'!B14&lt;&gt;0,'2A-A'!B14,"")</f>
        <v/>
      </c>
      <c r="C23" s="150"/>
      <c r="D23" s="150"/>
      <c r="E23" s="151"/>
      <c r="F23" s="152" t="str">
        <f>IF('2A-A'!G14&lt;&gt;0,'2A-A'!G14,"")</f>
        <v/>
      </c>
      <c r="G23" s="153"/>
      <c r="H23" s="159" t="str">
        <f>IF('2A-A'!C14&lt;&gt;0,'2A-A'!C14,"")</f>
        <v/>
      </c>
      <c r="I23" s="160"/>
      <c r="J23" s="152" t="str">
        <f>IF('2A-A'!D14&lt;&gt;0,'2A-A'!D14,"")</f>
        <v/>
      </c>
      <c r="K23" s="155"/>
    </row>
    <row r="24" spans="1:11">
      <c r="A24" s="78">
        <f>IF('2A-A'!A15&lt;&gt;0,'2A-A'!A15,"")</f>
        <v>13</v>
      </c>
      <c r="B24" s="149" t="str">
        <f>IF('2A-A'!B15&lt;&gt;0,'2A-A'!B15,"")</f>
        <v/>
      </c>
      <c r="C24" s="150"/>
      <c r="D24" s="150"/>
      <c r="E24" s="151"/>
      <c r="F24" s="152" t="str">
        <f>IF('2A-A'!G15&lt;&gt;0,'2A-A'!G15,"")</f>
        <v/>
      </c>
      <c r="G24" s="153"/>
      <c r="H24" s="159" t="str">
        <f>IF('2A-A'!C15&lt;&gt;0,'2A-A'!C15,"")</f>
        <v/>
      </c>
      <c r="I24" s="160"/>
      <c r="J24" s="152" t="str">
        <f>IF('2A-A'!D15&lt;&gt;0,'2A-A'!D15,"")</f>
        <v/>
      </c>
      <c r="K24" s="155"/>
    </row>
    <row r="25" spans="1:11">
      <c r="A25" s="78">
        <f>IF('2A-A'!A16&lt;&gt;0,'2A-A'!A16,"")</f>
        <v>14</v>
      </c>
      <c r="B25" s="149" t="str">
        <f>IF('2A-A'!B16&lt;&gt;0,'2A-A'!B16,"")</f>
        <v/>
      </c>
      <c r="C25" s="150"/>
      <c r="D25" s="150"/>
      <c r="E25" s="151"/>
      <c r="F25" s="152" t="str">
        <f>IF('2A-A'!G16&lt;&gt;0,'2A-A'!G16,"")</f>
        <v/>
      </c>
      <c r="G25" s="153"/>
      <c r="H25" s="159" t="str">
        <f>IF('2A-A'!C16&lt;&gt;0,'2A-A'!C16,"")</f>
        <v/>
      </c>
      <c r="I25" s="160"/>
      <c r="J25" s="152" t="str">
        <f>IF('2A-A'!D16&lt;&gt;0,'2A-A'!D16,"")</f>
        <v/>
      </c>
      <c r="K25" s="155"/>
    </row>
    <row r="26" spans="1:11">
      <c r="A26" s="78">
        <f>IF('2A-A'!A17&lt;&gt;0,'2A-A'!A17,"")</f>
        <v>15</v>
      </c>
      <c r="B26" s="149" t="str">
        <f>IF('2A-A'!B17&lt;&gt;0,'2A-A'!B17,"")</f>
        <v/>
      </c>
      <c r="C26" s="150"/>
      <c r="D26" s="150"/>
      <c r="E26" s="151"/>
      <c r="F26" s="152" t="str">
        <f>IF('2A-A'!G17&lt;&gt;0,'2A-A'!G17,"")</f>
        <v/>
      </c>
      <c r="G26" s="153"/>
      <c r="H26" s="159" t="str">
        <f>IF('2A-A'!C17&lt;&gt;0,'2A-A'!C17,"")</f>
        <v/>
      </c>
      <c r="I26" s="160"/>
      <c r="J26" s="152" t="str">
        <f>IF('2A-A'!D17&lt;&gt;0,'2A-A'!D17,"")</f>
        <v/>
      </c>
      <c r="K26" s="155"/>
    </row>
    <row r="27" spans="1:11">
      <c r="A27" s="78">
        <f>IF('2A-A'!A18&lt;&gt;0,'2A-A'!A18,"")</f>
        <v>16</v>
      </c>
      <c r="B27" s="149" t="str">
        <f>IF('2A-A'!B18&lt;&gt;0,'2A-A'!B18,"")</f>
        <v/>
      </c>
      <c r="C27" s="150"/>
      <c r="D27" s="150"/>
      <c r="E27" s="151"/>
      <c r="F27" s="152" t="str">
        <f>IF('2A-A'!G18&lt;&gt;0,'2A-A'!G18,"")</f>
        <v/>
      </c>
      <c r="G27" s="153"/>
      <c r="H27" s="159" t="str">
        <f>IF('2A-A'!C18&lt;&gt;0,'2A-A'!C18,"")</f>
        <v/>
      </c>
      <c r="I27" s="160"/>
      <c r="J27" s="152" t="str">
        <f>IF('2A-A'!D18&lt;&gt;0,'2A-A'!D18,"")</f>
        <v/>
      </c>
      <c r="K27" s="155"/>
    </row>
    <row r="28" spans="1:11">
      <c r="A28" s="78">
        <f>IF('2A-A'!A19&lt;&gt;0,'2A-A'!A19,"")</f>
        <v>17</v>
      </c>
      <c r="B28" s="149" t="str">
        <f>IF('2A-A'!B19&lt;&gt;0,'2A-A'!B19,"")</f>
        <v/>
      </c>
      <c r="C28" s="150"/>
      <c r="D28" s="150"/>
      <c r="E28" s="151"/>
      <c r="F28" s="152" t="str">
        <f>IF('2A-A'!G19&lt;&gt;0,'2A-A'!G19,"")</f>
        <v/>
      </c>
      <c r="G28" s="153"/>
      <c r="H28" s="159" t="str">
        <f>IF('2A-A'!C19&lt;&gt;0,'2A-A'!C19,"")</f>
        <v/>
      </c>
      <c r="I28" s="160"/>
      <c r="J28" s="152" t="str">
        <f>IF('2A-A'!D19&lt;&gt;0,'2A-A'!D19,"")</f>
        <v/>
      </c>
      <c r="K28" s="155"/>
    </row>
    <row r="29" spans="1:11">
      <c r="A29" s="78">
        <f>IF('2A-A'!A20&lt;&gt;0,'2A-A'!A20,"")</f>
        <v>18</v>
      </c>
      <c r="B29" s="149" t="str">
        <f>IF('2A-A'!B20&lt;&gt;0,'2A-A'!B20,"")</f>
        <v/>
      </c>
      <c r="C29" s="150"/>
      <c r="D29" s="150"/>
      <c r="E29" s="151"/>
      <c r="F29" s="152" t="str">
        <f>IF('2A-A'!G20&lt;&gt;0,'2A-A'!G20,"")</f>
        <v/>
      </c>
      <c r="G29" s="153"/>
      <c r="H29" s="159" t="str">
        <f>IF('2A-A'!C20&lt;&gt;0,'2A-A'!C20,"")</f>
        <v/>
      </c>
      <c r="I29" s="160"/>
      <c r="J29" s="152" t="str">
        <f>IF('2A-A'!D20&lt;&gt;0,'2A-A'!D20,"")</f>
        <v/>
      </c>
      <c r="K29" s="155"/>
    </row>
    <row r="30" spans="1:11">
      <c r="A30" s="78">
        <f>IF('2A-A'!A21&lt;&gt;0,'2A-A'!A21,"")</f>
        <v>19</v>
      </c>
      <c r="B30" s="149" t="str">
        <f>IF('2A-A'!B21&lt;&gt;0,'2A-A'!B21,"")</f>
        <v/>
      </c>
      <c r="C30" s="150"/>
      <c r="D30" s="150"/>
      <c r="E30" s="151"/>
      <c r="F30" s="152" t="str">
        <f>IF('2A-A'!G21&lt;&gt;0,'2A-A'!G21,"")</f>
        <v/>
      </c>
      <c r="G30" s="153"/>
      <c r="H30" s="159" t="str">
        <f>IF('2A-A'!C21&lt;&gt;0,'2A-A'!C21,"")</f>
        <v/>
      </c>
      <c r="I30" s="160"/>
      <c r="J30" s="152" t="str">
        <f>IF('2A-A'!D21&lt;&gt;0,'2A-A'!D21,"")</f>
        <v/>
      </c>
      <c r="K30" s="155"/>
    </row>
    <row r="31" spans="1:11">
      <c r="A31" s="78">
        <f>IF('2A-A'!A22&lt;&gt;0,'2A-A'!A22,"")</f>
        <v>20</v>
      </c>
      <c r="B31" s="149" t="str">
        <f>IF('2A-A'!B22&lt;&gt;0,'2A-A'!B22,"")</f>
        <v/>
      </c>
      <c r="C31" s="150"/>
      <c r="D31" s="150"/>
      <c r="E31" s="151"/>
      <c r="F31" s="152" t="str">
        <f>IF('2A-A'!G22&lt;&gt;0,'2A-A'!G22,"")</f>
        <v/>
      </c>
      <c r="G31" s="153"/>
      <c r="H31" s="159" t="str">
        <f>IF('2A-A'!C22&lt;&gt;0,'2A-A'!C22,"")</f>
        <v/>
      </c>
      <c r="I31" s="160"/>
      <c r="J31" s="152" t="str">
        <f>IF('2A-A'!D22&lt;&gt;0,'2A-A'!D22,"")</f>
        <v/>
      </c>
      <c r="K31" s="155"/>
    </row>
    <row r="32" spans="1:11">
      <c r="A32" s="78">
        <f>IF('2A-A'!A23&lt;&gt;0,'2A-A'!A23,"")</f>
        <v>21</v>
      </c>
      <c r="B32" s="149" t="str">
        <f>IF('2A-A'!B23&lt;&gt;0,'2A-A'!B23,"")</f>
        <v/>
      </c>
      <c r="C32" s="150"/>
      <c r="D32" s="150"/>
      <c r="E32" s="151"/>
      <c r="F32" s="152" t="str">
        <f>IF('2A-A'!G23&lt;&gt;0,'2A-A'!G23,"")</f>
        <v/>
      </c>
      <c r="G32" s="153"/>
      <c r="H32" s="159" t="str">
        <f>IF('2A-A'!C23&lt;&gt;0,'2A-A'!C23,"")</f>
        <v/>
      </c>
      <c r="I32" s="160"/>
      <c r="J32" s="152" t="str">
        <f>IF('2A-A'!D23&lt;&gt;0,'2A-A'!D23,"")</f>
        <v/>
      </c>
      <c r="K32" s="155"/>
    </row>
    <row r="33" spans="1:11">
      <c r="A33" s="78">
        <f>IF('2A-A'!A24&lt;&gt;0,'2A-A'!A24,"")</f>
        <v>22</v>
      </c>
      <c r="B33" s="149" t="str">
        <f>IF('2A-A'!B24&lt;&gt;0,'2A-A'!B24,"")</f>
        <v/>
      </c>
      <c r="C33" s="150"/>
      <c r="D33" s="150"/>
      <c r="E33" s="151"/>
      <c r="F33" s="152" t="str">
        <f>IF('2A-A'!G24&lt;&gt;0,'2A-A'!G24,"")</f>
        <v/>
      </c>
      <c r="G33" s="153"/>
      <c r="H33" s="159" t="str">
        <f>IF('2A-A'!C24&lt;&gt;0,'2A-A'!C24,"")</f>
        <v/>
      </c>
      <c r="I33" s="160"/>
      <c r="J33" s="152" t="str">
        <f>IF('2A-A'!D24&lt;&gt;0,'2A-A'!D24,"")</f>
        <v/>
      </c>
      <c r="K33" s="155"/>
    </row>
    <row r="34" spans="1:11">
      <c r="A34" s="78">
        <f>IF('2A-A'!A25&lt;&gt;0,'2A-A'!A25,"")</f>
        <v>23</v>
      </c>
      <c r="B34" s="149" t="str">
        <f>IF('2A-A'!B25&lt;&gt;0,'2A-A'!B25,"")</f>
        <v/>
      </c>
      <c r="C34" s="150"/>
      <c r="D34" s="150"/>
      <c r="E34" s="151"/>
      <c r="F34" s="152" t="str">
        <f>IF('2A-A'!G25&lt;&gt;0,'2A-A'!G25,"")</f>
        <v/>
      </c>
      <c r="G34" s="153"/>
      <c r="H34" s="159" t="str">
        <f>IF('2A-A'!C25&lt;&gt;0,'2A-A'!C25,"")</f>
        <v/>
      </c>
      <c r="I34" s="160"/>
      <c r="J34" s="152" t="str">
        <f>IF('2A-A'!D25&lt;&gt;0,'2A-A'!D25,"")</f>
        <v/>
      </c>
      <c r="K34" s="155"/>
    </row>
    <row r="35" spans="1:11">
      <c r="A35" s="78">
        <f>IF('2A-A'!A26&lt;&gt;0,'2A-A'!A26,"")</f>
        <v>24</v>
      </c>
      <c r="B35" s="149" t="str">
        <f>IF('2A-A'!B26&lt;&gt;0,'2A-A'!B26,"")</f>
        <v/>
      </c>
      <c r="C35" s="150"/>
      <c r="D35" s="150"/>
      <c r="E35" s="151"/>
      <c r="F35" s="152" t="str">
        <f>IF('2A-A'!G26&lt;&gt;0,'2A-A'!G26,"")</f>
        <v/>
      </c>
      <c r="G35" s="153"/>
      <c r="H35" s="159" t="str">
        <f>IF('2A-A'!C26&lt;&gt;0,'2A-A'!C26,"")</f>
        <v/>
      </c>
      <c r="I35" s="160"/>
      <c r="J35" s="152" t="str">
        <f>IF('2A-A'!D26&lt;&gt;0,'2A-A'!D26,"")</f>
        <v/>
      </c>
      <c r="K35" s="155"/>
    </row>
    <row r="36" spans="1:11" ht="15.75" thickBot="1">
      <c r="A36" s="80">
        <f>IF('2A-A'!A27&lt;&gt;0,'2A-A'!A27,"")</f>
        <v>25</v>
      </c>
      <c r="B36" s="142" t="str">
        <f>IF('2A-A'!B27&lt;&gt;0,'2A-A'!B27,"")</f>
        <v/>
      </c>
      <c r="C36" s="143"/>
      <c r="D36" s="143"/>
      <c r="E36" s="144"/>
      <c r="F36" s="145" t="str">
        <f>IF('2A-A'!G27&lt;&gt;0,'2A-A'!G27,"")</f>
        <v/>
      </c>
      <c r="G36" s="146"/>
      <c r="H36" s="157" t="str">
        <f>IF('2A-A'!C27&lt;&gt;0,'2A-A'!C27,"")</f>
        <v/>
      </c>
      <c r="I36" s="158"/>
      <c r="J36" s="145" t="str">
        <f>IF('2A-A'!D27&lt;&gt;0,'2A-A'!D27,"")</f>
        <v/>
      </c>
      <c r="K36" s="148"/>
    </row>
    <row r="38" spans="1:11" ht="15.75">
      <c r="A38" s="119" t="s">
        <v>81</v>
      </c>
      <c r="B38" s="119"/>
      <c r="C38" s="119"/>
      <c r="D38" s="119"/>
      <c r="E38" s="120">
        <f>'2A-A'!U4</f>
        <v>0</v>
      </c>
      <c r="F38" s="120"/>
    </row>
    <row r="39" spans="1:11">
      <c r="A39" s="66" t="s">
        <v>104</v>
      </c>
      <c r="E39" s="122">
        <f ca="1">'2A-A'!Q3</f>
        <v>0</v>
      </c>
      <c r="F39" s="122"/>
    </row>
    <row r="40" spans="1:11">
      <c r="A40" s="66" t="s">
        <v>105</v>
      </c>
      <c r="E40" s="122">
        <f ca="1">'2A-A'!R3</f>
        <v>0</v>
      </c>
      <c r="F40" s="122"/>
    </row>
    <row r="48" spans="1:11">
      <c r="A48" s="66" t="s">
        <v>84</v>
      </c>
      <c r="C48" s="121">
        <f ca="1">TODAY()</f>
        <v>44871</v>
      </c>
      <c r="D48" s="122"/>
      <c r="E48" s="122"/>
    </row>
  </sheetData>
  <sheetProtection algorithmName="SHA-512" hashValue="lv1vA4D0Xbt0YzY6Jr5ch91vz4VuHDy7nQh3pC56cnI//HXJzd68KSsKG276/6ufozsVDVfQ+RxSoQ2r16FO9A==" saltValue="/6OL4QZI2m0eprezOdq4Xw==" spinCount="100000" sheet="1" objects="1" scenarios="1" selectLockedCells="1"/>
  <mergeCells count="118">
    <mergeCell ref="B7:K7"/>
    <mergeCell ref="A9:K10"/>
    <mergeCell ref="B11:E11"/>
    <mergeCell ref="F11:G11"/>
    <mergeCell ref="H11:I11"/>
    <mergeCell ref="J11:K11"/>
    <mergeCell ref="B1:K1"/>
    <mergeCell ref="B2:K2"/>
    <mergeCell ref="B3:K3"/>
    <mergeCell ref="B4:K4"/>
    <mergeCell ref="B5:K5"/>
    <mergeCell ref="A6:C6"/>
    <mergeCell ref="D6:K6"/>
    <mergeCell ref="B14:E14"/>
    <mergeCell ref="F14:G14"/>
    <mergeCell ref="H14:I14"/>
    <mergeCell ref="J14:K14"/>
    <mergeCell ref="B15:E15"/>
    <mergeCell ref="F15:G15"/>
    <mergeCell ref="H15:I15"/>
    <mergeCell ref="J15:K15"/>
    <mergeCell ref="B12:E12"/>
    <mergeCell ref="F12:G12"/>
    <mergeCell ref="H12:I12"/>
    <mergeCell ref="J12:K12"/>
    <mergeCell ref="B13:E13"/>
    <mergeCell ref="F13:G13"/>
    <mergeCell ref="H13:I13"/>
    <mergeCell ref="J13:K13"/>
    <mergeCell ref="B18:E18"/>
    <mergeCell ref="F18:G18"/>
    <mergeCell ref="H18:I18"/>
    <mergeCell ref="J18:K18"/>
    <mergeCell ref="B19:E19"/>
    <mergeCell ref="F19:G19"/>
    <mergeCell ref="H19:I19"/>
    <mergeCell ref="J19:K19"/>
    <mergeCell ref="B16:E16"/>
    <mergeCell ref="F16:G16"/>
    <mergeCell ref="H16:I16"/>
    <mergeCell ref="J16:K16"/>
    <mergeCell ref="B17:E17"/>
    <mergeCell ref="F17:G17"/>
    <mergeCell ref="H17:I17"/>
    <mergeCell ref="J17:K17"/>
    <mergeCell ref="B22:E22"/>
    <mergeCell ref="F22:G22"/>
    <mergeCell ref="H22:I22"/>
    <mergeCell ref="J22:K22"/>
    <mergeCell ref="B23:E23"/>
    <mergeCell ref="F23:G23"/>
    <mergeCell ref="H23:I23"/>
    <mergeCell ref="J23:K23"/>
    <mergeCell ref="B20:E20"/>
    <mergeCell ref="F20:G20"/>
    <mergeCell ref="H20:I20"/>
    <mergeCell ref="J20:K20"/>
    <mergeCell ref="B21:E21"/>
    <mergeCell ref="F21:G21"/>
    <mergeCell ref="H21:I21"/>
    <mergeCell ref="J21:K21"/>
    <mergeCell ref="B26:E26"/>
    <mergeCell ref="F26:G26"/>
    <mergeCell ref="H26:I26"/>
    <mergeCell ref="J26:K26"/>
    <mergeCell ref="B27:E27"/>
    <mergeCell ref="F27:G27"/>
    <mergeCell ref="H27:I27"/>
    <mergeCell ref="J27:K27"/>
    <mergeCell ref="B24:E24"/>
    <mergeCell ref="F24:G24"/>
    <mergeCell ref="H24:I24"/>
    <mergeCell ref="J24:K24"/>
    <mergeCell ref="B25:E25"/>
    <mergeCell ref="F25:G25"/>
    <mergeCell ref="H25:I25"/>
    <mergeCell ref="J25:K25"/>
    <mergeCell ref="B30:E30"/>
    <mergeCell ref="F30:G30"/>
    <mergeCell ref="H30:I30"/>
    <mergeCell ref="J30:K30"/>
    <mergeCell ref="B31:E31"/>
    <mergeCell ref="F31:G31"/>
    <mergeCell ref="H31:I31"/>
    <mergeCell ref="J31:K31"/>
    <mergeCell ref="B28:E28"/>
    <mergeCell ref="F28:G28"/>
    <mergeCell ref="H28:I28"/>
    <mergeCell ref="J28:K28"/>
    <mergeCell ref="B29:E29"/>
    <mergeCell ref="F29:G29"/>
    <mergeCell ref="H29:I29"/>
    <mergeCell ref="J29:K29"/>
    <mergeCell ref="B34:E34"/>
    <mergeCell ref="F34:G34"/>
    <mergeCell ref="H34:I34"/>
    <mergeCell ref="J34:K34"/>
    <mergeCell ref="B35:E35"/>
    <mergeCell ref="F35:G35"/>
    <mergeCell ref="H35:I35"/>
    <mergeCell ref="J35:K35"/>
    <mergeCell ref="B32:E32"/>
    <mergeCell ref="F32:G32"/>
    <mergeCell ref="H32:I32"/>
    <mergeCell ref="J32:K32"/>
    <mergeCell ref="B33:E33"/>
    <mergeCell ref="F33:G33"/>
    <mergeCell ref="H33:I33"/>
    <mergeCell ref="J33:K33"/>
    <mergeCell ref="E39:F39"/>
    <mergeCell ref="E40:F40"/>
    <mergeCell ref="C48:E48"/>
    <mergeCell ref="B36:E36"/>
    <mergeCell ref="F36:G36"/>
    <mergeCell ref="H36:I36"/>
    <mergeCell ref="J36:K36"/>
    <mergeCell ref="A38:D38"/>
    <mergeCell ref="E38:F38"/>
  </mergeCells>
  <conditionalFormatting sqref="A12:K36">
    <cfRule type="expression" dxfId="203" priority="1">
      <formula>IF($J12&lt;&gt;"",1,0)</formula>
    </cfRule>
  </conditionalFormatting>
  <conditionalFormatting sqref="B2:B5 D6">
    <cfRule type="expression" dxfId="202" priority="2">
      <formula>ROW()=CELL("LIN")</formula>
    </cfRule>
  </conditionalFormatting>
  <pageMargins left="0.39370078740157483" right="0.3543307086614173" top="1.1417322834645669" bottom="0.39370078740157483" header="0.31496062992125984" footer="0.31496062992125984"/>
  <pageSetup paperSize="9" scale="96" fitToHeight="0" orientation="portrait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0723A-DB05-4B4B-B868-A366224283F6}">
  <sheetPr codeName="Plan7">
    <pageSetUpPr fitToPage="1"/>
  </sheetPr>
  <dimension ref="A1:U27"/>
  <sheetViews>
    <sheetView showGridLines="0" showRowColHeaders="0" view="pageBreakPreview" zoomScale="60" zoomScaleNormal="60" zoomScalePageLayoutView="40" workbookViewId="0">
      <pane ySplit="1" topLeftCell="A2" activePane="bottomLeft" state="frozen"/>
      <selection pane="bottomLeft" activeCell="B3" sqref="B3"/>
    </sheetView>
  </sheetViews>
  <sheetFormatPr defaultColWidth="9.140625" defaultRowHeight="15"/>
  <cols>
    <col min="1" max="1" width="8.5703125" style="17" customWidth="1"/>
    <col min="2" max="2" width="42" style="17" customWidth="1"/>
    <col min="3" max="3" width="17" style="18" bestFit="1" customWidth="1"/>
    <col min="4" max="4" width="23.85546875" style="19" customWidth="1"/>
    <col min="5" max="5" width="28.5703125" style="17" customWidth="1"/>
    <col min="6" max="6" width="30.5703125" style="27" bestFit="1" customWidth="1"/>
    <col min="7" max="7" width="25.7109375" style="27" customWidth="1"/>
    <col min="8" max="8" width="21.140625" style="17" customWidth="1"/>
    <col min="9" max="9" width="17.5703125" style="17" customWidth="1"/>
    <col min="10" max="10" width="44.42578125" style="17" customWidth="1"/>
    <col min="11" max="11" width="9.7109375" style="17" customWidth="1"/>
    <col min="12" max="12" width="9.28515625" style="17" customWidth="1"/>
    <col min="13" max="13" width="9.140625" style="17"/>
    <col min="14" max="14" width="16.140625" style="17" customWidth="1"/>
    <col min="15" max="15" width="12.7109375" style="17" customWidth="1"/>
    <col min="16" max="16384" width="9.140625" style="17"/>
  </cols>
  <sheetData>
    <row r="1" spans="1:21" ht="75" customHeight="1"/>
    <row r="2" spans="1:21" ht="60">
      <c r="A2" s="20" t="s">
        <v>9</v>
      </c>
      <c r="B2" s="21" t="s">
        <v>10</v>
      </c>
      <c r="C2" s="22" t="s">
        <v>13</v>
      </c>
      <c r="D2" s="23" t="s">
        <v>16</v>
      </c>
      <c r="E2" s="22" t="s">
        <v>11</v>
      </c>
      <c r="F2" s="22" t="s">
        <v>12</v>
      </c>
      <c r="G2" s="22" t="s">
        <v>14</v>
      </c>
      <c r="H2" s="22" t="s">
        <v>15</v>
      </c>
      <c r="I2" s="22" t="s">
        <v>17</v>
      </c>
      <c r="J2" s="21" t="s">
        <v>18</v>
      </c>
      <c r="K2" s="26" t="s">
        <v>19</v>
      </c>
      <c r="L2" s="67"/>
      <c r="M2" s="68"/>
      <c r="N2" s="68"/>
      <c r="O2" s="68"/>
      <c r="P2" s="69" t="s">
        <v>0</v>
      </c>
      <c r="Q2" s="70" t="s">
        <v>106</v>
      </c>
      <c r="R2" s="70" t="s">
        <v>107</v>
      </c>
      <c r="S2" s="71" t="s">
        <v>3</v>
      </c>
      <c r="T2" s="70" t="s">
        <v>4</v>
      </c>
      <c r="U2" s="68"/>
    </row>
    <row r="3" spans="1:21">
      <c r="A3" s="81">
        <v>1</v>
      </c>
      <c r="B3" s="44"/>
      <c r="C3" s="45"/>
      <c r="D3" s="47"/>
      <c r="E3" s="46">
        <v>0</v>
      </c>
      <c r="F3" s="51"/>
      <c r="G3" s="52"/>
      <c r="H3" s="52"/>
      <c r="I3" s="47"/>
      <c r="J3" s="44"/>
      <c r="K3" s="24">
        <f t="shared" ref="K3:K27" ca="1" si="0">QUOTIENT(IF(DATEDIF(C3,TODAY(),"y")&gt;90,0,DATEDIF(C3,TODAY(),"m")),12)</f>
        <v>0</v>
      </c>
      <c r="L3" s="68">
        <f t="shared" ref="L3:L27" ca="1" si="1">IF($K3=0,0,IF($K3&lt;($P$3),1,0))</f>
        <v>0</v>
      </c>
      <c r="M3" s="68">
        <f t="shared" ref="M3:M27" ca="1" si="2">IF($K3&gt;($P$3),1,0)</f>
        <v>0</v>
      </c>
      <c r="N3" s="68" t="b">
        <f ca="1">IF(IF(DATEDIF(C3,TODAY(),"y")&gt;90,0,DATEDIF(C3,TODAY(),"m"))&gt;0,CONCATENATE(QUOTIENT(IF(DATEDIF(C3,TODAY(),"y")&gt;90,0,DATEDIF(C3,TODAY(),"m")),12)," anos e ",MOD(IF(DATEDIF(C3,TODAY(),"y")&gt;90,0,DATEDIF(C3,TODAY(),"m")),12)," mês"))</f>
        <v>0</v>
      </c>
      <c r="O3" s="68" t="str">
        <f ca="1">IF(C3="","",DATEDIF($C3,TODAY(),"m"))</f>
        <v/>
      </c>
      <c r="P3" s="68">
        <v>7</v>
      </c>
      <c r="Q3" s="68">
        <f ca="1">SUM(L3:L27)</f>
        <v>0</v>
      </c>
      <c r="R3" s="68">
        <f ca="1">SUM(M3:M27)</f>
        <v>0</v>
      </c>
      <c r="S3" s="71" t="s">
        <v>7</v>
      </c>
      <c r="T3" s="68">
        <f>($P$3*12)</f>
        <v>84</v>
      </c>
      <c r="U3" s="68"/>
    </row>
    <row r="4" spans="1:21" ht="15.75">
      <c r="A4" s="81">
        <v>2</v>
      </c>
      <c r="B4" s="44"/>
      <c r="C4" s="45"/>
      <c r="D4" s="47"/>
      <c r="E4" s="46">
        <v>0</v>
      </c>
      <c r="F4" s="51"/>
      <c r="G4" s="52"/>
      <c r="H4" s="52"/>
      <c r="I4" s="47"/>
      <c r="J4" s="44"/>
      <c r="K4" s="24">
        <f t="shared" ca="1" si="0"/>
        <v>0</v>
      </c>
      <c r="L4" s="68">
        <f t="shared" ca="1" si="1"/>
        <v>0</v>
      </c>
      <c r="M4" s="68">
        <f t="shared" ca="1" si="2"/>
        <v>0</v>
      </c>
      <c r="N4" s="68" t="b">
        <f t="shared" ref="N4:N27" ca="1" si="3">IF(IF(DATEDIF(C4,TODAY(),"y")&gt;90,0,DATEDIF(C4,TODAY(),"m"))&gt;0,CONCATENATE(QUOTIENT(IF(DATEDIF(C4,TODAY(),"y")&gt;90,0,DATEDIF(C4,TODAY(),"m")),12)," anos e ",MOD(IF(DATEDIF(C4,TODAY(),"y")&gt;90,0,DATEDIF(C4,TODAY(),"m")),12)," mês"))</f>
        <v>0</v>
      </c>
      <c r="O4" s="68" t="str">
        <f ca="1">IF(C4="","",DATEDIF($C4,TODAY(),"m"))</f>
        <v/>
      </c>
      <c r="P4" s="123" t="s">
        <v>6</v>
      </c>
      <c r="Q4" s="123"/>
      <c r="R4" s="123"/>
      <c r="S4" s="123"/>
      <c r="T4" s="123"/>
      <c r="U4" s="68">
        <f>COUNTA(B3:B27)-COUNTA(D3:D27)</f>
        <v>0</v>
      </c>
    </row>
    <row r="5" spans="1:21">
      <c r="A5" s="81">
        <v>3</v>
      </c>
      <c r="B5" s="44"/>
      <c r="C5" s="45"/>
      <c r="D5" s="47"/>
      <c r="E5" s="46">
        <v>0</v>
      </c>
      <c r="F5" s="51"/>
      <c r="G5" s="52"/>
      <c r="H5" s="52"/>
      <c r="I5" s="47"/>
      <c r="J5" s="44"/>
      <c r="K5" s="24">
        <f t="shared" ca="1" si="0"/>
        <v>0</v>
      </c>
      <c r="L5" s="68">
        <f t="shared" ca="1" si="1"/>
        <v>0</v>
      </c>
      <c r="M5" s="68">
        <f t="shared" ca="1" si="2"/>
        <v>0</v>
      </c>
      <c r="N5" s="68" t="b">
        <f t="shared" ca="1" si="3"/>
        <v>0</v>
      </c>
      <c r="O5" s="68" t="str">
        <f ca="1">IF(C5="","",DATEDIF($C5,TODAY(),"m"))</f>
        <v/>
      </c>
      <c r="P5" s="68"/>
      <c r="Q5" s="68"/>
      <c r="R5" s="68"/>
      <c r="S5" s="68"/>
      <c r="T5" s="68"/>
      <c r="U5" s="68"/>
    </row>
    <row r="6" spans="1:21">
      <c r="A6" s="81">
        <v>4</v>
      </c>
      <c r="B6" s="44"/>
      <c r="C6" s="45"/>
      <c r="D6" s="47"/>
      <c r="E6" s="46">
        <v>0</v>
      </c>
      <c r="F6" s="51"/>
      <c r="G6" s="52"/>
      <c r="H6" s="52"/>
      <c r="I6" s="47"/>
      <c r="J6" s="44"/>
      <c r="K6" s="24">
        <f t="shared" ca="1" si="0"/>
        <v>0</v>
      </c>
      <c r="L6" s="68">
        <f t="shared" ca="1" si="1"/>
        <v>0</v>
      </c>
      <c r="M6" s="68">
        <f t="shared" ca="1" si="2"/>
        <v>0</v>
      </c>
      <c r="N6" s="68" t="b">
        <f t="shared" ca="1" si="3"/>
        <v>0</v>
      </c>
      <c r="O6" s="68" t="str">
        <f t="shared" ref="O6:O26" ca="1" si="4">IF(C5="","",DATEDIF($C5,TODAY(),"m"))</f>
        <v/>
      </c>
      <c r="P6" s="68"/>
      <c r="Q6" s="68"/>
      <c r="R6" s="68"/>
      <c r="S6" s="68"/>
      <c r="T6" s="68"/>
      <c r="U6" s="68"/>
    </row>
    <row r="7" spans="1:21">
      <c r="A7" s="81">
        <v>5</v>
      </c>
      <c r="B7" s="44"/>
      <c r="C7" s="45"/>
      <c r="D7" s="47"/>
      <c r="E7" s="46">
        <v>0</v>
      </c>
      <c r="F7" s="51"/>
      <c r="G7" s="52"/>
      <c r="H7" s="52"/>
      <c r="I7" s="47"/>
      <c r="J7" s="44"/>
      <c r="K7" s="24">
        <f t="shared" ca="1" si="0"/>
        <v>0</v>
      </c>
      <c r="L7" s="68">
        <f t="shared" ca="1" si="1"/>
        <v>0</v>
      </c>
      <c r="M7" s="68">
        <f t="shared" ca="1" si="2"/>
        <v>0</v>
      </c>
      <c r="N7" s="68" t="b">
        <f t="shared" ca="1" si="3"/>
        <v>0</v>
      </c>
      <c r="O7" s="68" t="str">
        <f t="shared" ca="1" si="4"/>
        <v/>
      </c>
      <c r="P7" s="68"/>
      <c r="Q7" s="68"/>
      <c r="R7" s="68"/>
      <c r="S7" s="68"/>
      <c r="T7" s="68"/>
      <c r="U7" s="68"/>
    </row>
    <row r="8" spans="1:21">
      <c r="A8" s="81">
        <v>6</v>
      </c>
      <c r="B8" s="44"/>
      <c r="C8" s="45"/>
      <c r="D8" s="47"/>
      <c r="E8" s="46">
        <v>0</v>
      </c>
      <c r="F8" s="51"/>
      <c r="G8" s="52"/>
      <c r="H8" s="52"/>
      <c r="I8" s="47"/>
      <c r="J8" s="44"/>
      <c r="K8" s="24">
        <f t="shared" ca="1" si="0"/>
        <v>0</v>
      </c>
      <c r="L8" s="68">
        <f t="shared" ca="1" si="1"/>
        <v>0</v>
      </c>
      <c r="M8" s="68">
        <f t="shared" ca="1" si="2"/>
        <v>0</v>
      </c>
      <c r="N8" s="68" t="b">
        <f t="shared" ca="1" si="3"/>
        <v>0</v>
      </c>
      <c r="O8" s="68" t="str">
        <f t="shared" ca="1" si="4"/>
        <v/>
      </c>
      <c r="P8" s="68"/>
      <c r="Q8" s="68"/>
      <c r="R8" s="68"/>
      <c r="S8" s="68"/>
      <c r="T8" s="68"/>
      <c r="U8" s="68"/>
    </row>
    <row r="9" spans="1:21">
      <c r="A9" s="81">
        <v>7</v>
      </c>
      <c r="B9" s="44"/>
      <c r="C9" s="45"/>
      <c r="D9" s="47"/>
      <c r="E9" s="46">
        <v>0</v>
      </c>
      <c r="F9" s="51"/>
      <c r="G9" s="52"/>
      <c r="H9" s="52"/>
      <c r="I9" s="47"/>
      <c r="J9" s="44"/>
      <c r="K9" s="24">
        <f t="shared" ca="1" si="0"/>
        <v>0</v>
      </c>
      <c r="L9" s="68">
        <f t="shared" ca="1" si="1"/>
        <v>0</v>
      </c>
      <c r="M9" s="68">
        <f t="shared" ca="1" si="2"/>
        <v>0</v>
      </c>
      <c r="N9" s="68" t="b">
        <f t="shared" ca="1" si="3"/>
        <v>0</v>
      </c>
      <c r="O9" s="68" t="str">
        <f t="shared" ca="1" si="4"/>
        <v/>
      </c>
      <c r="P9" s="68"/>
      <c r="Q9" s="68"/>
      <c r="R9" s="68"/>
      <c r="S9" s="68"/>
      <c r="T9" s="68"/>
      <c r="U9" s="68"/>
    </row>
    <row r="10" spans="1:21">
      <c r="A10" s="81">
        <v>8</v>
      </c>
      <c r="B10" s="44"/>
      <c r="C10" s="45"/>
      <c r="D10" s="47"/>
      <c r="E10" s="46">
        <v>0</v>
      </c>
      <c r="F10" s="51"/>
      <c r="G10" s="52"/>
      <c r="H10" s="52"/>
      <c r="I10" s="47"/>
      <c r="J10" s="44"/>
      <c r="K10" s="24">
        <f t="shared" ca="1" si="0"/>
        <v>0</v>
      </c>
      <c r="L10" s="68">
        <f t="shared" ca="1" si="1"/>
        <v>0</v>
      </c>
      <c r="M10" s="68">
        <f t="shared" ca="1" si="2"/>
        <v>0</v>
      </c>
      <c r="N10" s="68" t="b">
        <f t="shared" ca="1" si="3"/>
        <v>0</v>
      </c>
      <c r="O10" s="68" t="str">
        <f t="shared" ca="1" si="4"/>
        <v/>
      </c>
      <c r="P10" s="68"/>
      <c r="Q10" s="68"/>
      <c r="R10" s="68"/>
      <c r="S10" s="68"/>
      <c r="T10" s="68"/>
      <c r="U10" s="68"/>
    </row>
    <row r="11" spans="1:21">
      <c r="A11" s="81">
        <v>9</v>
      </c>
      <c r="B11" s="44"/>
      <c r="C11" s="45"/>
      <c r="D11" s="47"/>
      <c r="E11" s="46">
        <v>0</v>
      </c>
      <c r="F11" s="51"/>
      <c r="G11" s="52"/>
      <c r="H11" s="52"/>
      <c r="I11" s="47"/>
      <c r="J11" s="44"/>
      <c r="K11" s="24">
        <f t="shared" ca="1" si="0"/>
        <v>0</v>
      </c>
      <c r="L11" s="68">
        <f t="shared" ca="1" si="1"/>
        <v>0</v>
      </c>
      <c r="M11" s="68">
        <f t="shared" ca="1" si="2"/>
        <v>0</v>
      </c>
      <c r="N11" s="68" t="b">
        <f t="shared" ca="1" si="3"/>
        <v>0</v>
      </c>
      <c r="O11" s="68" t="str">
        <f t="shared" ca="1" si="4"/>
        <v/>
      </c>
      <c r="P11" s="68"/>
      <c r="Q11" s="68"/>
      <c r="R11" s="68"/>
      <c r="S11" s="68"/>
      <c r="T11" s="68"/>
      <c r="U11" s="68"/>
    </row>
    <row r="12" spans="1:21">
      <c r="A12" s="81">
        <v>10</v>
      </c>
      <c r="B12" s="44"/>
      <c r="C12" s="45"/>
      <c r="D12" s="47"/>
      <c r="E12" s="46">
        <v>0</v>
      </c>
      <c r="F12" s="51"/>
      <c r="G12" s="52"/>
      <c r="H12" s="52"/>
      <c r="I12" s="47"/>
      <c r="J12" s="44"/>
      <c r="K12" s="24">
        <f t="shared" ca="1" si="0"/>
        <v>0</v>
      </c>
      <c r="L12" s="68">
        <f t="shared" ca="1" si="1"/>
        <v>0</v>
      </c>
      <c r="M12" s="68">
        <f t="shared" ca="1" si="2"/>
        <v>0</v>
      </c>
      <c r="N12" s="68" t="b">
        <f t="shared" ca="1" si="3"/>
        <v>0</v>
      </c>
      <c r="O12" s="68" t="str">
        <f t="shared" ca="1" si="4"/>
        <v/>
      </c>
      <c r="P12" s="68"/>
      <c r="Q12" s="68"/>
      <c r="R12" s="68"/>
      <c r="S12" s="68"/>
      <c r="T12" s="68"/>
      <c r="U12" s="68"/>
    </row>
    <row r="13" spans="1:21">
      <c r="A13" s="81">
        <v>11</v>
      </c>
      <c r="B13" s="44"/>
      <c r="C13" s="45"/>
      <c r="D13" s="47"/>
      <c r="E13" s="46">
        <v>0</v>
      </c>
      <c r="F13" s="51"/>
      <c r="G13" s="52"/>
      <c r="H13" s="52"/>
      <c r="I13" s="47"/>
      <c r="J13" s="44"/>
      <c r="K13" s="24">
        <f t="shared" ca="1" si="0"/>
        <v>0</v>
      </c>
      <c r="L13" s="68">
        <f t="shared" ca="1" si="1"/>
        <v>0</v>
      </c>
      <c r="M13" s="68">
        <f t="shared" ca="1" si="2"/>
        <v>0</v>
      </c>
      <c r="N13" s="68" t="b">
        <f t="shared" ca="1" si="3"/>
        <v>0</v>
      </c>
      <c r="O13" s="68" t="str">
        <f t="shared" ca="1" si="4"/>
        <v/>
      </c>
      <c r="P13" s="68"/>
      <c r="Q13" s="68"/>
      <c r="R13" s="68"/>
      <c r="S13" s="68"/>
      <c r="T13" s="68"/>
      <c r="U13" s="68"/>
    </row>
    <row r="14" spans="1:21">
      <c r="A14" s="81">
        <v>12</v>
      </c>
      <c r="B14" s="44"/>
      <c r="C14" s="45"/>
      <c r="D14" s="47"/>
      <c r="E14" s="46">
        <v>0</v>
      </c>
      <c r="F14" s="51"/>
      <c r="G14" s="52"/>
      <c r="H14" s="52"/>
      <c r="I14" s="47"/>
      <c r="J14" s="44"/>
      <c r="K14" s="24">
        <f t="shared" ca="1" si="0"/>
        <v>0</v>
      </c>
      <c r="L14" s="68">
        <f t="shared" ca="1" si="1"/>
        <v>0</v>
      </c>
      <c r="M14" s="68">
        <f t="shared" ca="1" si="2"/>
        <v>0</v>
      </c>
      <c r="N14" s="68" t="b">
        <f t="shared" ca="1" si="3"/>
        <v>0</v>
      </c>
      <c r="O14" s="68" t="str">
        <f t="shared" ca="1" si="4"/>
        <v/>
      </c>
      <c r="P14" s="68"/>
      <c r="Q14" s="68"/>
      <c r="R14" s="68"/>
      <c r="S14" s="68"/>
      <c r="T14" s="68"/>
      <c r="U14" s="68"/>
    </row>
    <row r="15" spans="1:21">
      <c r="A15" s="81">
        <v>13</v>
      </c>
      <c r="B15" s="44"/>
      <c r="C15" s="45"/>
      <c r="D15" s="47"/>
      <c r="E15" s="46">
        <v>0</v>
      </c>
      <c r="F15" s="51"/>
      <c r="G15" s="52"/>
      <c r="H15" s="52"/>
      <c r="I15" s="47"/>
      <c r="J15" s="44"/>
      <c r="K15" s="24">
        <f t="shared" ca="1" si="0"/>
        <v>0</v>
      </c>
      <c r="L15" s="68">
        <f t="shared" ca="1" si="1"/>
        <v>0</v>
      </c>
      <c r="M15" s="68">
        <f t="shared" ca="1" si="2"/>
        <v>0</v>
      </c>
      <c r="N15" s="68" t="b">
        <f t="shared" ca="1" si="3"/>
        <v>0</v>
      </c>
      <c r="O15" s="68" t="str">
        <f t="shared" ca="1" si="4"/>
        <v/>
      </c>
      <c r="P15" s="68"/>
      <c r="Q15" s="68"/>
      <c r="R15" s="68"/>
      <c r="S15" s="68"/>
      <c r="T15" s="68"/>
      <c r="U15" s="68"/>
    </row>
    <row r="16" spans="1:21">
      <c r="A16" s="81">
        <v>14</v>
      </c>
      <c r="B16" s="44"/>
      <c r="C16" s="45"/>
      <c r="D16" s="47"/>
      <c r="E16" s="46">
        <v>0</v>
      </c>
      <c r="F16" s="51"/>
      <c r="G16" s="52"/>
      <c r="H16" s="52"/>
      <c r="I16" s="47"/>
      <c r="J16" s="44"/>
      <c r="K16" s="24">
        <f t="shared" ca="1" si="0"/>
        <v>0</v>
      </c>
      <c r="L16" s="68">
        <f t="shared" ca="1" si="1"/>
        <v>0</v>
      </c>
      <c r="M16" s="68">
        <f t="shared" ca="1" si="2"/>
        <v>0</v>
      </c>
      <c r="N16" s="68" t="b">
        <f t="shared" ca="1" si="3"/>
        <v>0</v>
      </c>
      <c r="O16" s="68" t="str">
        <f t="shared" ca="1" si="4"/>
        <v/>
      </c>
      <c r="P16" s="68"/>
      <c r="Q16" s="68"/>
      <c r="R16" s="68"/>
      <c r="S16" s="68"/>
      <c r="T16" s="68"/>
      <c r="U16" s="68"/>
    </row>
    <row r="17" spans="1:21">
      <c r="A17" s="81">
        <v>15</v>
      </c>
      <c r="B17" s="44"/>
      <c r="C17" s="45"/>
      <c r="D17" s="47"/>
      <c r="E17" s="46">
        <v>0</v>
      </c>
      <c r="F17" s="51"/>
      <c r="G17" s="52"/>
      <c r="H17" s="52"/>
      <c r="I17" s="53"/>
      <c r="J17" s="44"/>
      <c r="K17" s="24">
        <f t="shared" ca="1" si="0"/>
        <v>0</v>
      </c>
      <c r="L17" s="68">
        <f t="shared" ca="1" si="1"/>
        <v>0</v>
      </c>
      <c r="M17" s="68">
        <f t="shared" ca="1" si="2"/>
        <v>0</v>
      </c>
      <c r="N17" s="68" t="b">
        <f t="shared" ca="1" si="3"/>
        <v>0</v>
      </c>
      <c r="O17" s="68" t="str">
        <f t="shared" ca="1" si="4"/>
        <v/>
      </c>
      <c r="P17" s="68"/>
      <c r="Q17" s="68"/>
      <c r="R17" s="68"/>
      <c r="S17" s="68"/>
      <c r="T17" s="68"/>
      <c r="U17" s="68"/>
    </row>
    <row r="18" spans="1:21">
      <c r="A18" s="81">
        <v>16</v>
      </c>
      <c r="B18" s="44"/>
      <c r="C18" s="45"/>
      <c r="D18" s="47"/>
      <c r="E18" s="46">
        <v>0</v>
      </c>
      <c r="F18" s="51"/>
      <c r="G18" s="52"/>
      <c r="H18" s="52"/>
      <c r="I18" s="47"/>
      <c r="J18" s="44"/>
      <c r="K18" s="24">
        <f t="shared" ca="1" si="0"/>
        <v>0</v>
      </c>
      <c r="L18" s="68">
        <f t="shared" ca="1" si="1"/>
        <v>0</v>
      </c>
      <c r="M18" s="68">
        <f t="shared" ca="1" si="2"/>
        <v>0</v>
      </c>
      <c r="N18" s="68" t="b">
        <f t="shared" ca="1" si="3"/>
        <v>0</v>
      </c>
      <c r="O18" s="68" t="str">
        <f t="shared" ca="1" si="4"/>
        <v/>
      </c>
      <c r="P18" s="68"/>
      <c r="Q18" s="68"/>
      <c r="R18" s="68"/>
      <c r="S18" s="68"/>
      <c r="T18" s="68"/>
      <c r="U18" s="68"/>
    </row>
    <row r="19" spans="1:21">
      <c r="A19" s="81">
        <v>17</v>
      </c>
      <c r="B19" s="44"/>
      <c r="C19" s="45"/>
      <c r="D19" s="47"/>
      <c r="E19" s="46">
        <v>0</v>
      </c>
      <c r="F19" s="51"/>
      <c r="G19" s="52"/>
      <c r="H19" s="52"/>
      <c r="I19" s="53"/>
      <c r="J19" s="44"/>
      <c r="K19" s="24">
        <f t="shared" ca="1" si="0"/>
        <v>0</v>
      </c>
      <c r="L19" s="68">
        <f t="shared" ca="1" si="1"/>
        <v>0</v>
      </c>
      <c r="M19" s="68">
        <f t="shared" ca="1" si="2"/>
        <v>0</v>
      </c>
      <c r="N19" s="68" t="b">
        <f t="shared" ca="1" si="3"/>
        <v>0</v>
      </c>
      <c r="O19" s="68" t="str">
        <f t="shared" ca="1" si="4"/>
        <v/>
      </c>
      <c r="P19" s="68"/>
      <c r="Q19" s="68"/>
      <c r="R19" s="68"/>
      <c r="S19" s="68"/>
      <c r="T19" s="68"/>
      <c r="U19" s="68"/>
    </row>
    <row r="20" spans="1:21">
      <c r="A20" s="81">
        <v>18</v>
      </c>
      <c r="B20" s="44"/>
      <c r="C20" s="45"/>
      <c r="D20" s="47"/>
      <c r="E20" s="46">
        <v>0</v>
      </c>
      <c r="F20" s="51"/>
      <c r="G20" s="52"/>
      <c r="H20" s="52"/>
      <c r="I20" s="47"/>
      <c r="J20" s="44"/>
      <c r="K20" s="24">
        <f t="shared" ca="1" si="0"/>
        <v>0</v>
      </c>
      <c r="L20" s="68">
        <f t="shared" ca="1" si="1"/>
        <v>0</v>
      </c>
      <c r="M20" s="68">
        <f t="shared" ca="1" si="2"/>
        <v>0</v>
      </c>
      <c r="N20" s="68" t="b">
        <f t="shared" ca="1" si="3"/>
        <v>0</v>
      </c>
      <c r="O20" s="68" t="str">
        <f t="shared" ca="1" si="4"/>
        <v/>
      </c>
      <c r="P20" s="68"/>
      <c r="Q20" s="68"/>
      <c r="R20" s="68"/>
      <c r="S20" s="68"/>
      <c r="T20" s="68"/>
      <c r="U20" s="68"/>
    </row>
    <row r="21" spans="1:21">
      <c r="A21" s="81">
        <v>19</v>
      </c>
      <c r="B21" s="44"/>
      <c r="C21" s="45"/>
      <c r="D21" s="47"/>
      <c r="E21" s="46">
        <v>0</v>
      </c>
      <c r="F21" s="51"/>
      <c r="G21" s="52"/>
      <c r="H21" s="52"/>
      <c r="I21" s="47"/>
      <c r="J21" s="44"/>
      <c r="K21" s="24">
        <f t="shared" ca="1" si="0"/>
        <v>0</v>
      </c>
      <c r="L21" s="68">
        <f t="shared" ca="1" si="1"/>
        <v>0</v>
      </c>
      <c r="M21" s="68">
        <f t="shared" ca="1" si="2"/>
        <v>0</v>
      </c>
      <c r="N21" s="68" t="b">
        <f t="shared" ca="1" si="3"/>
        <v>0</v>
      </c>
      <c r="O21" s="68" t="str">
        <f t="shared" ca="1" si="4"/>
        <v/>
      </c>
      <c r="P21" s="68"/>
      <c r="Q21" s="68"/>
      <c r="R21" s="68"/>
      <c r="S21" s="68"/>
      <c r="T21" s="68"/>
      <c r="U21" s="68"/>
    </row>
    <row r="22" spans="1:21">
      <c r="A22" s="81">
        <v>20</v>
      </c>
      <c r="B22" s="44"/>
      <c r="C22" s="45"/>
      <c r="D22" s="47"/>
      <c r="E22" s="46">
        <v>0</v>
      </c>
      <c r="F22" s="51"/>
      <c r="G22" s="52"/>
      <c r="H22" s="52"/>
      <c r="I22" s="47"/>
      <c r="J22" s="44"/>
      <c r="K22" s="24">
        <f t="shared" ca="1" si="0"/>
        <v>0</v>
      </c>
      <c r="L22" s="68">
        <f t="shared" ca="1" si="1"/>
        <v>0</v>
      </c>
      <c r="M22" s="68">
        <f t="shared" ca="1" si="2"/>
        <v>0</v>
      </c>
      <c r="N22" s="68" t="b">
        <f t="shared" ca="1" si="3"/>
        <v>0</v>
      </c>
      <c r="O22" s="68" t="str">
        <f t="shared" ca="1" si="4"/>
        <v/>
      </c>
      <c r="P22" s="68"/>
      <c r="Q22" s="68"/>
      <c r="R22" s="68"/>
      <c r="S22" s="68"/>
      <c r="T22" s="68"/>
      <c r="U22" s="68"/>
    </row>
    <row r="23" spans="1:21" ht="15.75">
      <c r="A23" s="82">
        <v>21</v>
      </c>
      <c r="B23" s="44"/>
      <c r="C23" s="45"/>
      <c r="D23" s="47"/>
      <c r="E23" s="46">
        <v>0</v>
      </c>
      <c r="F23" s="51"/>
      <c r="G23" s="52"/>
      <c r="H23" s="52"/>
      <c r="I23" s="47"/>
      <c r="J23" s="44"/>
      <c r="K23" s="24">
        <f t="shared" ca="1" si="0"/>
        <v>0</v>
      </c>
      <c r="L23" s="68">
        <f t="shared" ca="1" si="1"/>
        <v>0</v>
      </c>
      <c r="M23" s="68">
        <f t="shared" ca="1" si="2"/>
        <v>0</v>
      </c>
      <c r="N23" s="68" t="b">
        <f t="shared" ca="1" si="3"/>
        <v>0</v>
      </c>
      <c r="O23" s="68" t="str">
        <f t="shared" ca="1" si="4"/>
        <v/>
      </c>
      <c r="P23" s="68"/>
      <c r="Q23" s="68"/>
      <c r="R23" s="68"/>
      <c r="S23" s="68"/>
      <c r="T23" s="68"/>
      <c r="U23" s="68"/>
    </row>
    <row r="24" spans="1:21" ht="15.75">
      <c r="A24" s="82">
        <v>22</v>
      </c>
      <c r="B24" s="44"/>
      <c r="C24" s="45"/>
      <c r="D24" s="47"/>
      <c r="E24" s="46">
        <v>0</v>
      </c>
      <c r="F24" s="51"/>
      <c r="G24" s="52"/>
      <c r="H24" s="52"/>
      <c r="I24" s="47"/>
      <c r="J24" s="44"/>
      <c r="K24" s="24">
        <f t="shared" ca="1" si="0"/>
        <v>0</v>
      </c>
      <c r="L24" s="68">
        <f t="shared" ca="1" si="1"/>
        <v>0</v>
      </c>
      <c r="M24" s="68">
        <f t="shared" ca="1" si="2"/>
        <v>0</v>
      </c>
      <c r="N24" s="68" t="b">
        <f t="shared" ca="1" si="3"/>
        <v>0</v>
      </c>
      <c r="O24" s="68" t="str">
        <f t="shared" ca="1" si="4"/>
        <v/>
      </c>
      <c r="P24" s="68"/>
      <c r="Q24" s="68"/>
      <c r="R24" s="68"/>
      <c r="S24" s="68"/>
      <c r="T24" s="68"/>
      <c r="U24" s="68"/>
    </row>
    <row r="25" spans="1:21" ht="15.75">
      <c r="A25" s="82">
        <v>23</v>
      </c>
      <c r="B25" s="44"/>
      <c r="C25" s="45"/>
      <c r="D25" s="47"/>
      <c r="E25" s="46">
        <v>0</v>
      </c>
      <c r="F25" s="51"/>
      <c r="G25" s="52"/>
      <c r="H25" s="52"/>
      <c r="I25" s="47"/>
      <c r="J25" s="44"/>
      <c r="K25" s="24">
        <f t="shared" ca="1" si="0"/>
        <v>0</v>
      </c>
      <c r="L25" s="68">
        <f t="shared" ca="1" si="1"/>
        <v>0</v>
      </c>
      <c r="M25" s="68">
        <f t="shared" ca="1" si="2"/>
        <v>0</v>
      </c>
      <c r="N25" s="68" t="b">
        <f t="shared" ca="1" si="3"/>
        <v>0</v>
      </c>
      <c r="O25" s="68" t="str">
        <f t="shared" ca="1" si="4"/>
        <v/>
      </c>
      <c r="P25" s="68"/>
      <c r="Q25" s="68"/>
      <c r="R25" s="68"/>
      <c r="S25" s="68"/>
      <c r="T25" s="68"/>
      <c r="U25" s="68"/>
    </row>
    <row r="26" spans="1:21" ht="15.75">
      <c r="A26" s="82">
        <v>24</v>
      </c>
      <c r="B26" s="44"/>
      <c r="C26" s="45"/>
      <c r="D26" s="54"/>
      <c r="E26" s="46">
        <v>0</v>
      </c>
      <c r="F26" s="51"/>
      <c r="G26" s="52"/>
      <c r="H26" s="52"/>
      <c r="I26" s="47"/>
      <c r="J26" s="44"/>
      <c r="K26" s="24">
        <f t="shared" ca="1" si="0"/>
        <v>0</v>
      </c>
      <c r="L26" s="68">
        <f t="shared" ca="1" si="1"/>
        <v>0</v>
      </c>
      <c r="M26" s="68">
        <f t="shared" ca="1" si="2"/>
        <v>0</v>
      </c>
      <c r="N26" s="68" t="b">
        <f t="shared" ca="1" si="3"/>
        <v>0</v>
      </c>
      <c r="O26" s="68" t="str">
        <f t="shared" ca="1" si="4"/>
        <v/>
      </c>
      <c r="P26" s="68"/>
      <c r="Q26" s="68"/>
      <c r="R26" s="68"/>
      <c r="S26" s="68"/>
      <c r="T26" s="68"/>
      <c r="U26" s="68"/>
    </row>
    <row r="27" spans="1:21" ht="15.75">
      <c r="A27" s="83">
        <v>25</v>
      </c>
      <c r="B27" s="48"/>
      <c r="C27" s="49"/>
      <c r="D27" s="50"/>
      <c r="E27" s="46">
        <v>0</v>
      </c>
      <c r="F27" s="55"/>
      <c r="G27" s="56"/>
      <c r="H27" s="56"/>
      <c r="I27" s="50"/>
      <c r="J27" s="48"/>
      <c r="K27" s="25">
        <f t="shared" ca="1" si="0"/>
        <v>0</v>
      </c>
      <c r="L27" s="68">
        <f t="shared" ca="1" si="1"/>
        <v>0</v>
      </c>
      <c r="M27" s="68">
        <f t="shared" ca="1" si="2"/>
        <v>0</v>
      </c>
      <c r="N27" s="68" t="b">
        <f t="shared" ca="1" si="3"/>
        <v>0</v>
      </c>
      <c r="O27" s="68" t="str">
        <f ca="1">IF(C27="","",DATEDIF($C27,TODAY(),"m"))</f>
        <v/>
      </c>
      <c r="P27" s="68"/>
      <c r="Q27" s="68"/>
      <c r="R27" s="68"/>
      <c r="S27" s="68"/>
      <c r="T27" s="68"/>
      <c r="U27" s="68"/>
    </row>
  </sheetData>
  <sheetProtection algorithmName="SHA-512" hashValue="ONOuzIPpejt7XXr8eWvrTNJRJc+mwg48/cV7dqRo/ZFBaGKKXvKOCKmQEjmyuGRcj15xAeFq0Ho7KVRWQIPiXg==" saltValue="c2Y4x0QmzfrLOIwoMh4unA==" spinCount="100000" sheet="1" objects="1" scenarios="1" selectLockedCells="1"/>
  <mergeCells count="1">
    <mergeCell ref="P4:T4"/>
  </mergeCells>
  <conditionalFormatting sqref="A3:K27">
    <cfRule type="expression" dxfId="201" priority="1">
      <formula>ROW()=CELL("LIN")</formula>
    </cfRule>
    <cfRule type="expression" dxfId="200" priority="2">
      <formula>IF($D3&lt;&gt;"",1,0)</formula>
    </cfRule>
  </conditionalFormatting>
  <conditionalFormatting sqref="O3:O27">
    <cfRule type="cellIs" dxfId="199" priority="3" operator="lessThan">
      <formula>$T$3</formula>
    </cfRule>
  </conditionalFormatting>
  <pageMargins left="1" right="1" top="1" bottom="1" header="0.5" footer="0.5"/>
  <pageSetup paperSize="9" scale="51" fitToHeight="0" orientation="landscape" horizontalDpi="300" verticalDpi="300" r:id="rId1"/>
  <drawing r:id="rId2"/>
  <tableParts count="1">
    <tablePart r:id="rId3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4FE65-BE0F-47DC-B356-3AE8D47170CC}">
  <sheetPr codeName="Planilha8"/>
  <dimension ref="A1:AE29"/>
  <sheetViews>
    <sheetView showGridLines="0" showRowColHeaders="0" view="pageBreakPreview" zoomScale="60" zoomScaleNormal="70" workbookViewId="0">
      <pane xSplit="4" topLeftCell="E1" activePane="topRight" state="frozen"/>
      <selection sqref="A1:D3"/>
      <selection pane="topRight" activeCell="E6" sqref="E6"/>
    </sheetView>
  </sheetViews>
  <sheetFormatPr defaultRowHeight="12.75"/>
  <cols>
    <col min="2" max="2" width="39.28515625" bestFit="1" customWidth="1"/>
    <col min="3" max="3" width="14.28515625" customWidth="1"/>
    <col min="4" max="4" width="40.140625" customWidth="1"/>
    <col min="5" max="5" width="15.28515625" customWidth="1"/>
    <col min="6" max="6" width="16.28515625" customWidth="1"/>
    <col min="7" max="7" width="24.7109375" customWidth="1"/>
    <col min="8" max="8" width="15.140625" customWidth="1"/>
    <col min="9" max="9" width="14.5703125" customWidth="1"/>
    <col min="10" max="10" width="24.5703125" customWidth="1"/>
    <col min="12" max="12" width="14.140625" customWidth="1"/>
    <col min="13" max="13" width="15.140625" customWidth="1"/>
    <col min="14" max="14" width="23.5703125" customWidth="1"/>
    <col min="15" max="15" width="14.85546875" customWidth="1"/>
    <col min="16" max="16" width="15.85546875" customWidth="1"/>
    <col min="17" max="17" width="24.28515625" customWidth="1"/>
    <col min="19" max="19" width="15.140625" customWidth="1"/>
    <col min="20" max="20" width="16.140625" customWidth="1"/>
    <col min="21" max="21" width="24.5703125" customWidth="1"/>
    <col min="22" max="22" width="14.7109375" customWidth="1"/>
    <col min="23" max="23" width="15.7109375" customWidth="1"/>
    <col min="24" max="24" width="24.140625" customWidth="1"/>
    <col min="26" max="26" width="15" customWidth="1"/>
    <col min="27" max="27" width="16" customWidth="1"/>
    <col min="28" max="28" width="24.42578125" customWidth="1"/>
    <col min="29" max="29" width="15.140625" customWidth="1"/>
    <col min="30" max="30" width="16.140625" customWidth="1"/>
    <col min="31" max="31" width="24.5703125" customWidth="1"/>
  </cols>
  <sheetData>
    <row r="1" spans="1:31" ht="30" customHeight="1" thickBot="1">
      <c r="A1" s="124" t="str">
        <f>CONCATENATE('2A-A-Turma'!B2&amp;" - ",'2A-A-Turma'!B3)</f>
        <v>2º Ano - A - Manhã</v>
      </c>
      <c r="B1" s="124"/>
      <c r="C1" s="124"/>
      <c r="D1" s="125"/>
      <c r="E1" s="128" t="s">
        <v>41</v>
      </c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  <c r="V1" s="129"/>
      <c r="W1" s="129"/>
      <c r="X1" s="129"/>
      <c r="Y1" s="129"/>
      <c r="Z1" s="129"/>
      <c r="AA1" s="129"/>
      <c r="AB1" s="129"/>
      <c r="AC1" s="129"/>
      <c r="AD1" s="129"/>
      <c r="AE1" s="130"/>
    </row>
    <row r="2" spans="1:31" ht="16.5" thickBot="1">
      <c r="A2" s="124"/>
      <c r="B2" s="124"/>
      <c r="C2" s="124"/>
      <c r="D2" s="125"/>
      <c r="E2" s="131" t="s">
        <v>37</v>
      </c>
      <c r="F2" s="132"/>
      <c r="G2" s="132"/>
      <c r="H2" s="132"/>
      <c r="I2" s="132"/>
      <c r="J2" s="132"/>
      <c r="K2" s="132"/>
      <c r="L2" s="132"/>
      <c r="M2" s="132"/>
      <c r="N2" s="132"/>
      <c r="O2" s="132"/>
      <c r="P2" s="132"/>
      <c r="Q2" s="133"/>
      <c r="R2" s="64"/>
      <c r="S2" s="131" t="s">
        <v>38</v>
      </c>
      <c r="T2" s="132"/>
      <c r="U2" s="132"/>
      <c r="V2" s="132"/>
      <c r="W2" s="132"/>
      <c r="X2" s="132"/>
      <c r="Y2" s="132"/>
      <c r="Z2" s="132"/>
      <c r="AA2" s="132"/>
      <c r="AB2" s="132"/>
      <c r="AC2" s="132"/>
      <c r="AD2" s="132"/>
      <c r="AE2" s="133"/>
    </row>
    <row r="3" spans="1:31" ht="15">
      <c r="A3" s="126"/>
      <c r="B3" s="126"/>
      <c r="C3" s="126"/>
      <c r="D3" s="127"/>
      <c r="E3" s="134" t="s">
        <v>33</v>
      </c>
      <c r="F3" s="135"/>
      <c r="G3" s="136"/>
      <c r="H3" s="138" t="s">
        <v>34</v>
      </c>
      <c r="I3" s="139"/>
      <c r="J3" s="140"/>
      <c r="K3" s="64"/>
      <c r="L3" s="134" t="s">
        <v>35</v>
      </c>
      <c r="M3" s="135"/>
      <c r="N3" s="136"/>
      <c r="O3" s="138" t="s">
        <v>36</v>
      </c>
      <c r="P3" s="139"/>
      <c r="Q3" s="140"/>
      <c r="R3" s="64"/>
      <c r="S3" s="137" t="s">
        <v>39</v>
      </c>
      <c r="T3" s="135"/>
      <c r="U3" s="136"/>
      <c r="V3" s="141" t="s">
        <v>40</v>
      </c>
      <c r="W3" s="139"/>
      <c r="X3" s="140"/>
      <c r="Y3" s="64"/>
      <c r="Z3" s="134" t="s">
        <v>31</v>
      </c>
      <c r="AA3" s="135"/>
      <c r="AB3" s="136"/>
      <c r="AC3" s="138" t="s">
        <v>32</v>
      </c>
      <c r="AD3" s="139"/>
      <c r="AE3" s="140"/>
    </row>
    <row r="4" spans="1:31" ht="31.5">
      <c r="A4" s="63" t="s">
        <v>9</v>
      </c>
      <c r="B4" s="57" t="s">
        <v>10</v>
      </c>
      <c r="C4" s="58" t="s">
        <v>13</v>
      </c>
      <c r="D4" s="59" t="s">
        <v>16</v>
      </c>
      <c r="E4" s="31" t="s">
        <v>42</v>
      </c>
      <c r="F4" s="32" t="s">
        <v>43</v>
      </c>
      <c r="G4" s="33" t="s">
        <v>44</v>
      </c>
      <c r="H4" s="34" t="s">
        <v>46</v>
      </c>
      <c r="I4" s="35" t="s">
        <v>45</v>
      </c>
      <c r="J4" s="36" t="s">
        <v>51</v>
      </c>
      <c r="K4" s="65" t="s">
        <v>47</v>
      </c>
      <c r="L4" s="37" t="s">
        <v>48</v>
      </c>
      <c r="M4" s="32" t="s">
        <v>49</v>
      </c>
      <c r="N4" s="33" t="s">
        <v>50</v>
      </c>
      <c r="O4" s="34" t="s">
        <v>52</v>
      </c>
      <c r="P4" s="35" t="s">
        <v>53</v>
      </c>
      <c r="Q4" s="36" t="s">
        <v>54</v>
      </c>
      <c r="R4" s="65" t="s">
        <v>55</v>
      </c>
      <c r="S4" s="37" t="s">
        <v>56</v>
      </c>
      <c r="T4" s="32" t="s">
        <v>57</v>
      </c>
      <c r="U4" s="33" t="s">
        <v>58</v>
      </c>
      <c r="V4" s="34" t="s">
        <v>59</v>
      </c>
      <c r="W4" s="35" t="s">
        <v>60</v>
      </c>
      <c r="X4" s="36" t="s">
        <v>61</v>
      </c>
      <c r="Y4" s="65" t="s">
        <v>62</v>
      </c>
      <c r="Z4" s="37" t="s">
        <v>63</v>
      </c>
      <c r="AA4" s="32" t="s">
        <v>64</v>
      </c>
      <c r="AB4" s="33" t="s">
        <v>65</v>
      </c>
      <c r="AC4" s="34" t="s">
        <v>66</v>
      </c>
      <c r="AD4" s="35" t="s">
        <v>67</v>
      </c>
      <c r="AE4" s="38" t="s">
        <v>68</v>
      </c>
    </row>
    <row r="5" spans="1:31" ht="15">
      <c r="A5" s="72">
        <v>1</v>
      </c>
      <c r="B5" s="60" t="str">
        <f>IF('2A-A'!B3&lt;&gt;0,'2A-A'!B3,"")</f>
        <v/>
      </c>
      <c r="C5" s="61" t="str">
        <f>IF('2A-A'!C3&lt;&gt;0,'2A-A'!C3,"")</f>
        <v/>
      </c>
      <c r="D5" s="62" t="str">
        <f>IF('2A-A'!D3&lt;&gt;0,'2A-A'!D3,"")</f>
        <v/>
      </c>
      <c r="E5" s="43"/>
      <c r="F5" s="42"/>
      <c r="G5" s="28" t="e">
        <f t="shared" ref="G5:G29" si="0">ROUND((E5*100)/(E5+F5),0)/100</f>
        <v>#DIV/0!</v>
      </c>
      <c r="H5" s="39"/>
      <c r="I5" s="40"/>
      <c r="J5" s="29" t="e">
        <f t="shared" ref="J5:J29" si="1">ROUND((H5*100)/(H5+I5),0)/100</f>
        <v>#DIV/0!</v>
      </c>
      <c r="K5" s="87">
        <f>Tabela27368101214[[#This Row],[Nº]]</f>
        <v>1</v>
      </c>
      <c r="L5" s="41"/>
      <c r="M5" s="42"/>
      <c r="N5" s="28" t="e">
        <f t="shared" ref="N5:N29" si="2">ROUND((L5*100)/(L5+M5),0)/100</f>
        <v>#DIV/0!</v>
      </c>
      <c r="O5" s="39"/>
      <c r="P5" s="40"/>
      <c r="Q5" s="29" t="e">
        <f t="shared" ref="Q5:Q29" si="3">ROUND((O5*100)/(O5+P5),0)/100</f>
        <v>#DIV/0!</v>
      </c>
      <c r="R5" s="87">
        <f>Tabela27368101214[[#This Row],[Nº]]</f>
        <v>1</v>
      </c>
      <c r="S5" s="41"/>
      <c r="T5" s="42"/>
      <c r="U5" s="28" t="e">
        <f t="shared" ref="U5:U29" si="4">ROUND((S5*100)/(S5+T5),0)/100</f>
        <v>#DIV/0!</v>
      </c>
      <c r="V5" s="39"/>
      <c r="W5" s="40"/>
      <c r="X5" s="29" t="e">
        <f t="shared" ref="X5:X29" si="5">ROUND((V5*100)/(V5+W5),0)/100</f>
        <v>#DIV/0!</v>
      </c>
      <c r="Y5" s="87">
        <f>Tabela27368101214[[#This Row],[Nº]]</f>
        <v>1</v>
      </c>
      <c r="Z5" s="41"/>
      <c r="AA5" s="42"/>
      <c r="AB5" s="28" t="e">
        <f t="shared" ref="AB5:AB29" si="6">ROUND((Z5*100)/(Z5+AA5),0)/100</f>
        <v>#DIV/0!</v>
      </c>
      <c r="AC5" s="39"/>
      <c r="AD5" s="40"/>
      <c r="AE5" s="30" t="e">
        <f t="shared" ref="AE5:AE29" si="7">ROUND((AC5*100)/(AC5+AD5),0)/100</f>
        <v>#DIV/0!</v>
      </c>
    </row>
    <row r="6" spans="1:31" ht="15">
      <c r="A6" s="72">
        <v>2</v>
      </c>
      <c r="B6" s="60" t="str">
        <f>IF('2A-A'!B4&lt;&gt;0,'2A-A'!B4,"")</f>
        <v/>
      </c>
      <c r="C6" s="61" t="str">
        <f>IF('2A-A'!C4&lt;&gt;0,'2A-A'!C4,"")</f>
        <v/>
      </c>
      <c r="D6" s="62" t="str">
        <f>IF('2A-A'!D4&lt;&gt;0,'2A-A'!D4,"")</f>
        <v/>
      </c>
      <c r="E6" s="43"/>
      <c r="F6" s="42"/>
      <c r="G6" s="28" t="e">
        <f t="shared" si="0"/>
        <v>#DIV/0!</v>
      </c>
      <c r="H6" s="39"/>
      <c r="I6" s="40"/>
      <c r="J6" s="29" t="e">
        <f t="shared" si="1"/>
        <v>#DIV/0!</v>
      </c>
      <c r="K6" s="87">
        <f>Tabela27368101214[[#This Row],[Nº]]</f>
        <v>2</v>
      </c>
      <c r="L6" s="41"/>
      <c r="M6" s="42"/>
      <c r="N6" s="28" t="e">
        <f t="shared" si="2"/>
        <v>#DIV/0!</v>
      </c>
      <c r="O6" s="39"/>
      <c r="P6" s="40"/>
      <c r="Q6" s="29" t="e">
        <f t="shared" si="3"/>
        <v>#DIV/0!</v>
      </c>
      <c r="R6" s="87">
        <f>Tabela27368101214[[#This Row],[Nº]]</f>
        <v>2</v>
      </c>
      <c r="S6" s="41"/>
      <c r="T6" s="42"/>
      <c r="U6" s="28" t="e">
        <f t="shared" si="4"/>
        <v>#DIV/0!</v>
      </c>
      <c r="V6" s="39"/>
      <c r="W6" s="40"/>
      <c r="X6" s="29" t="e">
        <f t="shared" si="5"/>
        <v>#DIV/0!</v>
      </c>
      <c r="Y6" s="87">
        <f>Tabela27368101214[[#This Row],[Nº]]</f>
        <v>2</v>
      </c>
      <c r="Z6" s="41"/>
      <c r="AA6" s="42"/>
      <c r="AB6" s="28" t="e">
        <f t="shared" si="6"/>
        <v>#DIV/0!</v>
      </c>
      <c r="AC6" s="39"/>
      <c r="AD6" s="40"/>
      <c r="AE6" s="30" t="e">
        <f t="shared" si="7"/>
        <v>#DIV/0!</v>
      </c>
    </row>
    <row r="7" spans="1:31" ht="15">
      <c r="A7" s="72">
        <v>3</v>
      </c>
      <c r="B7" s="60" t="str">
        <f>IF('2A-A'!B5&lt;&gt;0,'2A-A'!B5,"")</f>
        <v/>
      </c>
      <c r="C7" s="61" t="str">
        <f>IF('2A-A'!C5&lt;&gt;0,'2A-A'!C5,"")</f>
        <v/>
      </c>
      <c r="D7" s="62" t="str">
        <f>IF('2A-A'!D5&lt;&gt;0,'2A-A'!D5,"")</f>
        <v/>
      </c>
      <c r="E7" s="43"/>
      <c r="F7" s="42"/>
      <c r="G7" s="28" t="e">
        <f t="shared" si="0"/>
        <v>#DIV/0!</v>
      </c>
      <c r="H7" s="39"/>
      <c r="I7" s="40"/>
      <c r="J7" s="29" t="e">
        <f t="shared" si="1"/>
        <v>#DIV/0!</v>
      </c>
      <c r="K7" s="87">
        <f>Tabela27368101214[[#This Row],[Nº]]</f>
        <v>3</v>
      </c>
      <c r="L7" s="41"/>
      <c r="M7" s="42"/>
      <c r="N7" s="28" t="e">
        <f t="shared" si="2"/>
        <v>#DIV/0!</v>
      </c>
      <c r="O7" s="39"/>
      <c r="P7" s="40"/>
      <c r="Q7" s="29" t="e">
        <f t="shared" si="3"/>
        <v>#DIV/0!</v>
      </c>
      <c r="R7" s="87">
        <f>Tabela27368101214[[#This Row],[Nº]]</f>
        <v>3</v>
      </c>
      <c r="S7" s="41"/>
      <c r="T7" s="42"/>
      <c r="U7" s="28" t="e">
        <f t="shared" si="4"/>
        <v>#DIV/0!</v>
      </c>
      <c r="V7" s="39"/>
      <c r="W7" s="40"/>
      <c r="X7" s="29" t="e">
        <f t="shared" si="5"/>
        <v>#DIV/0!</v>
      </c>
      <c r="Y7" s="87">
        <f>Tabela27368101214[[#This Row],[Nº]]</f>
        <v>3</v>
      </c>
      <c r="Z7" s="41"/>
      <c r="AA7" s="42"/>
      <c r="AB7" s="28" t="e">
        <f t="shared" si="6"/>
        <v>#DIV/0!</v>
      </c>
      <c r="AC7" s="39"/>
      <c r="AD7" s="40"/>
      <c r="AE7" s="30" t="e">
        <f t="shared" si="7"/>
        <v>#DIV/0!</v>
      </c>
    </row>
    <row r="8" spans="1:31" ht="15">
      <c r="A8" s="72">
        <v>4</v>
      </c>
      <c r="B8" s="60" t="str">
        <f>IF('2A-A'!B6&lt;&gt;0,'2A-A'!B6,"")</f>
        <v/>
      </c>
      <c r="C8" s="61" t="str">
        <f>IF('2A-A'!C6&lt;&gt;0,'2A-A'!C6,"")</f>
        <v/>
      </c>
      <c r="D8" s="62" t="str">
        <f>IF('2A-A'!D6&lt;&gt;0,'2A-A'!D6,"")</f>
        <v/>
      </c>
      <c r="E8" s="43"/>
      <c r="F8" s="42"/>
      <c r="G8" s="28" t="e">
        <f t="shared" si="0"/>
        <v>#DIV/0!</v>
      </c>
      <c r="H8" s="39"/>
      <c r="I8" s="40"/>
      <c r="J8" s="29" t="e">
        <f t="shared" si="1"/>
        <v>#DIV/0!</v>
      </c>
      <c r="K8" s="87">
        <f>Tabela27368101214[[#This Row],[Nº]]</f>
        <v>4</v>
      </c>
      <c r="L8" s="41"/>
      <c r="M8" s="42"/>
      <c r="N8" s="28" t="e">
        <f t="shared" si="2"/>
        <v>#DIV/0!</v>
      </c>
      <c r="O8" s="39"/>
      <c r="P8" s="40"/>
      <c r="Q8" s="29" t="e">
        <f t="shared" si="3"/>
        <v>#DIV/0!</v>
      </c>
      <c r="R8" s="87">
        <f>Tabela27368101214[[#This Row],[Nº]]</f>
        <v>4</v>
      </c>
      <c r="S8" s="41"/>
      <c r="T8" s="42"/>
      <c r="U8" s="28" t="e">
        <f t="shared" si="4"/>
        <v>#DIV/0!</v>
      </c>
      <c r="V8" s="39"/>
      <c r="W8" s="40"/>
      <c r="X8" s="29" t="e">
        <f t="shared" si="5"/>
        <v>#DIV/0!</v>
      </c>
      <c r="Y8" s="87">
        <f>Tabela27368101214[[#This Row],[Nº]]</f>
        <v>4</v>
      </c>
      <c r="Z8" s="41"/>
      <c r="AA8" s="42"/>
      <c r="AB8" s="28" t="e">
        <f t="shared" si="6"/>
        <v>#DIV/0!</v>
      </c>
      <c r="AC8" s="39"/>
      <c r="AD8" s="40"/>
      <c r="AE8" s="30" t="e">
        <f t="shared" si="7"/>
        <v>#DIV/0!</v>
      </c>
    </row>
    <row r="9" spans="1:31" ht="15">
      <c r="A9" s="72">
        <v>5</v>
      </c>
      <c r="B9" s="60" t="str">
        <f>IF('2A-A'!B7&lt;&gt;0,'2A-A'!B7,"")</f>
        <v/>
      </c>
      <c r="C9" s="61" t="str">
        <f>IF('2A-A'!C7&lt;&gt;0,'2A-A'!C7,"")</f>
        <v/>
      </c>
      <c r="D9" s="62" t="str">
        <f>IF('2A-A'!D7&lt;&gt;0,'2A-A'!D7,"")</f>
        <v/>
      </c>
      <c r="E9" s="43"/>
      <c r="F9" s="42"/>
      <c r="G9" s="28" t="e">
        <f t="shared" si="0"/>
        <v>#DIV/0!</v>
      </c>
      <c r="H9" s="39"/>
      <c r="I9" s="40"/>
      <c r="J9" s="29" t="e">
        <f t="shared" si="1"/>
        <v>#DIV/0!</v>
      </c>
      <c r="K9" s="87">
        <f>Tabela27368101214[[#This Row],[Nº]]</f>
        <v>5</v>
      </c>
      <c r="L9" s="41"/>
      <c r="M9" s="42"/>
      <c r="N9" s="28" t="e">
        <f t="shared" si="2"/>
        <v>#DIV/0!</v>
      </c>
      <c r="O9" s="39"/>
      <c r="P9" s="40"/>
      <c r="Q9" s="29" t="e">
        <f t="shared" si="3"/>
        <v>#DIV/0!</v>
      </c>
      <c r="R9" s="87">
        <f>Tabela27368101214[[#This Row],[Nº]]</f>
        <v>5</v>
      </c>
      <c r="S9" s="41"/>
      <c r="T9" s="42"/>
      <c r="U9" s="28" t="e">
        <f t="shared" si="4"/>
        <v>#DIV/0!</v>
      </c>
      <c r="V9" s="39"/>
      <c r="W9" s="40"/>
      <c r="X9" s="29" t="e">
        <f t="shared" si="5"/>
        <v>#DIV/0!</v>
      </c>
      <c r="Y9" s="87">
        <f>Tabela27368101214[[#This Row],[Nº]]</f>
        <v>5</v>
      </c>
      <c r="Z9" s="41"/>
      <c r="AA9" s="42"/>
      <c r="AB9" s="28" t="e">
        <f t="shared" si="6"/>
        <v>#DIV/0!</v>
      </c>
      <c r="AC9" s="39"/>
      <c r="AD9" s="40"/>
      <c r="AE9" s="30" t="e">
        <f t="shared" si="7"/>
        <v>#DIV/0!</v>
      </c>
    </row>
    <row r="10" spans="1:31" ht="15">
      <c r="A10" s="72">
        <v>6</v>
      </c>
      <c r="B10" s="60" t="str">
        <f>IF('2A-A'!B8&lt;&gt;0,'2A-A'!B8,"")</f>
        <v/>
      </c>
      <c r="C10" s="61" t="str">
        <f>IF('2A-A'!C8&lt;&gt;0,'2A-A'!C8,"")</f>
        <v/>
      </c>
      <c r="D10" s="62" t="str">
        <f>IF('2A-A'!D8&lt;&gt;0,'2A-A'!D8,"")</f>
        <v/>
      </c>
      <c r="E10" s="43"/>
      <c r="F10" s="42"/>
      <c r="G10" s="28" t="e">
        <f t="shared" si="0"/>
        <v>#DIV/0!</v>
      </c>
      <c r="H10" s="39"/>
      <c r="I10" s="40"/>
      <c r="J10" s="29" t="e">
        <f t="shared" si="1"/>
        <v>#DIV/0!</v>
      </c>
      <c r="K10" s="87">
        <f>Tabela27368101214[[#This Row],[Nº]]</f>
        <v>6</v>
      </c>
      <c r="L10" s="41"/>
      <c r="M10" s="42"/>
      <c r="N10" s="28" t="e">
        <f t="shared" si="2"/>
        <v>#DIV/0!</v>
      </c>
      <c r="O10" s="39"/>
      <c r="P10" s="40"/>
      <c r="Q10" s="29" t="e">
        <f t="shared" si="3"/>
        <v>#DIV/0!</v>
      </c>
      <c r="R10" s="87">
        <f>Tabela27368101214[[#This Row],[Nº]]</f>
        <v>6</v>
      </c>
      <c r="S10" s="41"/>
      <c r="T10" s="42"/>
      <c r="U10" s="28" t="e">
        <f t="shared" si="4"/>
        <v>#DIV/0!</v>
      </c>
      <c r="V10" s="39"/>
      <c r="W10" s="40"/>
      <c r="X10" s="29" t="e">
        <f t="shared" si="5"/>
        <v>#DIV/0!</v>
      </c>
      <c r="Y10" s="87">
        <f>Tabela27368101214[[#This Row],[Nº]]</f>
        <v>6</v>
      </c>
      <c r="Z10" s="41"/>
      <c r="AA10" s="42"/>
      <c r="AB10" s="28" t="e">
        <f t="shared" si="6"/>
        <v>#DIV/0!</v>
      </c>
      <c r="AC10" s="39"/>
      <c r="AD10" s="40"/>
      <c r="AE10" s="30" t="e">
        <f t="shared" si="7"/>
        <v>#DIV/0!</v>
      </c>
    </row>
    <row r="11" spans="1:31" ht="15">
      <c r="A11" s="72">
        <v>7</v>
      </c>
      <c r="B11" s="60" t="str">
        <f>IF('2A-A'!B9&lt;&gt;0,'2A-A'!B9,"")</f>
        <v/>
      </c>
      <c r="C11" s="61" t="str">
        <f>IF('2A-A'!C9&lt;&gt;0,'2A-A'!C9,"")</f>
        <v/>
      </c>
      <c r="D11" s="62" t="str">
        <f>IF('2A-A'!D9&lt;&gt;0,'2A-A'!D9,"")</f>
        <v/>
      </c>
      <c r="E11" s="43"/>
      <c r="F11" s="42"/>
      <c r="G11" s="28" t="e">
        <f t="shared" si="0"/>
        <v>#DIV/0!</v>
      </c>
      <c r="H11" s="39"/>
      <c r="I11" s="40"/>
      <c r="J11" s="29" t="e">
        <f t="shared" si="1"/>
        <v>#DIV/0!</v>
      </c>
      <c r="K11" s="87">
        <f>Tabela27368101214[[#This Row],[Nº]]</f>
        <v>7</v>
      </c>
      <c r="L11" s="41"/>
      <c r="M11" s="42"/>
      <c r="N11" s="28" t="e">
        <f t="shared" si="2"/>
        <v>#DIV/0!</v>
      </c>
      <c r="O11" s="39"/>
      <c r="P11" s="40"/>
      <c r="Q11" s="29" t="e">
        <f t="shared" si="3"/>
        <v>#DIV/0!</v>
      </c>
      <c r="R11" s="87">
        <f>Tabela27368101214[[#This Row],[Nº]]</f>
        <v>7</v>
      </c>
      <c r="S11" s="41"/>
      <c r="T11" s="42"/>
      <c r="U11" s="28" t="e">
        <f t="shared" si="4"/>
        <v>#DIV/0!</v>
      </c>
      <c r="V11" s="39"/>
      <c r="W11" s="40"/>
      <c r="X11" s="29" t="e">
        <f t="shared" si="5"/>
        <v>#DIV/0!</v>
      </c>
      <c r="Y11" s="87">
        <f>Tabela27368101214[[#This Row],[Nº]]</f>
        <v>7</v>
      </c>
      <c r="Z11" s="41"/>
      <c r="AA11" s="42"/>
      <c r="AB11" s="28" t="e">
        <f t="shared" si="6"/>
        <v>#DIV/0!</v>
      </c>
      <c r="AC11" s="39"/>
      <c r="AD11" s="40"/>
      <c r="AE11" s="30" t="e">
        <f t="shared" si="7"/>
        <v>#DIV/0!</v>
      </c>
    </row>
    <row r="12" spans="1:31" ht="15">
      <c r="A12" s="72">
        <v>8</v>
      </c>
      <c r="B12" s="60" t="str">
        <f>IF('2A-A'!B10&lt;&gt;0,'2A-A'!B10,"")</f>
        <v/>
      </c>
      <c r="C12" s="61" t="str">
        <f>IF('2A-A'!C10&lt;&gt;0,'2A-A'!C10,"")</f>
        <v/>
      </c>
      <c r="D12" s="62" t="str">
        <f>IF('2A-A'!D10&lt;&gt;0,'2A-A'!D10,"")</f>
        <v/>
      </c>
      <c r="E12" s="43"/>
      <c r="F12" s="42"/>
      <c r="G12" s="28" t="e">
        <f t="shared" si="0"/>
        <v>#DIV/0!</v>
      </c>
      <c r="H12" s="39"/>
      <c r="I12" s="40"/>
      <c r="J12" s="29" t="e">
        <f t="shared" si="1"/>
        <v>#DIV/0!</v>
      </c>
      <c r="K12" s="87">
        <f>Tabela27368101214[[#This Row],[Nº]]</f>
        <v>8</v>
      </c>
      <c r="L12" s="41"/>
      <c r="M12" s="42"/>
      <c r="N12" s="28" t="e">
        <f t="shared" si="2"/>
        <v>#DIV/0!</v>
      </c>
      <c r="O12" s="39"/>
      <c r="P12" s="40"/>
      <c r="Q12" s="29" t="e">
        <f t="shared" si="3"/>
        <v>#DIV/0!</v>
      </c>
      <c r="R12" s="87">
        <f>Tabela27368101214[[#This Row],[Nº]]</f>
        <v>8</v>
      </c>
      <c r="S12" s="41"/>
      <c r="T12" s="42"/>
      <c r="U12" s="28" t="e">
        <f t="shared" si="4"/>
        <v>#DIV/0!</v>
      </c>
      <c r="V12" s="39"/>
      <c r="W12" s="40"/>
      <c r="X12" s="29" t="e">
        <f t="shared" si="5"/>
        <v>#DIV/0!</v>
      </c>
      <c r="Y12" s="87">
        <f>Tabela27368101214[[#This Row],[Nº]]</f>
        <v>8</v>
      </c>
      <c r="Z12" s="41"/>
      <c r="AA12" s="42"/>
      <c r="AB12" s="28" t="e">
        <f t="shared" si="6"/>
        <v>#DIV/0!</v>
      </c>
      <c r="AC12" s="39"/>
      <c r="AD12" s="40"/>
      <c r="AE12" s="30" t="e">
        <f t="shared" si="7"/>
        <v>#DIV/0!</v>
      </c>
    </row>
    <row r="13" spans="1:31" ht="15">
      <c r="A13" s="72">
        <v>9</v>
      </c>
      <c r="B13" s="60" t="str">
        <f>IF('2A-A'!B11&lt;&gt;0,'2A-A'!B11,"")</f>
        <v/>
      </c>
      <c r="C13" s="61" t="str">
        <f>IF('2A-A'!C11&lt;&gt;0,'2A-A'!C11,"")</f>
        <v/>
      </c>
      <c r="D13" s="62" t="str">
        <f>IF('2A-A'!D11&lt;&gt;0,'2A-A'!D11,"")</f>
        <v/>
      </c>
      <c r="E13" s="43"/>
      <c r="F13" s="42"/>
      <c r="G13" s="28" t="e">
        <f t="shared" si="0"/>
        <v>#DIV/0!</v>
      </c>
      <c r="H13" s="39"/>
      <c r="I13" s="40"/>
      <c r="J13" s="29" t="e">
        <f t="shared" si="1"/>
        <v>#DIV/0!</v>
      </c>
      <c r="K13" s="87">
        <f>Tabela27368101214[[#This Row],[Nº]]</f>
        <v>9</v>
      </c>
      <c r="L13" s="41"/>
      <c r="M13" s="42"/>
      <c r="N13" s="28" t="e">
        <f t="shared" si="2"/>
        <v>#DIV/0!</v>
      </c>
      <c r="O13" s="39"/>
      <c r="P13" s="40"/>
      <c r="Q13" s="29" t="e">
        <f t="shared" si="3"/>
        <v>#DIV/0!</v>
      </c>
      <c r="R13" s="87">
        <f>Tabela27368101214[[#This Row],[Nº]]</f>
        <v>9</v>
      </c>
      <c r="S13" s="41"/>
      <c r="T13" s="42"/>
      <c r="U13" s="28" t="e">
        <f t="shared" si="4"/>
        <v>#DIV/0!</v>
      </c>
      <c r="V13" s="39"/>
      <c r="W13" s="40"/>
      <c r="X13" s="29" t="e">
        <f t="shared" si="5"/>
        <v>#DIV/0!</v>
      </c>
      <c r="Y13" s="87">
        <f>Tabela27368101214[[#This Row],[Nº]]</f>
        <v>9</v>
      </c>
      <c r="Z13" s="41"/>
      <c r="AA13" s="42"/>
      <c r="AB13" s="28" t="e">
        <f t="shared" si="6"/>
        <v>#DIV/0!</v>
      </c>
      <c r="AC13" s="39"/>
      <c r="AD13" s="40"/>
      <c r="AE13" s="30" t="e">
        <f t="shared" si="7"/>
        <v>#DIV/0!</v>
      </c>
    </row>
    <row r="14" spans="1:31" ht="15">
      <c r="A14" s="72">
        <v>10</v>
      </c>
      <c r="B14" s="60" t="str">
        <f>IF('2A-A'!B12&lt;&gt;0,'2A-A'!B12,"")</f>
        <v/>
      </c>
      <c r="C14" s="61" t="str">
        <f>IF('2A-A'!C12&lt;&gt;0,'2A-A'!C12,"")</f>
        <v/>
      </c>
      <c r="D14" s="62" t="str">
        <f>IF('2A-A'!D12&lt;&gt;0,'2A-A'!D12,"")</f>
        <v/>
      </c>
      <c r="E14" s="43"/>
      <c r="F14" s="42"/>
      <c r="G14" s="28" t="e">
        <f t="shared" si="0"/>
        <v>#DIV/0!</v>
      </c>
      <c r="H14" s="39"/>
      <c r="I14" s="40"/>
      <c r="J14" s="29" t="e">
        <f t="shared" si="1"/>
        <v>#DIV/0!</v>
      </c>
      <c r="K14" s="87">
        <f>Tabela27368101214[[#This Row],[Nº]]</f>
        <v>10</v>
      </c>
      <c r="L14" s="41"/>
      <c r="M14" s="42"/>
      <c r="N14" s="28" t="e">
        <f t="shared" si="2"/>
        <v>#DIV/0!</v>
      </c>
      <c r="O14" s="39"/>
      <c r="P14" s="40"/>
      <c r="Q14" s="29" t="e">
        <f t="shared" si="3"/>
        <v>#DIV/0!</v>
      </c>
      <c r="R14" s="87">
        <f>Tabela27368101214[[#This Row],[Nº]]</f>
        <v>10</v>
      </c>
      <c r="S14" s="41"/>
      <c r="T14" s="42"/>
      <c r="U14" s="28" t="e">
        <f t="shared" si="4"/>
        <v>#DIV/0!</v>
      </c>
      <c r="V14" s="39"/>
      <c r="W14" s="40"/>
      <c r="X14" s="29" t="e">
        <f t="shared" si="5"/>
        <v>#DIV/0!</v>
      </c>
      <c r="Y14" s="87">
        <f>Tabela27368101214[[#This Row],[Nº]]</f>
        <v>10</v>
      </c>
      <c r="Z14" s="41"/>
      <c r="AA14" s="42"/>
      <c r="AB14" s="28" t="e">
        <f t="shared" si="6"/>
        <v>#DIV/0!</v>
      </c>
      <c r="AC14" s="39"/>
      <c r="AD14" s="40"/>
      <c r="AE14" s="30" t="e">
        <f t="shared" si="7"/>
        <v>#DIV/0!</v>
      </c>
    </row>
    <row r="15" spans="1:31" ht="15">
      <c r="A15" s="72">
        <v>11</v>
      </c>
      <c r="B15" s="60" t="str">
        <f>IF('2A-A'!B13&lt;&gt;0,'2A-A'!B13,"")</f>
        <v/>
      </c>
      <c r="C15" s="61" t="str">
        <f>IF('2A-A'!C13&lt;&gt;0,'2A-A'!C13,"")</f>
        <v/>
      </c>
      <c r="D15" s="62" t="str">
        <f>IF('2A-A'!D13&lt;&gt;0,'2A-A'!D13,"")</f>
        <v/>
      </c>
      <c r="E15" s="43"/>
      <c r="F15" s="42"/>
      <c r="G15" s="28" t="e">
        <f t="shared" si="0"/>
        <v>#DIV/0!</v>
      </c>
      <c r="H15" s="39"/>
      <c r="I15" s="40"/>
      <c r="J15" s="29" t="e">
        <f t="shared" si="1"/>
        <v>#DIV/0!</v>
      </c>
      <c r="K15" s="87">
        <f>Tabela27368101214[[#This Row],[Nº]]</f>
        <v>11</v>
      </c>
      <c r="L15" s="41"/>
      <c r="M15" s="42"/>
      <c r="N15" s="28" t="e">
        <f t="shared" si="2"/>
        <v>#DIV/0!</v>
      </c>
      <c r="O15" s="39"/>
      <c r="P15" s="40"/>
      <c r="Q15" s="29" t="e">
        <f t="shared" si="3"/>
        <v>#DIV/0!</v>
      </c>
      <c r="R15" s="87">
        <f>Tabela27368101214[[#This Row],[Nº]]</f>
        <v>11</v>
      </c>
      <c r="S15" s="41"/>
      <c r="T15" s="42"/>
      <c r="U15" s="28" t="e">
        <f t="shared" si="4"/>
        <v>#DIV/0!</v>
      </c>
      <c r="V15" s="39"/>
      <c r="W15" s="40"/>
      <c r="X15" s="29" t="e">
        <f t="shared" si="5"/>
        <v>#DIV/0!</v>
      </c>
      <c r="Y15" s="87">
        <f>Tabela27368101214[[#This Row],[Nº]]</f>
        <v>11</v>
      </c>
      <c r="Z15" s="41"/>
      <c r="AA15" s="42"/>
      <c r="AB15" s="28" t="e">
        <f t="shared" si="6"/>
        <v>#DIV/0!</v>
      </c>
      <c r="AC15" s="39"/>
      <c r="AD15" s="40"/>
      <c r="AE15" s="30" t="e">
        <f t="shared" si="7"/>
        <v>#DIV/0!</v>
      </c>
    </row>
    <row r="16" spans="1:31" ht="15">
      <c r="A16" s="72">
        <v>12</v>
      </c>
      <c r="B16" s="60" t="str">
        <f>IF('2A-A'!B14&lt;&gt;0,'2A-A'!B14,"")</f>
        <v/>
      </c>
      <c r="C16" s="61" t="str">
        <f>IF('2A-A'!C14&lt;&gt;0,'2A-A'!C14,"")</f>
        <v/>
      </c>
      <c r="D16" s="62" t="str">
        <f>IF('2A-A'!D14&lt;&gt;0,'2A-A'!D14,"")</f>
        <v/>
      </c>
      <c r="E16" s="43"/>
      <c r="F16" s="42"/>
      <c r="G16" s="28" t="e">
        <f t="shared" si="0"/>
        <v>#DIV/0!</v>
      </c>
      <c r="H16" s="39"/>
      <c r="I16" s="40"/>
      <c r="J16" s="29" t="e">
        <f t="shared" si="1"/>
        <v>#DIV/0!</v>
      </c>
      <c r="K16" s="87">
        <f>Tabela27368101214[[#This Row],[Nº]]</f>
        <v>12</v>
      </c>
      <c r="L16" s="41"/>
      <c r="M16" s="42"/>
      <c r="N16" s="28" t="e">
        <f t="shared" si="2"/>
        <v>#DIV/0!</v>
      </c>
      <c r="O16" s="39"/>
      <c r="P16" s="40"/>
      <c r="Q16" s="29" t="e">
        <f t="shared" si="3"/>
        <v>#DIV/0!</v>
      </c>
      <c r="R16" s="87">
        <f>Tabela27368101214[[#This Row],[Nº]]</f>
        <v>12</v>
      </c>
      <c r="S16" s="41"/>
      <c r="T16" s="42"/>
      <c r="U16" s="28" t="e">
        <f t="shared" si="4"/>
        <v>#DIV/0!</v>
      </c>
      <c r="V16" s="39"/>
      <c r="W16" s="40"/>
      <c r="X16" s="29" t="e">
        <f t="shared" si="5"/>
        <v>#DIV/0!</v>
      </c>
      <c r="Y16" s="87">
        <f>Tabela27368101214[[#This Row],[Nº]]</f>
        <v>12</v>
      </c>
      <c r="Z16" s="41"/>
      <c r="AA16" s="42"/>
      <c r="AB16" s="28" t="e">
        <f t="shared" si="6"/>
        <v>#DIV/0!</v>
      </c>
      <c r="AC16" s="39"/>
      <c r="AD16" s="40"/>
      <c r="AE16" s="30" t="e">
        <f t="shared" si="7"/>
        <v>#DIV/0!</v>
      </c>
    </row>
    <row r="17" spans="1:31" ht="15">
      <c r="A17" s="72">
        <v>13</v>
      </c>
      <c r="B17" s="60" t="str">
        <f>IF('2A-A'!B15&lt;&gt;0,'2A-A'!B15,"")</f>
        <v/>
      </c>
      <c r="C17" s="61" t="str">
        <f>IF('2A-A'!C15&lt;&gt;0,'2A-A'!C15,"")</f>
        <v/>
      </c>
      <c r="D17" s="62" t="str">
        <f>IF('2A-A'!D15&lt;&gt;0,'2A-A'!D15,"")</f>
        <v/>
      </c>
      <c r="E17" s="43"/>
      <c r="F17" s="42"/>
      <c r="G17" s="28" t="e">
        <f t="shared" si="0"/>
        <v>#DIV/0!</v>
      </c>
      <c r="H17" s="39"/>
      <c r="I17" s="40"/>
      <c r="J17" s="29" t="e">
        <f t="shared" si="1"/>
        <v>#DIV/0!</v>
      </c>
      <c r="K17" s="87">
        <f>Tabela27368101214[[#This Row],[Nº]]</f>
        <v>13</v>
      </c>
      <c r="L17" s="41"/>
      <c r="M17" s="42"/>
      <c r="N17" s="28" t="e">
        <f t="shared" si="2"/>
        <v>#DIV/0!</v>
      </c>
      <c r="O17" s="39"/>
      <c r="P17" s="40"/>
      <c r="Q17" s="29" t="e">
        <f t="shared" si="3"/>
        <v>#DIV/0!</v>
      </c>
      <c r="R17" s="87">
        <f>Tabela27368101214[[#This Row],[Nº]]</f>
        <v>13</v>
      </c>
      <c r="S17" s="41"/>
      <c r="T17" s="42"/>
      <c r="U17" s="28" t="e">
        <f t="shared" si="4"/>
        <v>#DIV/0!</v>
      </c>
      <c r="V17" s="39"/>
      <c r="W17" s="40"/>
      <c r="X17" s="29" t="e">
        <f t="shared" si="5"/>
        <v>#DIV/0!</v>
      </c>
      <c r="Y17" s="87">
        <f>Tabela27368101214[[#This Row],[Nº]]</f>
        <v>13</v>
      </c>
      <c r="Z17" s="41"/>
      <c r="AA17" s="42"/>
      <c r="AB17" s="28" t="e">
        <f t="shared" si="6"/>
        <v>#DIV/0!</v>
      </c>
      <c r="AC17" s="39"/>
      <c r="AD17" s="40"/>
      <c r="AE17" s="30" t="e">
        <f t="shared" si="7"/>
        <v>#DIV/0!</v>
      </c>
    </row>
    <row r="18" spans="1:31" ht="15">
      <c r="A18" s="72">
        <v>14</v>
      </c>
      <c r="B18" s="60" t="str">
        <f>IF('2A-A'!B16&lt;&gt;0,'2A-A'!B16,"")</f>
        <v/>
      </c>
      <c r="C18" s="61" t="str">
        <f>IF('2A-A'!C16&lt;&gt;0,'2A-A'!C16,"")</f>
        <v/>
      </c>
      <c r="D18" s="62" t="str">
        <f>IF('2A-A'!D16&lt;&gt;0,'2A-A'!D16,"")</f>
        <v/>
      </c>
      <c r="E18" s="43"/>
      <c r="F18" s="42"/>
      <c r="G18" s="28" t="e">
        <f t="shared" si="0"/>
        <v>#DIV/0!</v>
      </c>
      <c r="H18" s="39"/>
      <c r="I18" s="40"/>
      <c r="J18" s="29" t="e">
        <f t="shared" si="1"/>
        <v>#DIV/0!</v>
      </c>
      <c r="K18" s="87">
        <f>Tabela27368101214[[#This Row],[Nº]]</f>
        <v>14</v>
      </c>
      <c r="L18" s="41"/>
      <c r="M18" s="42"/>
      <c r="N18" s="28" t="e">
        <f t="shared" si="2"/>
        <v>#DIV/0!</v>
      </c>
      <c r="O18" s="39"/>
      <c r="P18" s="40"/>
      <c r="Q18" s="29" t="e">
        <f t="shared" si="3"/>
        <v>#DIV/0!</v>
      </c>
      <c r="R18" s="87">
        <f>Tabela27368101214[[#This Row],[Nº]]</f>
        <v>14</v>
      </c>
      <c r="S18" s="41"/>
      <c r="T18" s="42"/>
      <c r="U18" s="28" t="e">
        <f t="shared" si="4"/>
        <v>#DIV/0!</v>
      </c>
      <c r="V18" s="39"/>
      <c r="W18" s="40"/>
      <c r="X18" s="29" t="e">
        <f t="shared" si="5"/>
        <v>#DIV/0!</v>
      </c>
      <c r="Y18" s="87">
        <f>Tabela27368101214[[#This Row],[Nº]]</f>
        <v>14</v>
      </c>
      <c r="Z18" s="41"/>
      <c r="AA18" s="42"/>
      <c r="AB18" s="28" t="e">
        <f t="shared" si="6"/>
        <v>#DIV/0!</v>
      </c>
      <c r="AC18" s="39"/>
      <c r="AD18" s="40"/>
      <c r="AE18" s="30" t="e">
        <f t="shared" si="7"/>
        <v>#DIV/0!</v>
      </c>
    </row>
    <row r="19" spans="1:31" ht="15">
      <c r="A19" s="72">
        <v>15</v>
      </c>
      <c r="B19" s="60" t="str">
        <f>IF('2A-A'!B17&lt;&gt;0,'2A-A'!B17,"")</f>
        <v/>
      </c>
      <c r="C19" s="61" t="str">
        <f>IF('2A-A'!C17&lt;&gt;0,'2A-A'!C17,"")</f>
        <v/>
      </c>
      <c r="D19" s="62" t="str">
        <f>IF('2A-A'!D17&lt;&gt;0,'2A-A'!D17,"")</f>
        <v/>
      </c>
      <c r="E19" s="43"/>
      <c r="F19" s="42"/>
      <c r="G19" s="28" t="e">
        <f t="shared" si="0"/>
        <v>#DIV/0!</v>
      </c>
      <c r="H19" s="39"/>
      <c r="I19" s="40"/>
      <c r="J19" s="29" t="e">
        <f t="shared" si="1"/>
        <v>#DIV/0!</v>
      </c>
      <c r="K19" s="87">
        <f>Tabela27368101214[[#This Row],[Nº]]</f>
        <v>15</v>
      </c>
      <c r="L19" s="41"/>
      <c r="M19" s="42"/>
      <c r="N19" s="28" t="e">
        <f t="shared" si="2"/>
        <v>#DIV/0!</v>
      </c>
      <c r="O19" s="39"/>
      <c r="P19" s="40"/>
      <c r="Q19" s="29" t="e">
        <f t="shared" si="3"/>
        <v>#DIV/0!</v>
      </c>
      <c r="R19" s="87">
        <f>Tabela27368101214[[#This Row],[Nº]]</f>
        <v>15</v>
      </c>
      <c r="S19" s="41"/>
      <c r="T19" s="42"/>
      <c r="U19" s="28" t="e">
        <f t="shared" si="4"/>
        <v>#DIV/0!</v>
      </c>
      <c r="V19" s="39"/>
      <c r="W19" s="40"/>
      <c r="X19" s="29" t="e">
        <f t="shared" si="5"/>
        <v>#DIV/0!</v>
      </c>
      <c r="Y19" s="87">
        <f>Tabela27368101214[[#This Row],[Nº]]</f>
        <v>15</v>
      </c>
      <c r="Z19" s="41"/>
      <c r="AA19" s="42"/>
      <c r="AB19" s="28" t="e">
        <f t="shared" si="6"/>
        <v>#DIV/0!</v>
      </c>
      <c r="AC19" s="39"/>
      <c r="AD19" s="40"/>
      <c r="AE19" s="30" t="e">
        <f t="shared" si="7"/>
        <v>#DIV/0!</v>
      </c>
    </row>
    <row r="20" spans="1:31" ht="15">
      <c r="A20" s="72">
        <v>16</v>
      </c>
      <c r="B20" s="60" t="str">
        <f>IF('2A-A'!B18&lt;&gt;0,'2A-A'!B18,"")</f>
        <v/>
      </c>
      <c r="C20" s="61" t="str">
        <f>IF('2A-A'!C18&lt;&gt;0,'2A-A'!C18,"")</f>
        <v/>
      </c>
      <c r="D20" s="62" t="str">
        <f>IF('2A-A'!D18&lt;&gt;0,'2A-A'!D18,"")</f>
        <v/>
      </c>
      <c r="E20" s="43"/>
      <c r="F20" s="42"/>
      <c r="G20" s="28" t="e">
        <f t="shared" si="0"/>
        <v>#DIV/0!</v>
      </c>
      <c r="H20" s="39"/>
      <c r="I20" s="40"/>
      <c r="J20" s="29" t="e">
        <f t="shared" si="1"/>
        <v>#DIV/0!</v>
      </c>
      <c r="K20" s="87">
        <f>Tabela27368101214[[#This Row],[Nº]]</f>
        <v>16</v>
      </c>
      <c r="L20" s="41"/>
      <c r="M20" s="42"/>
      <c r="N20" s="28" t="e">
        <f t="shared" si="2"/>
        <v>#DIV/0!</v>
      </c>
      <c r="O20" s="39"/>
      <c r="P20" s="40"/>
      <c r="Q20" s="29" t="e">
        <f t="shared" si="3"/>
        <v>#DIV/0!</v>
      </c>
      <c r="R20" s="87">
        <f>Tabela27368101214[[#This Row],[Nº]]</f>
        <v>16</v>
      </c>
      <c r="S20" s="41"/>
      <c r="T20" s="42"/>
      <c r="U20" s="28" t="e">
        <f t="shared" si="4"/>
        <v>#DIV/0!</v>
      </c>
      <c r="V20" s="39"/>
      <c r="W20" s="40"/>
      <c r="X20" s="29" t="e">
        <f t="shared" si="5"/>
        <v>#DIV/0!</v>
      </c>
      <c r="Y20" s="87">
        <f>Tabela27368101214[[#This Row],[Nº]]</f>
        <v>16</v>
      </c>
      <c r="Z20" s="41"/>
      <c r="AA20" s="42"/>
      <c r="AB20" s="28" t="e">
        <f t="shared" si="6"/>
        <v>#DIV/0!</v>
      </c>
      <c r="AC20" s="39"/>
      <c r="AD20" s="40"/>
      <c r="AE20" s="30" t="e">
        <f t="shared" si="7"/>
        <v>#DIV/0!</v>
      </c>
    </row>
    <row r="21" spans="1:31" ht="15">
      <c r="A21" s="72">
        <v>17</v>
      </c>
      <c r="B21" s="60" t="str">
        <f>IF('2A-A'!B19&lt;&gt;0,'2A-A'!B19,"")</f>
        <v/>
      </c>
      <c r="C21" s="61" t="str">
        <f>IF('2A-A'!C19&lt;&gt;0,'2A-A'!C19,"")</f>
        <v/>
      </c>
      <c r="D21" s="62" t="str">
        <f>IF('2A-A'!D19&lt;&gt;0,'2A-A'!D19,"")</f>
        <v/>
      </c>
      <c r="E21" s="43"/>
      <c r="F21" s="42"/>
      <c r="G21" s="28" t="e">
        <f t="shared" si="0"/>
        <v>#DIV/0!</v>
      </c>
      <c r="H21" s="39"/>
      <c r="I21" s="40"/>
      <c r="J21" s="29" t="e">
        <f t="shared" si="1"/>
        <v>#DIV/0!</v>
      </c>
      <c r="K21" s="87">
        <f>Tabela27368101214[[#This Row],[Nº]]</f>
        <v>17</v>
      </c>
      <c r="L21" s="41"/>
      <c r="M21" s="42"/>
      <c r="N21" s="28" t="e">
        <f t="shared" si="2"/>
        <v>#DIV/0!</v>
      </c>
      <c r="O21" s="39"/>
      <c r="P21" s="40"/>
      <c r="Q21" s="29" t="e">
        <f t="shared" si="3"/>
        <v>#DIV/0!</v>
      </c>
      <c r="R21" s="87">
        <f>Tabela27368101214[[#This Row],[Nº]]</f>
        <v>17</v>
      </c>
      <c r="S21" s="41"/>
      <c r="T21" s="42"/>
      <c r="U21" s="28" t="e">
        <f t="shared" si="4"/>
        <v>#DIV/0!</v>
      </c>
      <c r="V21" s="39"/>
      <c r="W21" s="40"/>
      <c r="X21" s="29" t="e">
        <f t="shared" si="5"/>
        <v>#DIV/0!</v>
      </c>
      <c r="Y21" s="87">
        <f>Tabela27368101214[[#This Row],[Nº]]</f>
        <v>17</v>
      </c>
      <c r="Z21" s="41"/>
      <c r="AA21" s="42"/>
      <c r="AB21" s="28" t="e">
        <f t="shared" si="6"/>
        <v>#DIV/0!</v>
      </c>
      <c r="AC21" s="39"/>
      <c r="AD21" s="40"/>
      <c r="AE21" s="30" t="e">
        <f t="shared" si="7"/>
        <v>#DIV/0!</v>
      </c>
    </row>
    <row r="22" spans="1:31" ht="15">
      <c r="A22" s="72">
        <v>18</v>
      </c>
      <c r="B22" s="60" t="str">
        <f>IF('2A-A'!B20&lt;&gt;0,'2A-A'!B20,"")</f>
        <v/>
      </c>
      <c r="C22" s="61" t="str">
        <f>IF('2A-A'!C20&lt;&gt;0,'2A-A'!C20,"")</f>
        <v/>
      </c>
      <c r="D22" s="62" t="str">
        <f>IF('2A-A'!D20&lt;&gt;0,'2A-A'!D20,"")</f>
        <v/>
      </c>
      <c r="E22" s="43"/>
      <c r="F22" s="42"/>
      <c r="G22" s="28" t="e">
        <f t="shared" si="0"/>
        <v>#DIV/0!</v>
      </c>
      <c r="H22" s="39"/>
      <c r="I22" s="40"/>
      <c r="J22" s="29" t="e">
        <f t="shared" si="1"/>
        <v>#DIV/0!</v>
      </c>
      <c r="K22" s="87">
        <f>Tabela27368101214[[#This Row],[Nº]]</f>
        <v>18</v>
      </c>
      <c r="L22" s="41"/>
      <c r="M22" s="42"/>
      <c r="N22" s="28" t="e">
        <f t="shared" si="2"/>
        <v>#DIV/0!</v>
      </c>
      <c r="O22" s="39"/>
      <c r="P22" s="40"/>
      <c r="Q22" s="29" t="e">
        <f t="shared" si="3"/>
        <v>#DIV/0!</v>
      </c>
      <c r="R22" s="87">
        <f>Tabela27368101214[[#This Row],[Nº]]</f>
        <v>18</v>
      </c>
      <c r="S22" s="41"/>
      <c r="T22" s="42"/>
      <c r="U22" s="28" t="e">
        <f t="shared" si="4"/>
        <v>#DIV/0!</v>
      </c>
      <c r="V22" s="39"/>
      <c r="W22" s="40"/>
      <c r="X22" s="29" t="e">
        <f t="shared" si="5"/>
        <v>#DIV/0!</v>
      </c>
      <c r="Y22" s="87">
        <f>Tabela27368101214[[#This Row],[Nº]]</f>
        <v>18</v>
      </c>
      <c r="Z22" s="41"/>
      <c r="AA22" s="42"/>
      <c r="AB22" s="28" t="e">
        <f t="shared" si="6"/>
        <v>#DIV/0!</v>
      </c>
      <c r="AC22" s="39"/>
      <c r="AD22" s="40"/>
      <c r="AE22" s="30" t="e">
        <f t="shared" si="7"/>
        <v>#DIV/0!</v>
      </c>
    </row>
    <row r="23" spans="1:31" ht="15">
      <c r="A23" s="72">
        <v>19</v>
      </c>
      <c r="B23" s="60" t="str">
        <f>IF('2A-A'!B21&lt;&gt;0,'2A-A'!B21,"")</f>
        <v/>
      </c>
      <c r="C23" s="61" t="str">
        <f>IF('2A-A'!C21&lt;&gt;0,'2A-A'!C21,"")</f>
        <v/>
      </c>
      <c r="D23" s="62" t="str">
        <f>IF('2A-A'!D21&lt;&gt;0,'2A-A'!D21,"")</f>
        <v/>
      </c>
      <c r="E23" s="43"/>
      <c r="F23" s="42"/>
      <c r="G23" s="28" t="e">
        <f t="shared" si="0"/>
        <v>#DIV/0!</v>
      </c>
      <c r="H23" s="39"/>
      <c r="I23" s="40"/>
      <c r="J23" s="29" t="e">
        <f t="shared" si="1"/>
        <v>#DIV/0!</v>
      </c>
      <c r="K23" s="87">
        <f>Tabela27368101214[[#This Row],[Nº]]</f>
        <v>19</v>
      </c>
      <c r="L23" s="41"/>
      <c r="M23" s="42"/>
      <c r="N23" s="28" t="e">
        <f t="shared" si="2"/>
        <v>#DIV/0!</v>
      </c>
      <c r="O23" s="39"/>
      <c r="P23" s="40"/>
      <c r="Q23" s="29" t="e">
        <f t="shared" si="3"/>
        <v>#DIV/0!</v>
      </c>
      <c r="R23" s="87">
        <f>Tabela27368101214[[#This Row],[Nº]]</f>
        <v>19</v>
      </c>
      <c r="S23" s="41"/>
      <c r="T23" s="42"/>
      <c r="U23" s="28" t="e">
        <f t="shared" si="4"/>
        <v>#DIV/0!</v>
      </c>
      <c r="V23" s="39"/>
      <c r="W23" s="40"/>
      <c r="X23" s="29" t="e">
        <f t="shared" si="5"/>
        <v>#DIV/0!</v>
      </c>
      <c r="Y23" s="87">
        <f>Tabela27368101214[[#This Row],[Nº]]</f>
        <v>19</v>
      </c>
      <c r="Z23" s="41"/>
      <c r="AA23" s="42"/>
      <c r="AB23" s="28" t="e">
        <f t="shared" si="6"/>
        <v>#DIV/0!</v>
      </c>
      <c r="AC23" s="39"/>
      <c r="AD23" s="40"/>
      <c r="AE23" s="30" t="e">
        <f t="shared" si="7"/>
        <v>#DIV/0!</v>
      </c>
    </row>
    <row r="24" spans="1:31" ht="15">
      <c r="A24" s="72">
        <v>20</v>
      </c>
      <c r="B24" s="60" t="str">
        <f>IF('2A-A'!B22&lt;&gt;0,'2A-A'!B22,"")</f>
        <v/>
      </c>
      <c r="C24" s="61" t="str">
        <f>IF('2A-A'!C22&lt;&gt;0,'2A-A'!C22,"")</f>
        <v/>
      </c>
      <c r="D24" s="62" t="str">
        <f>IF('2A-A'!D22&lt;&gt;0,'2A-A'!D22,"")</f>
        <v/>
      </c>
      <c r="E24" s="43"/>
      <c r="F24" s="42"/>
      <c r="G24" s="28" t="e">
        <f t="shared" si="0"/>
        <v>#DIV/0!</v>
      </c>
      <c r="H24" s="39"/>
      <c r="I24" s="40"/>
      <c r="J24" s="29" t="e">
        <f t="shared" si="1"/>
        <v>#DIV/0!</v>
      </c>
      <c r="K24" s="87">
        <f>Tabela27368101214[[#This Row],[Nº]]</f>
        <v>20</v>
      </c>
      <c r="L24" s="41"/>
      <c r="M24" s="42"/>
      <c r="N24" s="28" t="e">
        <f t="shared" si="2"/>
        <v>#DIV/0!</v>
      </c>
      <c r="O24" s="39"/>
      <c r="P24" s="40"/>
      <c r="Q24" s="29" t="e">
        <f t="shared" si="3"/>
        <v>#DIV/0!</v>
      </c>
      <c r="R24" s="87">
        <f>Tabela27368101214[[#This Row],[Nº]]</f>
        <v>20</v>
      </c>
      <c r="S24" s="41"/>
      <c r="T24" s="42"/>
      <c r="U24" s="28" t="e">
        <f t="shared" si="4"/>
        <v>#DIV/0!</v>
      </c>
      <c r="V24" s="39"/>
      <c r="W24" s="40"/>
      <c r="X24" s="29" t="e">
        <f t="shared" si="5"/>
        <v>#DIV/0!</v>
      </c>
      <c r="Y24" s="87">
        <f>Tabela27368101214[[#This Row],[Nº]]</f>
        <v>20</v>
      </c>
      <c r="Z24" s="41"/>
      <c r="AA24" s="42"/>
      <c r="AB24" s="28" t="e">
        <f t="shared" si="6"/>
        <v>#DIV/0!</v>
      </c>
      <c r="AC24" s="39"/>
      <c r="AD24" s="40"/>
      <c r="AE24" s="30" t="e">
        <f t="shared" si="7"/>
        <v>#DIV/0!</v>
      </c>
    </row>
    <row r="25" spans="1:31" ht="15">
      <c r="A25" s="72">
        <v>21</v>
      </c>
      <c r="B25" s="60" t="str">
        <f>IF('2A-A'!B23&lt;&gt;0,'2A-A'!B23,"")</f>
        <v/>
      </c>
      <c r="C25" s="61" t="str">
        <f>IF('2A-A'!C23&lt;&gt;0,'2A-A'!C23,"")</f>
        <v/>
      </c>
      <c r="D25" s="62" t="str">
        <f>IF('2A-A'!D23&lt;&gt;0,'2A-A'!D23,"")</f>
        <v/>
      </c>
      <c r="E25" s="43"/>
      <c r="F25" s="42"/>
      <c r="G25" s="28" t="e">
        <f t="shared" si="0"/>
        <v>#DIV/0!</v>
      </c>
      <c r="H25" s="39"/>
      <c r="I25" s="40"/>
      <c r="J25" s="29" t="e">
        <f t="shared" si="1"/>
        <v>#DIV/0!</v>
      </c>
      <c r="K25" s="87">
        <f>Tabela27368101214[[#This Row],[Nº]]</f>
        <v>21</v>
      </c>
      <c r="L25" s="41"/>
      <c r="M25" s="42"/>
      <c r="N25" s="28" t="e">
        <f t="shared" si="2"/>
        <v>#DIV/0!</v>
      </c>
      <c r="O25" s="39"/>
      <c r="P25" s="40"/>
      <c r="Q25" s="29" t="e">
        <f t="shared" si="3"/>
        <v>#DIV/0!</v>
      </c>
      <c r="R25" s="87">
        <f>Tabela27368101214[[#This Row],[Nº]]</f>
        <v>21</v>
      </c>
      <c r="S25" s="41"/>
      <c r="T25" s="42"/>
      <c r="U25" s="28" t="e">
        <f t="shared" si="4"/>
        <v>#DIV/0!</v>
      </c>
      <c r="V25" s="39"/>
      <c r="W25" s="40"/>
      <c r="X25" s="29" t="e">
        <f t="shared" si="5"/>
        <v>#DIV/0!</v>
      </c>
      <c r="Y25" s="87">
        <f>Tabela27368101214[[#This Row],[Nº]]</f>
        <v>21</v>
      </c>
      <c r="Z25" s="41"/>
      <c r="AA25" s="42"/>
      <c r="AB25" s="28" t="e">
        <f t="shared" si="6"/>
        <v>#DIV/0!</v>
      </c>
      <c r="AC25" s="39"/>
      <c r="AD25" s="40"/>
      <c r="AE25" s="30" t="e">
        <f t="shared" si="7"/>
        <v>#DIV/0!</v>
      </c>
    </row>
    <row r="26" spans="1:31" ht="15">
      <c r="A26" s="72">
        <v>22</v>
      </c>
      <c r="B26" s="60" t="str">
        <f>IF('2A-A'!B24&lt;&gt;0,'2A-A'!B24,"")</f>
        <v/>
      </c>
      <c r="C26" s="61" t="str">
        <f>IF('2A-A'!C24&lt;&gt;0,'2A-A'!C24,"")</f>
        <v/>
      </c>
      <c r="D26" s="62" t="str">
        <f>IF('2A-A'!D24&lt;&gt;0,'2A-A'!D24,"")</f>
        <v/>
      </c>
      <c r="E26" s="43"/>
      <c r="F26" s="42"/>
      <c r="G26" s="28" t="e">
        <f t="shared" si="0"/>
        <v>#DIV/0!</v>
      </c>
      <c r="H26" s="39"/>
      <c r="I26" s="40"/>
      <c r="J26" s="29" t="e">
        <f t="shared" si="1"/>
        <v>#DIV/0!</v>
      </c>
      <c r="K26" s="87">
        <f>Tabela27368101214[[#This Row],[Nº]]</f>
        <v>22</v>
      </c>
      <c r="L26" s="41"/>
      <c r="M26" s="42"/>
      <c r="N26" s="28" t="e">
        <f t="shared" si="2"/>
        <v>#DIV/0!</v>
      </c>
      <c r="O26" s="39"/>
      <c r="P26" s="40"/>
      <c r="Q26" s="29" t="e">
        <f t="shared" si="3"/>
        <v>#DIV/0!</v>
      </c>
      <c r="R26" s="87">
        <f>Tabela27368101214[[#This Row],[Nº]]</f>
        <v>22</v>
      </c>
      <c r="S26" s="41"/>
      <c r="T26" s="42"/>
      <c r="U26" s="28" t="e">
        <f t="shared" si="4"/>
        <v>#DIV/0!</v>
      </c>
      <c r="V26" s="39"/>
      <c r="W26" s="40"/>
      <c r="X26" s="29" t="e">
        <f t="shared" si="5"/>
        <v>#DIV/0!</v>
      </c>
      <c r="Y26" s="87">
        <f>Tabela27368101214[[#This Row],[Nº]]</f>
        <v>22</v>
      </c>
      <c r="Z26" s="41"/>
      <c r="AA26" s="42"/>
      <c r="AB26" s="28" t="e">
        <f t="shared" si="6"/>
        <v>#DIV/0!</v>
      </c>
      <c r="AC26" s="39"/>
      <c r="AD26" s="40"/>
      <c r="AE26" s="30" t="e">
        <f t="shared" si="7"/>
        <v>#DIV/0!</v>
      </c>
    </row>
    <row r="27" spans="1:31" ht="15">
      <c r="A27" s="72">
        <v>23</v>
      </c>
      <c r="B27" s="60" t="str">
        <f>IF('2A-A'!B25&lt;&gt;0,'2A-A'!B25,"")</f>
        <v/>
      </c>
      <c r="C27" s="61" t="str">
        <f>IF('2A-A'!C25&lt;&gt;0,'2A-A'!C25,"")</f>
        <v/>
      </c>
      <c r="D27" s="62" t="str">
        <f>IF('2A-A'!D25&lt;&gt;0,'2A-A'!D25,"")</f>
        <v/>
      </c>
      <c r="E27" s="43"/>
      <c r="F27" s="42"/>
      <c r="G27" s="28" t="e">
        <f t="shared" si="0"/>
        <v>#DIV/0!</v>
      </c>
      <c r="H27" s="39"/>
      <c r="I27" s="40"/>
      <c r="J27" s="29" t="e">
        <f t="shared" si="1"/>
        <v>#DIV/0!</v>
      </c>
      <c r="K27" s="87">
        <f>Tabela27368101214[[#This Row],[Nº]]</f>
        <v>23</v>
      </c>
      <c r="L27" s="41"/>
      <c r="M27" s="42"/>
      <c r="N27" s="28" t="e">
        <f t="shared" si="2"/>
        <v>#DIV/0!</v>
      </c>
      <c r="O27" s="39"/>
      <c r="P27" s="40"/>
      <c r="Q27" s="29" t="e">
        <f t="shared" si="3"/>
        <v>#DIV/0!</v>
      </c>
      <c r="R27" s="87">
        <f>Tabela27368101214[[#This Row],[Nº]]</f>
        <v>23</v>
      </c>
      <c r="S27" s="41"/>
      <c r="T27" s="42"/>
      <c r="U27" s="28" t="e">
        <f t="shared" si="4"/>
        <v>#DIV/0!</v>
      </c>
      <c r="V27" s="39"/>
      <c r="W27" s="40"/>
      <c r="X27" s="29" t="e">
        <f t="shared" si="5"/>
        <v>#DIV/0!</v>
      </c>
      <c r="Y27" s="87">
        <f>Tabela27368101214[[#This Row],[Nº]]</f>
        <v>23</v>
      </c>
      <c r="Z27" s="41"/>
      <c r="AA27" s="42"/>
      <c r="AB27" s="28" t="e">
        <f t="shared" si="6"/>
        <v>#DIV/0!</v>
      </c>
      <c r="AC27" s="39"/>
      <c r="AD27" s="40"/>
      <c r="AE27" s="30" t="e">
        <f t="shared" si="7"/>
        <v>#DIV/0!</v>
      </c>
    </row>
    <row r="28" spans="1:31" ht="15">
      <c r="A28" s="72">
        <v>24</v>
      </c>
      <c r="B28" s="60" t="str">
        <f>IF('2A-A'!B26&lt;&gt;0,'2A-A'!B26,"")</f>
        <v/>
      </c>
      <c r="C28" s="61" t="str">
        <f>IF('2A-A'!C26&lt;&gt;0,'2A-A'!C26,"")</f>
        <v/>
      </c>
      <c r="D28" s="62" t="str">
        <f>IF('2A-A'!D26&lt;&gt;0,'2A-A'!D26,"")</f>
        <v/>
      </c>
      <c r="E28" s="43"/>
      <c r="F28" s="42"/>
      <c r="G28" s="28" t="e">
        <f t="shared" si="0"/>
        <v>#DIV/0!</v>
      </c>
      <c r="H28" s="39"/>
      <c r="I28" s="40"/>
      <c r="J28" s="29" t="e">
        <f t="shared" si="1"/>
        <v>#DIV/0!</v>
      </c>
      <c r="K28" s="87">
        <f>Tabela27368101214[[#This Row],[Nº]]</f>
        <v>24</v>
      </c>
      <c r="L28" s="41"/>
      <c r="M28" s="42"/>
      <c r="N28" s="28" t="e">
        <f t="shared" si="2"/>
        <v>#DIV/0!</v>
      </c>
      <c r="O28" s="39"/>
      <c r="P28" s="40"/>
      <c r="Q28" s="29" t="e">
        <f t="shared" si="3"/>
        <v>#DIV/0!</v>
      </c>
      <c r="R28" s="87">
        <f>Tabela27368101214[[#This Row],[Nº]]</f>
        <v>24</v>
      </c>
      <c r="S28" s="41"/>
      <c r="T28" s="42"/>
      <c r="U28" s="28" t="e">
        <f t="shared" si="4"/>
        <v>#DIV/0!</v>
      </c>
      <c r="V28" s="39"/>
      <c r="W28" s="40"/>
      <c r="X28" s="29" t="e">
        <f t="shared" si="5"/>
        <v>#DIV/0!</v>
      </c>
      <c r="Y28" s="87">
        <f>Tabela27368101214[[#This Row],[Nº]]</f>
        <v>24</v>
      </c>
      <c r="Z28" s="41"/>
      <c r="AA28" s="42"/>
      <c r="AB28" s="28" t="e">
        <f t="shared" si="6"/>
        <v>#DIV/0!</v>
      </c>
      <c r="AC28" s="39"/>
      <c r="AD28" s="40"/>
      <c r="AE28" s="30" t="e">
        <f t="shared" si="7"/>
        <v>#DIV/0!</v>
      </c>
    </row>
    <row r="29" spans="1:31" ht="15">
      <c r="A29" s="72">
        <v>25</v>
      </c>
      <c r="B29" s="60" t="str">
        <f>IF('2A-A'!B27&lt;&gt;0,'2A-A'!B27,"")</f>
        <v/>
      </c>
      <c r="C29" s="61" t="str">
        <f>IF('2A-A'!C27&lt;&gt;0,'2A-A'!C27,"")</f>
        <v/>
      </c>
      <c r="D29" s="62" t="str">
        <f>IF('2A-A'!D27&lt;&gt;0,'2A-A'!D27,"")</f>
        <v/>
      </c>
      <c r="E29" s="43"/>
      <c r="F29" s="42"/>
      <c r="G29" s="28" t="e">
        <f t="shared" si="0"/>
        <v>#DIV/0!</v>
      </c>
      <c r="H29" s="39"/>
      <c r="I29" s="40"/>
      <c r="J29" s="29" t="e">
        <f t="shared" si="1"/>
        <v>#DIV/0!</v>
      </c>
      <c r="K29" s="87">
        <f>Tabela27368101214[[#This Row],[Nº]]</f>
        <v>25</v>
      </c>
      <c r="L29" s="41"/>
      <c r="M29" s="42"/>
      <c r="N29" s="28" t="e">
        <f t="shared" si="2"/>
        <v>#DIV/0!</v>
      </c>
      <c r="O29" s="39"/>
      <c r="P29" s="40"/>
      <c r="Q29" s="29" t="e">
        <f t="shared" si="3"/>
        <v>#DIV/0!</v>
      </c>
      <c r="R29" s="87">
        <f>Tabela27368101214[[#This Row],[Nº]]</f>
        <v>25</v>
      </c>
      <c r="S29" s="41"/>
      <c r="T29" s="42"/>
      <c r="U29" s="28" t="e">
        <f t="shared" si="4"/>
        <v>#DIV/0!</v>
      </c>
      <c r="V29" s="39"/>
      <c r="W29" s="40"/>
      <c r="X29" s="29" t="e">
        <f t="shared" si="5"/>
        <v>#DIV/0!</v>
      </c>
      <c r="Y29" s="87">
        <f>Tabela27368101214[[#This Row],[Nº]]</f>
        <v>25</v>
      </c>
      <c r="Z29" s="41"/>
      <c r="AA29" s="42"/>
      <c r="AB29" s="28" t="e">
        <f t="shared" si="6"/>
        <v>#DIV/0!</v>
      </c>
      <c r="AC29" s="39"/>
      <c r="AD29" s="40"/>
      <c r="AE29" s="30" t="e">
        <f t="shared" si="7"/>
        <v>#DIV/0!</v>
      </c>
    </row>
  </sheetData>
  <sheetProtection algorithmName="SHA-512" hashValue="mzQvWemmeYVxTYI6Td206s3ut57Rhjgfi+ucTVtYcpGT7AYBu6Hqxjcc9yqDpvv4CBpZ1Q6Mpf3vhzQxXteOxA==" saltValue="Bosh97DCQIR4Dp+5aLW+KQ==" spinCount="100000" sheet="1" objects="1" scenarios="1" selectLockedCells="1"/>
  <mergeCells count="12">
    <mergeCell ref="Z3:AB3"/>
    <mergeCell ref="AC3:AE3"/>
    <mergeCell ref="A1:D3"/>
    <mergeCell ref="E1:AE1"/>
    <mergeCell ref="E2:Q2"/>
    <mergeCell ref="S2:AE2"/>
    <mergeCell ref="E3:G3"/>
    <mergeCell ref="H3:J3"/>
    <mergeCell ref="L3:N3"/>
    <mergeCell ref="O3:Q3"/>
    <mergeCell ref="S3:U3"/>
    <mergeCell ref="V3:X3"/>
  </mergeCells>
  <conditionalFormatting sqref="A5:D29">
    <cfRule type="expression" dxfId="198" priority="11">
      <formula>ROW()=CELL("LIN")</formula>
    </cfRule>
    <cfRule type="expression" dxfId="197" priority="12">
      <formula>IF($D5&lt;&gt;"",1,0)</formula>
    </cfRule>
  </conditionalFormatting>
  <conditionalFormatting sqref="G5:G29">
    <cfRule type="iconSet" priority="8">
      <iconSet iconSet="3Symbols">
        <cfvo type="percent" val="0"/>
        <cfvo type="num" val="0.75"/>
        <cfvo type="num" val="0.8"/>
      </iconSet>
    </cfRule>
  </conditionalFormatting>
  <conditionalFormatting sqref="J5:J29">
    <cfRule type="iconSet" priority="7">
      <iconSet iconSet="3Symbols">
        <cfvo type="percent" val="0"/>
        <cfvo type="num" val="0.75"/>
        <cfvo type="num" val="0.8"/>
      </iconSet>
    </cfRule>
  </conditionalFormatting>
  <conditionalFormatting sqref="N5:N29">
    <cfRule type="iconSet" priority="6">
      <iconSet iconSet="3Symbols">
        <cfvo type="percent" val="0"/>
        <cfvo type="num" val="0.75"/>
        <cfvo type="num" val="0.8"/>
      </iconSet>
    </cfRule>
  </conditionalFormatting>
  <conditionalFormatting sqref="Q5:Q29">
    <cfRule type="iconSet" priority="5">
      <iconSet iconSet="3Symbols">
        <cfvo type="percent" val="0"/>
        <cfvo type="num" val="0.75"/>
        <cfvo type="num" val="0.8"/>
      </iconSet>
    </cfRule>
  </conditionalFormatting>
  <conditionalFormatting sqref="U5:U29">
    <cfRule type="iconSet" priority="4">
      <iconSet iconSet="3Symbols">
        <cfvo type="percent" val="0"/>
        <cfvo type="num" val="0.75"/>
        <cfvo type="num" val="0.8"/>
      </iconSet>
    </cfRule>
  </conditionalFormatting>
  <conditionalFormatting sqref="X5:X29">
    <cfRule type="iconSet" priority="3">
      <iconSet iconSet="3Symbols">
        <cfvo type="percent" val="0"/>
        <cfvo type="num" val="0.75"/>
        <cfvo type="num" val="0.8"/>
      </iconSet>
    </cfRule>
  </conditionalFormatting>
  <conditionalFormatting sqref="AB5:AB29">
    <cfRule type="iconSet" priority="2">
      <iconSet iconSet="3Symbols">
        <cfvo type="percent" val="0"/>
        <cfvo type="num" val="0.75"/>
        <cfvo type="num" val="0.8"/>
      </iconSet>
    </cfRule>
  </conditionalFormatting>
  <conditionalFormatting sqref="AE5:AE29">
    <cfRule type="iconSet" priority="1">
      <iconSet iconSet="3Symbols">
        <cfvo type="percent" val="0"/>
        <cfvo type="num" val="0.75"/>
        <cfvo type="num" val="0.8"/>
      </iconSet>
    </cfRule>
  </conditionalFormatting>
  <conditionalFormatting sqref="E5:AE29">
    <cfRule type="expression" dxfId="196" priority="9">
      <formula>ROW()=CELL("LIN")</formula>
    </cfRule>
    <cfRule type="expression" dxfId="195" priority="10">
      <formula>IF($D5&lt;&gt;"",1,0)</formula>
    </cfRule>
  </conditionalFormatting>
  <pageMargins left="0.511811024" right="0.511811024" top="0.78740157499999996" bottom="0.78740157499999996" header="0.31496062000000002" footer="0.31496062000000002"/>
  <pageSetup paperSize="9" scale="54" orientation="landscape" r:id="rId1"/>
  <colBreaks count="2" manualBreakCount="2">
    <brk id="10" max="1048575" man="1"/>
    <brk id="24" max="1048575" man="1"/>
  </colBreaks>
  <drawing r:id="rId2"/>
  <tableParts count="1"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08C86-8ACF-4531-BCF6-9DF72E119187}">
  <sheetPr codeName="Plan23">
    <pageSetUpPr fitToPage="1"/>
  </sheetPr>
  <dimension ref="A1:K48"/>
  <sheetViews>
    <sheetView showGridLines="0" showRowColHeaders="0" view="pageBreakPreview" zoomScaleNormal="60" zoomScaleSheetLayoutView="100" zoomScalePageLayoutView="91" workbookViewId="0">
      <selection activeCell="B4" sqref="B4:K4"/>
    </sheetView>
  </sheetViews>
  <sheetFormatPr defaultColWidth="9.140625" defaultRowHeight="15"/>
  <cols>
    <col min="1" max="1" width="19.85546875" style="17" customWidth="1"/>
    <col min="2" max="16384" width="9.140625" style="17"/>
  </cols>
  <sheetData>
    <row r="1" spans="1:11" ht="15.75">
      <c r="A1" s="73" t="s">
        <v>69</v>
      </c>
      <c r="B1" s="92" t="str">
        <f>MENU!C2</f>
        <v>E.M.E.I.E.F. Ficticio</v>
      </c>
      <c r="C1" s="92"/>
      <c r="D1" s="92"/>
      <c r="E1" s="92"/>
      <c r="F1" s="92"/>
      <c r="G1" s="92"/>
      <c r="H1" s="92"/>
      <c r="I1" s="92"/>
      <c r="J1" s="92"/>
      <c r="K1" s="93"/>
    </row>
    <row r="2" spans="1:11" ht="15.75">
      <c r="A2" s="74" t="s">
        <v>71</v>
      </c>
      <c r="B2" s="156" t="s">
        <v>108</v>
      </c>
      <c r="C2" s="95"/>
      <c r="D2" s="95"/>
      <c r="E2" s="95"/>
      <c r="F2" s="95"/>
      <c r="G2" s="95"/>
      <c r="H2" s="95"/>
      <c r="I2" s="95"/>
      <c r="J2" s="95"/>
      <c r="K2" s="96"/>
    </row>
    <row r="3" spans="1:11" ht="15.75">
      <c r="A3" s="74" t="s">
        <v>70</v>
      </c>
      <c r="B3" s="94" t="s">
        <v>8</v>
      </c>
      <c r="C3" s="95"/>
      <c r="D3" s="95"/>
      <c r="E3" s="95"/>
      <c r="F3" s="95"/>
      <c r="G3" s="95"/>
      <c r="H3" s="95"/>
      <c r="I3" s="95"/>
      <c r="J3" s="95"/>
      <c r="K3" s="96"/>
    </row>
    <row r="4" spans="1:11" ht="15.75">
      <c r="A4" s="74" t="s">
        <v>5</v>
      </c>
      <c r="B4" s="94" t="s">
        <v>115</v>
      </c>
      <c r="C4" s="95"/>
      <c r="D4" s="95"/>
      <c r="E4" s="95"/>
      <c r="F4" s="95"/>
      <c r="G4" s="95"/>
      <c r="H4" s="95"/>
      <c r="I4" s="95"/>
      <c r="J4" s="95"/>
      <c r="K4" s="96"/>
    </row>
    <row r="5" spans="1:11" ht="15.75">
      <c r="A5" s="74" t="s">
        <v>73</v>
      </c>
      <c r="B5" s="95"/>
      <c r="C5" s="95"/>
      <c r="D5" s="95"/>
      <c r="E5" s="95"/>
      <c r="F5" s="95"/>
      <c r="G5" s="95"/>
      <c r="H5" s="95"/>
      <c r="I5" s="95"/>
      <c r="J5" s="95"/>
      <c r="K5" s="96"/>
    </row>
    <row r="6" spans="1:11" ht="15.75">
      <c r="A6" s="99" t="s">
        <v>74</v>
      </c>
      <c r="B6" s="100"/>
      <c r="C6" s="100"/>
      <c r="D6" s="95"/>
      <c r="E6" s="95"/>
      <c r="F6" s="95"/>
      <c r="G6" s="95"/>
      <c r="H6" s="95"/>
      <c r="I6" s="95"/>
      <c r="J6" s="95"/>
      <c r="K6" s="96"/>
    </row>
    <row r="7" spans="1:11" ht="16.5" thickBot="1">
      <c r="A7" s="75" t="s">
        <v>72</v>
      </c>
      <c r="B7" s="97">
        <f>MENU!D10</f>
        <v>2022</v>
      </c>
      <c r="C7" s="97"/>
      <c r="D7" s="97"/>
      <c r="E7" s="97"/>
      <c r="F7" s="97"/>
      <c r="G7" s="97"/>
      <c r="H7" s="97"/>
      <c r="I7" s="97"/>
      <c r="J7" s="97"/>
      <c r="K7" s="98"/>
    </row>
    <row r="8" spans="1:11" ht="15.75" thickBot="1"/>
    <row r="9" spans="1:11">
      <c r="A9" s="107" t="s">
        <v>77</v>
      </c>
      <c r="B9" s="108"/>
      <c r="C9" s="108"/>
      <c r="D9" s="108"/>
      <c r="E9" s="108"/>
      <c r="F9" s="108"/>
      <c r="G9" s="108"/>
      <c r="H9" s="108"/>
      <c r="I9" s="108"/>
      <c r="J9" s="108"/>
      <c r="K9" s="109"/>
    </row>
    <row r="10" spans="1:11" ht="15.75" thickBot="1">
      <c r="A10" s="110"/>
      <c r="B10" s="111"/>
      <c r="C10" s="111"/>
      <c r="D10" s="111"/>
      <c r="E10" s="111"/>
      <c r="F10" s="111"/>
      <c r="G10" s="111"/>
      <c r="H10" s="111"/>
      <c r="I10" s="111"/>
      <c r="J10" s="111"/>
      <c r="K10" s="112"/>
    </row>
    <row r="11" spans="1:11" ht="15.75">
      <c r="A11" s="79" t="s">
        <v>9</v>
      </c>
      <c r="B11" s="107" t="s">
        <v>78</v>
      </c>
      <c r="C11" s="108"/>
      <c r="D11" s="108"/>
      <c r="E11" s="109"/>
      <c r="F11" s="107" t="s">
        <v>79</v>
      </c>
      <c r="G11" s="109"/>
      <c r="H11" s="107" t="s">
        <v>80</v>
      </c>
      <c r="I11" s="109"/>
      <c r="J11" s="107" t="s">
        <v>99</v>
      </c>
      <c r="K11" s="109"/>
    </row>
    <row r="12" spans="1:11">
      <c r="A12" s="78">
        <f>IF('2A-B'!A3&lt;&gt;0,'2A-B'!A3,"")</f>
        <v>1</v>
      </c>
      <c r="B12" s="149" t="str">
        <f>IF('2A-B'!B3&lt;&gt;0,'2A-B'!B3,"")</f>
        <v/>
      </c>
      <c r="C12" s="150"/>
      <c r="D12" s="150"/>
      <c r="E12" s="151"/>
      <c r="F12" s="152" t="str">
        <f>IF('2A-B'!G3&lt;&gt;0,'2A-B'!G3,"")</f>
        <v/>
      </c>
      <c r="G12" s="153"/>
      <c r="H12" s="159" t="str">
        <f>IF('2A-B'!C3&lt;&gt;0,'2A-B'!C3,"")</f>
        <v/>
      </c>
      <c r="I12" s="160"/>
      <c r="J12" s="152" t="str">
        <f>IF('2A-B'!D3&lt;&gt;0,'2A-B'!D3,"")</f>
        <v/>
      </c>
      <c r="K12" s="155"/>
    </row>
    <row r="13" spans="1:11">
      <c r="A13" s="78">
        <f>IF('2A-B'!A4&lt;&gt;0,'2A-B'!A4,"")</f>
        <v>2</v>
      </c>
      <c r="B13" s="149" t="str">
        <f>IF('2A-B'!B4&lt;&gt;0,'2A-B'!B4,"")</f>
        <v/>
      </c>
      <c r="C13" s="150"/>
      <c r="D13" s="150"/>
      <c r="E13" s="151"/>
      <c r="F13" s="152" t="str">
        <f>IF('2A-B'!G4&lt;&gt;0,'2A-B'!G4,"")</f>
        <v/>
      </c>
      <c r="G13" s="153"/>
      <c r="H13" s="159" t="str">
        <f>IF('2A-B'!C4&lt;&gt;0,'2A-B'!C4,"")</f>
        <v/>
      </c>
      <c r="I13" s="160"/>
      <c r="J13" s="152" t="str">
        <f>IF('2A-B'!D4&lt;&gt;0,'2A-B'!D4,"")</f>
        <v/>
      </c>
      <c r="K13" s="155"/>
    </row>
    <row r="14" spans="1:11">
      <c r="A14" s="78">
        <f>IF('2A-B'!A5&lt;&gt;0,'2A-B'!A5,"")</f>
        <v>3</v>
      </c>
      <c r="B14" s="149" t="str">
        <f>IF('2A-B'!B5&lt;&gt;0,'2A-B'!B5,"")</f>
        <v/>
      </c>
      <c r="C14" s="150"/>
      <c r="D14" s="150"/>
      <c r="E14" s="151"/>
      <c r="F14" s="152" t="str">
        <f>IF('2A-B'!G5&lt;&gt;0,'2A-B'!G5,"")</f>
        <v/>
      </c>
      <c r="G14" s="153"/>
      <c r="H14" s="159" t="str">
        <f>IF('2A-B'!C5&lt;&gt;0,'2A-B'!C5,"")</f>
        <v/>
      </c>
      <c r="I14" s="160"/>
      <c r="J14" s="152" t="str">
        <f>IF('2A-B'!D5&lt;&gt;0,'2A-B'!D5,"")</f>
        <v/>
      </c>
      <c r="K14" s="155"/>
    </row>
    <row r="15" spans="1:11">
      <c r="A15" s="78">
        <f>IF('2A-B'!A6&lt;&gt;0,'2A-B'!A6,"")</f>
        <v>4</v>
      </c>
      <c r="B15" s="149" t="str">
        <f>IF('2A-B'!B6&lt;&gt;0,'2A-B'!B6,"")</f>
        <v/>
      </c>
      <c r="C15" s="150"/>
      <c r="D15" s="150"/>
      <c r="E15" s="151"/>
      <c r="F15" s="152" t="str">
        <f>IF('2A-B'!G6&lt;&gt;0,'2A-B'!G6,"")</f>
        <v/>
      </c>
      <c r="G15" s="153"/>
      <c r="H15" s="159" t="str">
        <f>IF('2A-B'!C6&lt;&gt;0,'2A-B'!C6,"")</f>
        <v/>
      </c>
      <c r="I15" s="160"/>
      <c r="J15" s="152" t="str">
        <f>IF('2A-B'!D6&lt;&gt;0,'2A-B'!D6,"")</f>
        <v/>
      </c>
      <c r="K15" s="155"/>
    </row>
    <row r="16" spans="1:11">
      <c r="A16" s="78">
        <f>IF('2A-B'!A7&lt;&gt;0,'2A-B'!A7,"")</f>
        <v>5</v>
      </c>
      <c r="B16" s="149" t="str">
        <f>IF('2A-B'!B7&lt;&gt;0,'2A-B'!B7,"")</f>
        <v/>
      </c>
      <c r="C16" s="150"/>
      <c r="D16" s="150"/>
      <c r="E16" s="151"/>
      <c r="F16" s="152" t="str">
        <f>IF('2A-B'!G7&lt;&gt;0,'2A-B'!G7,"")</f>
        <v/>
      </c>
      <c r="G16" s="153"/>
      <c r="H16" s="159" t="str">
        <f>IF('2A-B'!C7&lt;&gt;0,'2A-B'!C7,"")</f>
        <v/>
      </c>
      <c r="I16" s="160"/>
      <c r="J16" s="152" t="str">
        <f>IF('2A-B'!D7&lt;&gt;0,'2A-B'!D7,"")</f>
        <v/>
      </c>
      <c r="K16" s="155"/>
    </row>
    <row r="17" spans="1:11">
      <c r="A17" s="78">
        <f>IF('2A-B'!A8&lt;&gt;0,'2A-B'!A8,"")</f>
        <v>6</v>
      </c>
      <c r="B17" s="149" t="str">
        <f>IF('2A-B'!B8&lt;&gt;0,'2A-B'!B8,"")</f>
        <v/>
      </c>
      <c r="C17" s="150"/>
      <c r="D17" s="150"/>
      <c r="E17" s="151"/>
      <c r="F17" s="152" t="str">
        <f>IF('2A-B'!G8&lt;&gt;0,'2A-B'!G8,"")</f>
        <v/>
      </c>
      <c r="G17" s="153"/>
      <c r="H17" s="159" t="str">
        <f>IF('2A-B'!C8&lt;&gt;0,'2A-B'!C8,"")</f>
        <v/>
      </c>
      <c r="I17" s="160"/>
      <c r="J17" s="152" t="str">
        <f>IF('2A-B'!D8&lt;&gt;0,'2A-B'!D8,"")</f>
        <v/>
      </c>
      <c r="K17" s="155"/>
    </row>
    <row r="18" spans="1:11">
      <c r="A18" s="78">
        <f>IF('2A-B'!A9&lt;&gt;0,'2A-B'!A9,"")</f>
        <v>7</v>
      </c>
      <c r="B18" s="149" t="str">
        <f>IF('2A-B'!B9&lt;&gt;0,'2A-B'!B9,"")</f>
        <v/>
      </c>
      <c r="C18" s="150"/>
      <c r="D18" s="150"/>
      <c r="E18" s="151"/>
      <c r="F18" s="152" t="str">
        <f>IF('2A-B'!G9&lt;&gt;0,'2A-B'!G9,"")</f>
        <v/>
      </c>
      <c r="G18" s="153"/>
      <c r="H18" s="159" t="str">
        <f>IF('2A-B'!C9&lt;&gt;0,'2A-B'!C9,"")</f>
        <v/>
      </c>
      <c r="I18" s="160"/>
      <c r="J18" s="152" t="str">
        <f>IF('2A-B'!D9&lt;&gt;0,'2A-B'!D9,"")</f>
        <v/>
      </c>
      <c r="K18" s="155"/>
    </row>
    <row r="19" spans="1:11">
      <c r="A19" s="78">
        <f>IF('2A-B'!A10&lt;&gt;0,'2A-B'!A10,"")</f>
        <v>8</v>
      </c>
      <c r="B19" s="149" t="str">
        <f>IF('2A-B'!B10&lt;&gt;0,'2A-B'!B10,"")</f>
        <v/>
      </c>
      <c r="C19" s="150"/>
      <c r="D19" s="150"/>
      <c r="E19" s="151"/>
      <c r="F19" s="152" t="str">
        <f>IF('2A-B'!G10&lt;&gt;0,'2A-B'!G10,"")</f>
        <v/>
      </c>
      <c r="G19" s="153"/>
      <c r="H19" s="159" t="str">
        <f>IF('2A-B'!C10&lt;&gt;0,'2A-B'!C10,"")</f>
        <v/>
      </c>
      <c r="I19" s="160"/>
      <c r="J19" s="152" t="str">
        <f>IF('2A-B'!D10&lt;&gt;0,'2A-B'!D10,"")</f>
        <v/>
      </c>
      <c r="K19" s="155"/>
    </row>
    <row r="20" spans="1:11">
      <c r="A20" s="78">
        <f>IF('2A-B'!A11&lt;&gt;0,'2A-B'!A11,"")</f>
        <v>9</v>
      </c>
      <c r="B20" s="149" t="str">
        <f>IF('2A-B'!B11&lt;&gt;0,'2A-B'!B11,"")</f>
        <v/>
      </c>
      <c r="C20" s="150"/>
      <c r="D20" s="150"/>
      <c r="E20" s="151"/>
      <c r="F20" s="152" t="str">
        <f>IF('2A-B'!G11&lt;&gt;0,'2A-B'!G11,"")</f>
        <v/>
      </c>
      <c r="G20" s="153"/>
      <c r="H20" s="159" t="str">
        <f>IF('2A-B'!C11&lt;&gt;0,'2A-B'!C11,"")</f>
        <v/>
      </c>
      <c r="I20" s="160"/>
      <c r="J20" s="152" t="str">
        <f>IF('2A-B'!D11&lt;&gt;0,'2A-B'!D11,"")</f>
        <v/>
      </c>
      <c r="K20" s="155"/>
    </row>
    <row r="21" spans="1:11">
      <c r="A21" s="78">
        <f>IF('2A-B'!A12&lt;&gt;0,'2A-B'!A12,"")</f>
        <v>10</v>
      </c>
      <c r="B21" s="149" t="str">
        <f>IF('2A-B'!B12&lt;&gt;0,'2A-B'!B12,"")</f>
        <v/>
      </c>
      <c r="C21" s="150"/>
      <c r="D21" s="150"/>
      <c r="E21" s="151"/>
      <c r="F21" s="152" t="str">
        <f>IF('2A-B'!G12&lt;&gt;0,'2A-B'!G12,"")</f>
        <v/>
      </c>
      <c r="G21" s="153"/>
      <c r="H21" s="159" t="str">
        <f>IF('2A-B'!C12&lt;&gt;0,'2A-B'!C12,"")</f>
        <v/>
      </c>
      <c r="I21" s="160"/>
      <c r="J21" s="152" t="str">
        <f>IF('2A-B'!D12&lt;&gt;0,'2A-B'!D12,"")</f>
        <v/>
      </c>
      <c r="K21" s="155"/>
    </row>
    <row r="22" spans="1:11">
      <c r="A22" s="78">
        <f>IF('2A-B'!A13&lt;&gt;0,'2A-B'!A13,"")</f>
        <v>11</v>
      </c>
      <c r="B22" s="149" t="str">
        <f>IF('2A-B'!B13&lt;&gt;0,'2A-B'!B13,"")</f>
        <v/>
      </c>
      <c r="C22" s="150"/>
      <c r="D22" s="150"/>
      <c r="E22" s="151"/>
      <c r="F22" s="152" t="str">
        <f>IF('2A-B'!G13&lt;&gt;0,'2A-B'!G13,"")</f>
        <v/>
      </c>
      <c r="G22" s="153"/>
      <c r="H22" s="159" t="str">
        <f>IF('2A-B'!C13&lt;&gt;0,'2A-B'!C13,"")</f>
        <v/>
      </c>
      <c r="I22" s="160"/>
      <c r="J22" s="152" t="str">
        <f>IF('2A-B'!D13&lt;&gt;0,'2A-B'!D13,"")</f>
        <v/>
      </c>
      <c r="K22" s="155"/>
    </row>
    <row r="23" spans="1:11">
      <c r="A23" s="78">
        <f>IF('2A-B'!A14&lt;&gt;0,'2A-B'!A14,"")</f>
        <v>12</v>
      </c>
      <c r="B23" s="149" t="str">
        <f>IF('2A-B'!B14&lt;&gt;0,'2A-B'!B14,"")</f>
        <v/>
      </c>
      <c r="C23" s="150"/>
      <c r="D23" s="150"/>
      <c r="E23" s="151"/>
      <c r="F23" s="152" t="str">
        <f>IF('2A-B'!G14&lt;&gt;0,'2A-B'!G14,"")</f>
        <v/>
      </c>
      <c r="G23" s="153"/>
      <c r="H23" s="159" t="str">
        <f>IF('2A-B'!C14&lt;&gt;0,'2A-B'!C14,"")</f>
        <v/>
      </c>
      <c r="I23" s="160"/>
      <c r="J23" s="152" t="str">
        <f>IF('2A-B'!D14&lt;&gt;0,'2A-B'!D14,"")</f>
        <v/>
      </c>
      <c r="K23" s="155"/>
    </row>
    <row r="24" spans="1:11">
      <c r="A24" s="78">
        <f>IF('2A-B'!A15&lt;&gt;0,'2A-B'!A15,"")</f>
        <v>13</v>
      </c>
      <c r="B24" s="149" t="str">
        <f>IF('2A-B'!B15&lt;&gt;0,'2A-B'!B15,"")</f>
        <v/>
      </c>
      <c r="C24" s="150"/>
      <c r="D24" s="150"/>
      <c r="E24" s="151"/>
      <c r="F24" s="152" t="str">
        <f>IF('2A-B'!G15&lt;&gt;0,'2A-B'!G15,"")</f>
        <v/>
      </c>
      <c r="G24" s="153"/>
      <c r="H24" s="159" t="str">
        <f>IF('2A-B'!C15&lt;&gt;0,'2A-B'!C15,"")</f>
        <v/>
      </c>
      <c r="I24" s="160"/>
      <c r="J24" s="152" t="str">
        <f>IF('2A-B'!D15&lt;&gt;0,'2A-B'!D15,"")</f>
        <v/>
      </c>
      <c r="K24" s="155"/>
    </row>
    <row r="25" spans="1:11">
      <c r="A25" s="78">
        <f>IF('2A-B'!A16&lt;&gt;0,'2A-B'!A16,"")</f>
        <v>14</v>
      </c>
      <c r="B25" s="149" t="str">
        <f>IF('2A-B'!B16&lt;&gt;0,'2A-B'!B16,"")</f>
        <v/>
      </c>
      <c r="C25" s="150"/>
      <c r="D25" s="150"/>
      <c r="E25" s="151"/>
      <c r="F25" s="152" t="str">
        <f>IF('2A-B'!G16&lt;&gt;0,'2A-B'!G16,"")</f>
        <v/>
      </c>
      <c r="G25" s="153"/>
      <c r="H25" s="159" t="str">
        <f>IF('2A-B'!C16&lt;&gt;0,'2A-B'!C16,"")</f>
        <v/>
      </c>
      <c r="I25" s="160"/>
      <c r="J25" s="152" t="str">
        <f>IF('2A-B'!D16&lt;&gt;0,'2A-B'!D16,"")</f>
        <v/>
      </c>
      <c r="K25" s="155"/>
    </row>
    <row r="26" spans="1:11">
      <c r="A26" s="78">
        <f>IF('2A-B'!A17&lt;&gt;0,'2A-B'!A17,"")</f>
        <v>15</v>
      </c>
      <c r="B26" s="149" t="str">
        <f>IF('2A-B'!B17&lt;&gt;0,'2A-B'!B17,"")</f>
        <v/>
      </c>
      <c r="C26" s="150"/>
      <c r="D26" s="150"/>
      <c r="E26" s="151"/>
      <c r="F26" s="152" t="str">
        <f>IF('2A-B'!G17&lt;&gt;0,'2A-B'!G17,"")</f>
        <v/>
      </c>
      <c r="G26" s="153"/>
      <c r="H26" s="159" t="str">
        <f>IF('2A-B'!C17&lt;&gt;0,'2A-B'!C17,"")</f>
        <v/>
      </c>
      <c r="I26" s="160"/>
      <c r="J26" s="152" t="str">
        <f>IF('2A-B'!D17&lt;&gt;0,'2A-B'!D17,"")</f>
        <v/>
      </c>
      <c r="K26" s="155"/>
    </row>
    <row r="27" spans="1:11">
      <c r="A27" s="78">
        <f>IF('2A-B'!A18&lt;&gt;0,'2A-B'!A18,"")</f>
        <v>16</v>
      </c>
      <c r="B27" s="149" t="str">
        <f>IF('2A-B'!B18&lt;&gt;0,'2A-B'!B18,"")</f>
        <v/>
      </c>
      <c r="C27" s="150"/>
      <c r="D27" s="150"/>
      <c r="E27" s="151"/>
      <c r="F27" s="152" t="str">
        <f>IF('2A-B'!G18&lt;&gt;0,'2A-B'!G18,"")</f>
        <v/>
      </c>
      <c r="G27" s="153"/>
      <c r="H27" s="159" t="str">
        <f>IF('2A-B'!C18&lt;&gt;0,'2A-B'!C18,"")</f>
        <v/>
      </c>
      <c r="I27" s="160"/>
      <c r="J27" s="152" t="str">
        <f>IF('2A-B'!D18&lt;&gt;0,'2A-B'!D18,"")</f>
        <v/>
      </c>
      <c r="K27" s="155"/>
    </row>
    <row r="28" spans="1:11">
      <c r="A28" s="78">
        <f>IF('2A-B'!A19&lt;&gt;0,'2A-B'!A19,"")</f>
        <v>17</v>
      </c>
      <c r="B28" s="149" t="str">
        <f>IF('2A-B'!B19&lt;&gt;0,'2A-B'!B19,"")</f>
        <v/>
      </c>
      <c r="C28" s="150"/>
      <c r="D28" s="150"/>
      <c r="E28" s="151"/>
      <c r="F28" s="152" t="str">
        <f>IF('2A-B'!G19&lt;&gt;0,'2A-B'!G19,"")</f>
        <v/>
      </c>
      <c r="G28" s="153"/>
      <c r="H28" s="159" t="str">
        <f>IF('2A-B'!C19&lt;&gt;0,'2A-B'!C19,"")</f>
        <v/>
      </c>
      <c r="I28" s="160"/>
      <c r="J28" s="152" t="str">
        <f>IF('2A-B'!D19&lt;&gt;0,'2A-B'!D19,"")</f>
        <v/>
      </c>
      <c r="K28" s="155"/>
    </row>
    <row r="29" spans="1:11">
      <c r="A29" s="78">
        <f>IF('2A-B'!A20&lt;&gt;0,'2A-B'!A20,"")</f>
        <v>18</v>
      </c>
      <c r="B29" s="149" t="str">
        <f>IF('2A-B'!B20&lt;&gt;0,'2A-B'!B20,"")</f>
        <v/>
      </c>
      <c r="C29" s="150"/>
      <c r="D29" s="150"/>
      <c r="E29" s="151"/>
      <c r="F29" s="152" t="str">
        <f>IF('2A-B'!G20&lt;&gt;0,'2A-B'!G20,"")</f>
        <v/>
      </c>
      <c r="G29" s="153"/>
      <c r="H29" s="159" t="str">
        <f>IF('2A-B'!C20&lt;&gt;0,'2A-B'!C20,"")</f>
        <v/>
      </c>
      <c r="I29" s="160"/>
      <c r="J29" s="152" t="str">
        <f>IF('2A-B'!D20&lt;&gt;0,'2A-B'!D20,"")</f>
        <v/>
      </c>
      <c r="K29" s="155"/>
    </row>
    <row r="30" spans="1:11">
      <c r="A30" s="78">
        <f>IF('2A-B'!A21&lt;&gt;0,'2A-B'!A21,"")</f>
        <v>19</v>
      </c>
      <c r="B30" s="149" t="str">
        <f>IF('2A-B'!B21&lt;&gt;0,'2A-B'!B21,"")</f>
        <v/>
      </c>
      <c r="C30" s="150"/>
      <c r="D30" s="150"/>
      <c r="E30" s="151"/>
      <c r="F30" s="152" t="str">
        <f>IF('2A-B'!G21&lt;&gt;0,'2A-B'!G21,"")</f>
        <v/>
      </c>
      <c r="G30" s="153"/>
      <c r="H30" s="159" t="str">
        <f>IF('2A-B'!C21&lt;&gt;0,'2A-B'!C21,"")</f>
        <v/>
      </c>
      <c r="I30" s="160"/>
      <c r="J30" s="152" t="str">
        <f>IF('2A-B'!D21&lt;&gt;0,'2A-B'!D21,"")</f>
        <v/>
      </c>
      <c r="K30" s="155"/>
    </row>
    <row r="31" spans="1:11">
      <c r="A31" s="78">
        <f>IF('2A-B'!A22&lt;&gt;0,'2A-B'!A22,"")</f>
        <v>20</v>
      </c>
      <c r="B31" s="149" t="str">
        <f>IF('2A-B'!B22&lt;&gt;0,'2A-B'!B22,"")</f>
        <v/>
      </c>
      <c r="C31" s="150"/>
      <c r="D31" s="150"/>
      <c r="E31" s="151"/>
      <c r="F31" s="152" t="str">
        <f>IF('2A-B'!G22&lt;&gt;0,'2A-B'!G22,"")</f>
        <v/>
      </c>
      <c r="G31" s="153"/>
      <c r="H31" s="159" t="str">
        <f>IF('2A-B'!C22&lt;&gt;0,'2A-B'!C22,"")</f>
        <v/>
      </c>
      <c r="I31" s="160"/>
      <c r="J31" s="152" t="str">
        <f>IF('2A-B'!D22&lt;&gt;0,'2A-B'!D22,"")</f>
        <v/>
      </c>
      <c r="K31" s="155"/>
    </row>
    <row r="32" spans="1:11">
      <c r="A32" s="78">
        <f>IF('2A-B'!A23&lt;&gt;0,'2A-B'!A23,"")</f>
        <v>21</v>
      </c>
      <c r="B32" s="149" t="str">
        <f>IF('2A-B'!B23&lt;&gt;0,'2A-B'!B23,"")</f>
        <v/>
      </c>
      <c r="C32" s="150"/>
      <c r="D32" s="150"/>
      <c r="E32" s="151"/>
      <c r="F32" s="152" t="str">
        <f>IF('2A-B'!G23&lt;&gt;0,'2A-B'!G23,"")</f>
        <v/>
      </c>
      <c r="G32" s="153"/>
      <c r="H32" s="159" t="str">
        <f>IF('2A-B'!C23&lt;&gt;0,'2A-B'!C23,"")</f>
        <v/>
      </c>
      <c r="I32" s="160"/>
      <c r="J32" s="152" t="str">
        <f>IF('2A-B'!D23&lt;&gt;0,'2A-B'!D23,"")</f>
        <v/>
      </c>
      <c r="K32" s="155"/>
    </row>
    <row r="33" spans="1:11">
      <c r="A33" s="78">
        <f>IF('2A-B'!A24&lt;&gt;0,'2A-B'!A24,"")</f>
        <v>22</v>
      </c>
      <c r="B33" s="149" t="str">
        <f>IF('2A-B'!B24&lt;&gt;0,'2A-B'!B24,"")</f>
        <v/>
      </c>
      <c r="C33" s="150"/>
      <c r="D33" s="150"/>
      <c r="E33" s="151"/>
      <c r="F33" s="152" t="str">
        <f>IF('2A-B'!G24&lt;&gt;0,'2A-B'!G24,"")</f>
        <v/>
      </c>
      <c r="G33" s="153"/>
      <c r="H33" s="159" t="str">
        <f>IF('2A-B'!C24&lt;&gt;0,'2A-B'!C24,"")</f>
        <v/>
      </c>
      <c r="I33" s="160"/>
      <c r="J33" s="152" t="str">
        <f>IF('2A-B'!D24&lt;&gt;0,'2A-B'!D24,"")</f>
        <v/>
      </c>
      <c r="K33" s="155"/>
    </row>
    <row r="34" spans="1:11">
      <c r="A34" s="78">
        <f>IF('2A-B'!A25&lt;&gt;0,'2A-B'!A25,"")</f>
        <v>23</v>
      </c>
      <c r="B34" s="149" t="str">
        <f>IF('2A-B'!B25&lt;&gt;0,'2A-B'!B25,"")</f>
        <v/>
      </c>
      <c r="C34" s="150"/>
      <c r="D34" s="150"/>
      <c r="E34" s="151"/>
      <c r="F34" s="152" t="str">
        <f>IF('2A-B'!G25&lt;&gt;0,'2A-B'!G25,"")</f>
        <v/>
      </c>
      <c r="G34" s="153"/>
      <c r="H34" s="159" t="str">
        <f>IF('2A-B'!C25&lt;&gt;0,'2A-B'!C25,"")</f>
        <v/>
      </c>
      <c r="I34" s="160"/>
      <c r="J34" s="152" t="str">
        <f>IF('2A-B'!D25&lt;&gt;0,'2A-B'!D25,"")</f>
        <v/>
      </c>
      <c r="K34" s="155"/>
    </row>
    <row r="35" spans="1:11">
      <c r="A35" s="78">
        <f>IF('2A-B'!A26&lt;&gt;0,'2A-B'!A26,"")</f>
        <v>24</v>
      </c>
      <c r="B35" s="149" t="str">
        <f>IF('2A-B'!B26&lt;&gt;0,'2A-B'!B26,"")</f>
        <v/>
      </c>
      <c r="C35" s="150"/>
      <c r="D35" s="150"/>
      <c r="E35" s="151"/>
      <c r="F35" s="152" t="str">
        <f>IF('2A-B'!G26&lt;&gt;0,'2A-B'!G26,"")</f>
        <v/>
      </c>
      <c r="G35" s="153"/>
      <c r="H35" s="159" t="str">
        <f>IF('2A-B'!C26&lt;&gt;0,'2A-B'!C26,"")</f>
        <v/>
      </c>
      <c r="I35" s="160"/>
      <c r="J35" s="152" t="str">
        <f>IF('2A-B'!D26&lt;&gt;0,'2A-B'!D26,"")</f>
        <v/>
      </c>
      <c r="K35" s="155"/>
    </row>
    <row r="36" spans="1:11">
      <c r="A36" s="78">
        <f>IF('2A-B'!A27&lt;&gt;0,'2A-B'!A27,"")</f>
        <v>25</v>
      </c>
      <c r="B36" s="149" t="str">
        <f>IF('2A-B'!B27&lt;&gt;0,'2A-B'!B27,"")</f>
        <v/>
      </c>
      <c r="C36" s="150"/>
      <c r="D36" s="150"/>
      <c r="E36" s="151"/>
      <c r="F36" s="152" t="str">
        <f>IF('2A-B'!G27&lt;&gt;0,'2A-B'!G27,"")</f>
        <v/>
      </c>
      <c r="G36" s="153"/>
      <c r="H36" s="159" t="str">
        <f>IF('2A-B'!C27&lt;&gt;0,'2A-B'!C27,"")</f>
        <v/>
      </c>
      <c r="I36" s="160"/>
      <c r="J36" s="152" t="str">
        <f>IF('2A-B'!D27&lt;&gt;0,'2A-B'!D27,"")</f>
        <v/>
      </c>
      <c r="K36" s="155"/>
    </row>
    <row r="38" spans="1:11" ht="15.75">
      <c r="A38" s="119" t="s">
        <v>81</v>
      </c>
      <c r="B38" s="119"/>
      <c r="C38" s="119"/>
      <c r="D38" s="119"/>
      <c r="E38" s="120">
        <f>'2A-B'!U4</f>
        <v>0</v>
      </c>
      <c r="F38" s="120"/>
    </row>
    <row r="39" spans="1:11">
      <c r="A39" s="66" t="s">
        <v>104</v>
      </c>
      <c r="E39" s="122">
        <f ca="1">'2A-B'!Q3</f>
        <v>0</v>
      </c>
      <c r="F39" s="122"/>
    </row>
    <row r="40" spans="1:11">
      <c r="A40" s="66" t="s">
        <v>105</v>
      </c>
      <c r="E40" s="122">
        <f ca="1">'2A-B'!R3</f>
        <v>0</v>
      </c>
      <c r="F40" s="122"/>
    </row>
    <row r="48" spans="1:11">
      <c r="A48" s="66" t="s">
        <v>84</v>
      </c>
      <c r="C48" s="121">
        <f ca="1">TODAY()</f>
        <v>44871</v>
      </c>
      <c r="D48" s="122"/>
      <c r="E48" s="122"/>
    </row>
  </sheetData>
  <sheetProtection algorithmName="SHA-512" hashValue="q/VXHJWIQpd1cL5RTxI3AcfzsL6w5mOu7OQFdgEjKnw1wRlueGHUI8rBH8AnasFbaxo6EdyQo4ry/mqwu568oQ==" saltValue="akcZyGGg3YfdbOTlvdE1tg==" spinCount="100000" sheet="1" objects="1" scenarios="1" selectLockedCells="1"/>
  <mergeCells count="118">
    <mergeCell ref="B7:K7"/>
    <mergeCell ref="A9:K10"/>
    <mergeCell ref="B11:E11"/>
    <mergeCell ref="F11:G11"/>
    <mergeCell ref="H11:I11"/>
    <mergeCell ref="J11:K11"/>
    <mergeCell ref="B1:K1"/>
    <mergeCell ref="B2:K2"/>
    <mergeCell ref="B3:K3"/>
    <mergeCell ref="B4:K4"/>
    <mergeCell ref="B5:K5"/>
    <mergeCell ref="A6:C6"/>
    <mergeCell ref="D6:K6"/>
    <mergeCell ref="B14:E14"/>
    <mergeCell ref="F14:G14"/>
    <mergeCell ref="H14:I14"/>
    <mergeCell ref="J14:K14"/>
    <mergeCell ref="B15:E15"/>
    <mergeCell ref="F15:G15"/>
    <mergeCell ref="H15:I15"/>
    <mergeCell ref="J15:K15"/>
    <mergeCell ref="B12:E12"/>
    <mergeCell ref="F12:G12"/>
    <mergeCell ref="H12:I12"/>
    <mergeCell ref="J12:K12"/>
    <mergeCell ref="B13:E13"/>
    <mergeCell ref="F13:G13"/>
    <mergeCell ref="H13:I13"/>
    <mergeCell ref="J13:K13"/>
    <mergeCell ref="B18:E18"/>
    <mergeCell ref="F18:G18"/>
    <mergeCell ref="H18:I18"/>
    <mergeCell ref="J18:K18"/>
    <mergeCell ref="B19:E19"/>
    <mergeCell ref="F19:G19"/>
    <mergeCell ref="H19:I19"/>
    <mergeCell ref="J19:K19"/>
    <mergeCell ref="B16:E16"/>
    <mergeCell ref="F16:G16"/>
    <mergeCell ref="H16:I16"/>
    <mergeCell ref="J16:K16"/>
    <mergeCell ref="B17:E17"/>
    <mergeCell ref="F17:G17"/>
    <mergeCell ref="H17:I17"/>
    <mergeCell ref="J17:K17"/>
    <mergeCell ref="B22:E22"/>
    <mergeCell ref="F22:G22"/>
    <mergeCell ref="H22:I22"/>
    <mergeCell ref="J22:K22"/>
    <mergeCell ref="B23:E23"/>
    <mergeCell ref="F23:G23"/>
    <mergeCell ref="H23:I23"/>
    <mergeCell ref="J23:K23"/>
    <mergeCell ref="B20:E20"/>
    <mergeCell ref="F20:G20"/>
    <mergeCell ref="H20:I20"/>
    <mergeCell ref="J20:K20"/>
    <mergeCell ref="B21:E21"/>
    <mergeCell ref="F21:G21"/>
    <mergeCell ref="H21:I21"/>
    <mergeCell ref="J21:K21"/>
    <mergeCell ref="B26:E26"/>
    <mergeCell ref="F26:G26"/>
    <mergeCell ref="H26:I26"/>
    <mergeCell ref="J26:K26"/>
    <mergeCell ref="B27:E27"/>
    <mergeCell ref="F27:G27"/>
    <mergeCell ref="H27:I27"/>
    <mergeCell ref="J27:K27"/>
    <mergeCell ref="B24:E24"/>
    <mergeCell ref="F24:G24"/>
    <mergeCell ref="H24:I24"/>
    <mergeCell ref="J24:K24"/>
    <mergeCell ref="B25:E25"/>
    <mergeCell ref="F25:G25"/>
    <mergeCell ref="H25:I25"/>
    <mergeCell ref="J25:K25"/>
    <mergeCell ref="B30:E30"/>
    <mergeCell ref="F30:G30"/>
    <mergeCell ref="H30:I30"/>
    <mergeCell ref="J30:K30"/>
    <mergeCell ref="B31:E31"/>
    <mergeCell ref="F31:G31"/>
    <mergeCell ref="H31:I31"/>
    <mergeCell ref="J31:K31"/>
    <mergeCell ref="B28:E28"/>
    <mergeCell ref="F28:G28"/>
    <mergeCell ref="H28:I28"/>
    <mergeCell ref="J28:K28"/>
    <mergeCell ref="B29:E29"/>
    <mergeCell ref="F29:G29"/>
    <mergeCell ref="H29:I29"/>
    <mergeCell ref="J29:K29"/>
    <mergeCell ref="B34:E34"/>
    <mergeCell ref="F34:G34"/>
    <mergeCell ref="H34:I34"/>
    <mergeCell ref="J34:K34"/>
    <mergeCell ref="B35:E35"/>
    <mergeCell ref="F35:G35"/>
    <mergeCell ref="H35:I35"/>
    <mergeCell ref="J35:K35"/>
    <mergeCell ref="B32:E32"/>
    <mergeCell ref="F32:G32"/>
    <mergeCell ref="H32:I32"/>
    <mergeCell ref="J32:K32"/>
    <mergeCell ref="B33:E33"/>
    <mergeCell ref="F33:G33"/>
    <mergeCell ref="H33:I33"/>
    <mergeCell ref="J33:K33"/>
    <mergeCell ref="E39:F39"/>
    <mergeCell ref="E40:F40"/>
    <mergeCell ref="C48:E48"/>
    <mergeCell ref="B36:E36"/>
    <mergeCell ref="F36:G36"/>
    <mergeCell ref="H36:I36"/>
    <mergeCell ref="J36:K36"/>
    <mergeCell ref="A38:D38"/>
    <mergeCell ref="E38:F38"/>
  </mergeCells>
  <conditionalFormatting sqref="A12:K36">
    <cfRule type="expression" dxfId="194" priority="1">
      <formula>IF($J12&lt;&gt;"",1,0)</formula>
    </cfRule>
  </conditionalFormatting>
  <conditionalFormatting sqref="B2:B5 D6">
    <cfRule type="expression" dxfId="193" priority="2">
      <formula>ROW()=CELL("LIN")</formula>
    </cfRule>
  </conditionalFormatting>
  <pageMargins left="0.39370078740157483" right="0.3543307086614173" top="1.1417322834645669" bottom="0.39370078740157483" header="0.31496062992125984" footer="0.31496062992125984"/>
  <pageSetup paperSize="9" scale="96" fitToHeight="0" orientation="portrait" horizontalDpi="300" verticalDpi="3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9D899-0B64-4475-ADDE-4B6300C98D83}">
  <sheetPr codeName="Plan8">
    <pageSetUpPr fitToPage="1"/>
  </sheetPr>
  <dimension ref="A1:U27"/>
  <sheetViews>
    <sheetView showGridLines="0" showRowColHeaders="0" view="pageBreakPreview" zoomScale="60" zoomScaleNormal="60" zoomScalePageLayoutView="40" workbookViewId="0">
      <pane ySplit="1" topLeftCell="A2" activePane="bottomLeft" state="frozen"/>
      <selection pane="bottomLeft" activeCell="B3" sqref="B3"/>
    </sheetView>
  </sheetViews>
  <sheetFormatPr defaultColWidth="9.140625" defaultRowHeight="15"/>
  <cols>
    <col min="1" max="1" width="8.5703125" style="17" customWidth="1"/>
    <col min="2" max="2" width="42" style="17" customWidth="1"/>
    <col min="3" max="3" width="17" style="18" bestFit="1" customWidth="1"/>
    <col min="4" max="4" width="23.85546875" style="19" customWidth="1"/>
    <col min="5" max="5" width="28.5703125" style="17" customWidth="1"/>
    <col min="6" max="6" width="30.5703125" style="27" bestFit="1" customWidth="1"/>
    <col min="7" max="7" width="25.7109375" style="27" customWidth="1"/>
    <col min="8" max="8" width="21.140625" style="17" customWidth="1"/>
    <col min="9" max="9" width="17.5703125" style="17" customWidth="1"/>
    <col min="10" max="10" width="44.42578125" style="17" customWidth="1"/>
    <col min="11" max="11" width="9.7109375" style="17" customWidth="1"/>
    <col min="12" max="12" width="9.28515625" style="17" customWidth="1"/>
    <col min="13" max="13" width="9.140625" style="17"/>
    <col min="14" max="14" width="16.140625" style="17" customWidth="1"/>
    <col min="15" max="15" width="12.7109375" style="17" customWidth="1"/>
    <col min="16" max="16384" width="9.140625" style="17"/>
  </cols>
  <sheetData>
    <row r="1" spans="1:21" ht="75" customHeight="1"/>
    <row r="2" spans="1:21" ht="60">
      <c r="A2" s="20" t="s">
        <v>9</v>
      </c>
      <c r="B2" s="21" t="s">
        <v>10</v>
      </c>
      <c r="C2" s="22" t="s">
        <v>13</v>
      </c>
      <c r="D2" s="23" t="s">
        <v>16</v>
      </c>
      <c r="E2" s="22" t="s">
        <v>11</v>
      </c>
      <c r="F2" s="22" t="s">
        <v>12</v>
      </c>
      <c r="G2" s="22" t="s">
        <v>14</v>
      </c>
      <c r="H2" s="22" t="s">
        <v>15</v>
      </c>
      <c r="I2" s="22" t="s">
        <v>17</v>
      </c>
      <c r="J2" s="21" t="s">
        <v>18</v>
      </c>
      <c r="K2" s="26" t="s">
        <v>19</v>
      </c>
      <c r="L2" s="67"/>
      <c r="M2" s="68"/>
      <c r="N2" s="68"/>
      <c r="O2" s="68"/>
      <c r="P2" s="69" t="s">
        <v>0</v>
      </c>
      <c r="Q2" s="70" t="s">
        <v>106</v>
      </c>
      <c r="R2" s="70" t="s">
        <v>107</v>
      </c>
      <c r="S2" s="71" t="s">
        <v>3</v>
      </c>
      <c r="T2" s="70" t="s">
        <v>4</v>
      </c>
      <c r="U2" s="68"/>
    </row>
    <row r="3" spans="1:21">
      <c r="A3" s="81">
        <v>1</v>
      </c>
      <c r="B3" s="44"/>
      <c r="C3" s="45"/>
      <c r="D3" s="47"/>
      <c r="E3" s="46">
        <v>0</v>
      </c>
      <c r="F3" s="51"/>
      <c r="G3" s="52"/>
      <c r="H3" s="52"/>
      <c r="I3" s="47"/>
      <c r="J3" s="44"/>
      <c r="K3" s="24">
        <f t="shared" ref="K3:K27" ca="1" si="0">QUOTIENT(IF(DATEDIF(C3,TODAY(),"y")&gt;90,0,DATEDIF(C3,TODAY(),"m")),12)</f>
        <v>0</v>
      </c>
      <c r="L3" s="68">
        <f t="shared" ref="L3:L27" ca="1" si="1">IF($K3=0,0,IF($K3&lt;($P$3),1,0))</f>
        <v>0</v>
      </c>
      <c r="M3" s="68">
        <f t="shared" ref="M3:M27" ca="1" si="2">IF($K3&gt;($P$3),1,0)</f>
        <v>0</v>
      </c>
      <c r="N3" s="68" t="b">
        <f ca="1">IF(IF(DATEDIF(C3,TODAY(),"y")&gt;90,0,DATEDIF(C3,TODAY(),"m"))&gt;0,CONCATENATE(QUOTIENT(IF(DATEDIF(C3,TODAY(),"y")&gt;90,0,DATEDIF(C3,TODAY(),"m")),12)," anos e ",MOD(IF(DATEDIF(C3,TODAY(),"y")&gt;90,0,DATEDIF(C3,TODAY(),"m")),12)," mês"))</f>
        <v>0</v>
      </c>
      <c r="O3" s="68" t="str">
        <f ca="1">IF(C3="","",DATEDIF($C3,TODAY(),"m"))</f>
        <v/>
      </c>
      <c r="P3" s="68">
        <v>7</v>
      </c>
      <c r="Q3" s="68">
        <f ca="1">SUM(L3:L27)</f>
        <v>0</v>
      </c>
      <c r="R3" s="68">
        <f ca="1">SUM(M3:M27)</f>
        <v>0</v>
      </c>
      <c r="S3" s="71" t="s">
        <v>7</v>
      </c>
      <c r="T3" s="68">
        <f>($P$3*12)</f>
        <v>84</v>
      </c>
      <c r="U3" s="68"/>
    </row>
    <row r="4" spans="1:21" ht="15.75">
      <c r="A4" s="81">
        <v>2</v>
      </c>
      <c r="B4" s="44"/>
      <c r="C4" s="45"/>
      <c r="D4" s="47"/>
      <c r="E4" s="46">
        <v>0</v>
      </c>
      <c r="F4" s="51"/>
      <c r="G4" s="52"/>
      <c r="H4" s="52"/>
      <c r="I4" s="47"/>
      <c r="J4" s="44"/>
      <c r="K4" s="24">
        <f t="shared" ca="1" si="0"/>
        <v>0</v>
      </c>
      <c r="L4" s="68">
        <f t="shared" ca="1" si="1"/>
        <v>0</v>
      </c>
      <c r="M4" s="68">
        <f t="shared" ca="1" si="2"/>
        <v>0</v>
      </c>
      <c r="N4" s="68" t="b">
        <f t="shared" ref="N4:N27" ca="1" si="3">IF(IF(DATEDIF(C4,TODAY(),"y")&gt;90,0,DATEDIF(C4,TODAY(),"m"))&gt;0,CONCATENATE(QUOTIENT(IF(DATEDIF(C4,TODAY(),"y")&gt;90,0,DATEDIF(C4,TODAY(),"m")),12)," anos e ",MOD(IF(DATEDIF(C4,TODAY(),"y")&gt;90,0,DATEDIF(C4,TODAY(),"m")),12)," mês"))</f>
        <v>0</v>
      </c>
      <c r="O4" s="68" t="str">
        <f ca="1">IF(C4="","",DATEDIF($C4,TODAY(),"m"))</f>
        <v/>
      </c>
      <c r="P4" s="123" t="s">
        <v>6</v>
      </c>
      <c r="Q4" s="123"/>
      <c r="R4" s="123"/>
      <c r="S4" s="123"/>
      <c r="T4" s="123"/>
      <c r="U4" s="68">
        <f>COUNTA(B3:B27)-COUNTA(D3:D27)</f>
        <v>0</v>
      </c>
    </row>
    <row r="5" spans="1:21">
      <c r="A5" s="81">
        <v>3</v>
      </c>
      <c r="B5" s="44"/>
      <c r="C5" s="45"/>
      <c r="D5" s="47"/>
      <c r="E5" s="46">
        <v>0</v>
      </c>
      <c r="F5" s="51"/>
      <c r="G5" s="52"/>
      <c r="H5" s="52"/>
      <c r="I5" s="47"/>
      <c r="J5" s="44"/>
      <c r="K5" s="24">
        <f t="shared" ca="1" si="0"/>
        <v>0</v>
      </c>
      <c r="L5" s="68">
        <f t="shared" ca="1" si="1"/>
        <v>0</v>
      </c>
      <c r="M5" s="68">
        <f t="shared" ca="1" si="2"/>
        <v>0</v>
      </c>
      <c r="N5" s="68" t="b">
        <f t="shared" ca="1" si="3"/>
        <v>0</v>
      </c>
      <c r="O5" s="68" t="str">
        <f ca="1">IF(C5="","",DATEDIF($C5,TODAY(),"m"))</f>
        <v/>
      </c>
      <c r="P5" s="68"/>
      <c r="Q5" s="68"/>
      <c r="R5" s="68"/>
      <c r="S5" s="68"/>
      <c r="T5" s="68"/>
      <c r="U5" s="68"/>
    </row>
    <row r="6" spans="1:21">
      <c r="A6" s="81">
        <v>4</v>
      </c>
      <c r="B6" s="44"/>
      <c r="C6" s="45"/>
      <c r="D6" s="47"/>
      <c r="E6" s="46">
        <v>0</v>
      </c>
      <c r="F6" s="51"/>
      <c r="G6" s="52"/>
      <c r="H6" s="52"/>
      <c r="I6" s="47"/>
      <c r="J6" s="44"/>
      <c r="K6" s="24">
        <f t="shared" ca="1" si="0"/>
        <v>0</v>
      </c>
      <c r="L6" s="68">
        <f t="shared" ca="1" si="1"/>
        <v>0</v>
      </c>
      <c r="M6" s="68">
        <f t="shared" ca="1" si="2"/>
        <v>0</v>
      </c>
      <c r="N6" s="68" t="b">
        <f t="shared" ca="1" si="3"/>
        <v>0</v>
      </c>
      <c r="O6" s="68" t="str">
        <f t="shared" ref="O6:O26" ca="1" si="4">IF(C5="","",DATEDIF($C5,TODAY(),"m"))</f>
        <v/>
      </c>
      <c r="P6" s="68"/>
      <c r="Q6" s="68"/>
      <c r="R6" s="68"/>
      <c r="S6" s="68"/>
      <c r="T6" s="68"/>
      <c r="U6" s="68"/>
    </row>
    <row r="7" spans="1:21">
      <c r="A7" s="81">
        <v>5</v>
      </c>
      <c r="B7" s="44"/>
      <c r="C7" s="45"/>
      <c r="D7" s="47"/>
      <c r="E7" s="46">
        <v>0</v>
      </c>
      <c r="F7" s="51"/>
      <c r="G7" s="52"/>
      <c r="H7" s="52"/>
      <c r="I7" s="47"/>
      <c r="J7" s="44"/>
      <c r="K7" s="24">
        <f t="shared" ca="1" si="0"/>
        <v>0</v>
      </c>
      <c r="L7" s="68">
        <f t="shared" ca="1" si="1"/>
        <v>0</v>
      </c>
      <c r="M7" s="68">
        <f t="shared" ca="1" si="2"/>
        <v>0</v>
      </c>
      <c r="N7" s="68" t="b">
        <f t="shared" ca="1" si="3"/>
        <v>0</v>
      </c>
      <c r="O7" s="68" t="str">
        <f t="shared" ca="1" si="4"/>
        <v/>
      </c>
      <c r="P7" s="68"/>
      <c r="Q7" s="68"/>
      <c r="R7" s="68"/>
      <c r="S7" s="68"/>
      <c r="T7" s="68"/>
      <c r="U7" s="68"/>
    </row>
    <row r="8" spans="1:21">
      <c r="A8" s="81">
        <v>6</v>
      </c>
      <c r="B8" s="44"/>
      <c r="C8" s="45"/>
      <c r="D8" s="47"/>
      <c r="E8" s="46">
        <v>0</v>
      </c>
      <c r="F8" s="51"/>
      <c r="G8" s="52"/>
      <c r="H8" s="52"/>
      <c r="I8" s="47"/>
      <c r="J8" s="44"/>
      <c r="K8" s="24">
        <f t="shared" ca="1" si="0"/>
        <v>0</v>
      </c>
      <c r="L8" s="68">
        <f t="shared" ca="1" si="1"/>
        <v>0</v>
      </c>
      <c r="M8" s="68">
        <f t="shared" ca="1" si="2"/>
        <v>0</v>
      </c>
      <c r="N8" s="68" t="b">
        <f t="shared" ca="1" si="3"/>
        <v>0</v>
      </c>
      <c r="O8" s="68" t="str">
        <f t="shared" ca="1" si="4"/>
        <v/>
      </c>
      <c r="P8" s="68"/>
      <c r="Q8" s="68"/>
      <c r="R8" s="68"/>
      <c r="S8" s="68"/>
      <c r="T8" s="68"/>
      <c r="U8" s="68"/>
    </row>
    <row r="9" spans="1:21">
      <c r="A9" s="81">
        <v>7</v>
      </c>
      <c r="B9" s="44"/>
      <c r="C9" s="45"/>
      <c r="D9" s="47"/>
      <c r="E9" s="46">
        <v>0</v>
      </c>
      <c r="F9" s="51"/>
      <c r="G9" s="52"/>
      <c r="H9" s="52"/>
      <c r="I9" s="47"/>
      <c r="J9" s="44"/>
      <c r="K9" s="24">
        <f t="shared" ca="1" si="0"/>
        <v>0</v>
      </c>
      <c r="L9" s="68">
        <f t="shared" ca="1" si="1"/>
        <v>0</v>
      </c>
      <c r="M9" s="68">
        <f t="shared" ca="1" si="2"/>
        <v>0</v>
      </c>
      <c r="N9" s="68" t="b">
        <f t="shared" ca="1" si="3"/>
        <v>0</v>
      </c>
      <c r="O9" s="68" t="str">
        <f t="shared" ca="1" si="4"/>
        <v/>
      </c>
      <c r="P9" s="68"/>
      <c r="Q9" s="68"/>
      <c r="R9" s="68"/>
      <c r="S9" s="68"/>
      <c r="T9" s="68"/>
      <c r="U9" s="68"/>
    </row>
    <row r="10" spans="1:21">
      <c r="A10" s="81">
        <v>8</v>
      </c>
      <c r="B10" s="44"/>
      <c r="C10" s="45"/>
      <c r="D10" s="47"/>
      <c r="E10" s="46">
        <v>0</v>
      </c>
      <c r="F10" s="51"/>
      <c r="G10" s="52"/>
      <c r="H10" s="52"/>
      <c r="I10" s="47"/>
      <c r="J10" s="44"/>
      <c r="K10" s="24">
        <f t="shared" ca="1" si="0"/>
        <v>0</v>
      </c>
      <c r="L10" s="68">
        <f t="shared" ca="1" si="1"/>
        <v>0</v>
      </c>
      <c r="M10" s="68">
        <f t="shared" ca="1" si="2"/>
        <v>0</v>
      </c>
      <c r="N10" s="68" t="b">
        <f t="shared" ca="1" si="3"/>
        <v>0</v>
      </c>
      <c r="O10" s="68" t="str">
        <f t="shared" ca="1" si="4"/>
        <v/>
      </c>
      <c r="P10" s="68"/>
      <c r="Q10" s="68"/>
      <c r="R10" s="68"/>
      <c r="S10" s="68"/>
      <c r="T10" s="68"/>
      <c r="U10" s="68"/>
    </row>
    <row r="11" spans="1:21">
      <c r="A11" s="81">
        <v>9</v>
      </c>
      <c r="B11" s="44"/>
      <c r="C11" s="45"/>
      <c r="D11" s="47"/>
      <c r="E11" s="46">
        <v>0</v>
      </c>
      <c r="F11" s="51"/>
      <c r="G11" s="52"/>
      <c r="H11" s="52"/>
      <c r="I11" s="47"/>
      <c r="J11" s="44"/>
      <c r="K11" s="24">
        <f t="shared" ca="1" si="0"/>
        <v>0</v>
      </c>
      <c r="L11" s="68">
        <f t="shared" ca="1" si="1"/>
        <v>0</v>
      </c>
      <c r="M11" s="68">
        <f t="shared" ca="1" si="2"/>
        <v>0</v>
      </c>
      <c r="N11" s="68" t="b">
        <f t="shared" ca="1" si="3"/>
        <v>0</v>
      </c>
      <c r="O11" s="68" t="str">
        <f t="shared" ca="1" si="4"/>
        <v/>
      </c>
      <c r="P11" s="68"/>
      <c r="Q11" s="68"/>
      <c r="R11" s="68"/>
      <c r="S11" s="68"/>
      <c r="T11" s="68"/>
      <c r="U11" s="68"/>
    </row>
    <row r="12" spans="1:21">
      <c r="A12" s="81">
        <v>10</v>
      </c>
      <c r="B12" s="44"/>
      <c r="C12" s="45"/>
      <c r="D12" s="47"/>
      <c r="E12" s="46">
        <v>0</v>
      </c>
      <c r="F12" s="51"/>
      <c r="G12" s="52"/>
      <c r="H12" s="52"/>
      <c r="I12" s="47"/>
      <c r="J12" s="44"/>
      <c r="K12" s="24">
        <f t="shared" ca="1" si="0"/>
        <v>0</v>
      </c>
      <c r="L12" s="68">
        <f t="shared" ca="1" si="1"/>
        <v>0</v>
      </c>
      <c r="M12" s="68">
        <f t="shared" ca="1" si="2"/>
        <v>0</v>
      </c>
      <c r="N12" s="68" t="b">
        <f t="shared" ca="1" si="3"/>
        <v>0</v>
      </c>
      <c r="O12" s="68" t="str">
        <f t="shared" ca="1" si="4"/>
        <v/>
      </c>
      <c r="P12" s="68"/>
      <c r="Q12" s="68"/>
      <c r="R12" s="68"/>
      <c r="S12" s="68"/>
      <c r="T12" s="68"/>
      <c r="U12" s="68"/>
    </row>
    <row r="13" spans="1:21">
      <c r="A13" s="81">
        <v>11</v>
      </c>
      <c r="B13" s="44"/>
      <c r="C13" s="45"/>
      <c r="D13" s="47"/>
      <c r="E13" s="46">
        <v>0</v>
      </c>
      <c r="F13" s="51"/>
      <c r="G13" s="52"/>
      <c r="H13" s="52"/>
      <c r="I13" s="47"/>
      <c r="J13" s="44"/>
      <c r="K13" s="24">
        <f t="shared" ca="1" si="0"/>
        <v>0</v>
      </c>
      <c r="L13" s="68">
        <f t="shared" ca="1" si="1"/>
        <v>0</v>
      </c>
      <c r="M13" s="68">
        <f t="shared" ca="1" si="2"/>
        <v>0</v>
      </c>
      <c r="N13" s="68" t="b">
        <f t="shared" ca="1" si="3"/>
        <v>0</v>
      </c>
      <c r="O13" s="68" t="str">
        <f t="shared" ca="1" si="4"/>
        <v/>
      </c>
      <c r="P13" s="68"/>
      <c r="Q13" s="68"/>
      <c r="R13" s="68"/>
      <c r="S13" s="68"/>
      <c r="T13" s="68"/>
      <c r="U13" s="68"/>
    </row>
    <row r="14" spans="1:21">
      <c r="A14" s="81">
        <v>12</v>
      </c>
      <c r="B14" s="44"/>
      <c r="C14" s="45"/>
      <c r="D14" s="47"/>
      <c r="E14" s="46">
        <v>0</v>
      </c>
      <c r="F14" s="51"/>
      <c r="G14" s="52"/>
      <c r="H14" s="52"/>
      <c r="I14" s="47"/>
      <c r="J14" s="44"/>
      <c r="K14" s="24">
        <f t="shared" ca="1" si="0"/>
        <v>0</v>
      </c>
      <c r="L14" s="68">
        <f t="shared" ca="1" si="1"/>
        <v>0</v>
      </c>
      <c r="M14" s="68">
        <f t="shared" ca="1" si="2"/>
        <v>0</v>
      </c>
      <c r="N14" s="68" t="b">
        <f t="shared" ca="1" si="3"/>
        <v>0</v>
      </c>
      <c r="O14" s="68" t="str">
        <f t="shared" ca="1" si="4"/>
        <v/>
      </c>
      <c r="P14" s="68"/>
      <c r="Q14" s="68"/>
      <c r="R14" s="68"/>
      <c r="S14" s="68"/>
      <c r="T14" s="68"/>
      <c r="U14" s="68"/>
    </row>
    <row r="15" spans="1:21">
      <c r="A15" s="81">
        <v>13</v>
      </c>
      <c r="B15" s="44"/>
      <c r="C15" s="45"/>
      <c r="D15" s="47"/>
      <c r="E15" s="46">
        <v>0</v>
      </c>
      <c r="F15" s="51"/>
      <c r="G15" s="52"/>
      <c r="H15" s="52"/>
      <c r="I15" s="47"/>
      <c r="J15" s="44"/>
      <c r="K15" s="24">
        <f t="shared" ca="1" si="0"/>
        <v>0</v>
      </c>
      <c r="L15" s="68">
        <f t="shared" ca="1" si="1"/>
        <v>0</v>
      </c>
      <c r="M15" s="68">
        <f t="shared" ca="1" si="2"/>
        <v>0</v>
      </c>
      <c r="N15" s="68" t="b">
        <f t="shared" ca="1" si="3"/>
        <v>0</v>
      </c>
      <c r="O15" s="68" t="str">
        <f t="shared" ca="1" si="4"/>
        <v/>
      </c>
      <c r="P15" s="68"/>
      <c r="Q15" s="68"/>
      <c r="R15" s="68"/>
      <c r="S15" s="68"/>
      <c r="T15" s="68"/>
      <c r="U15" s="68"/>
    </row>
    <row r="16" spans="1:21">
      <c r="A16" s="81">
        <v>14</v>
      </c>
      <c r="B16" s="44"/>
      <c r="C16" s="45"/>
      <c r="D16" s="47"/>
      <c r="E16" s="46">
        <v>0</v>
      </c>
      <c r="F16" s="51"/>
      <c r="G16" s="52"/>
      <c r="H16" s="52"/>
      <c r="I16" s="47"/>
      <c r="J16" s="44"/>
      <c r="K16" s="24">
        <f t="shared" ca="1" si="0"/>
        <v>0</v>
      </c>
      <c r="L16" s="68">
        <f t="shared" ca="1" si="1"/>
        <v>0</v>
      </c>
      <c r="M16" s="68">
        <f t="shared" ca="1" si="2"/>
        <v>0</v>
      </c>
      <c r="N16" s="68" t="b">
        <f t="shared" ca="1" si="3"/>
        <v>0</v>
      </c>
      <c r="O16" s="68" t="str">
        <f t="shared" ca="1" si="4"/>
        <v/>
      </c>
      <c r="P16" s="68"/>
      <c r="Q16" s="68"/>
      <c r="R16" s="68"/>
      <c r="S16" s="68"/>
      <c r="T16" s="68"/>
      <c r="U16" s="68"/>
    </row>
    <row r="17" spans="1:21">
      <c r="A17" s="81">
        <v>15</v>
      </c>
      <c r="B17" s="44"/>
      <c r="C17" s="45"/>
      <c r="D17" s="47"/>
      <c r="E17" s="46">
        <v>0</v>
      </c>
      <c r="F17" s="51"/>
      <c r="G17" s="52"/>
      <c r="H17" s="52"/>
      <c r="I17" s="53"/>
      <c r="J17" s="44"/>
      <c r="K17" s="24">
        <f t="shared" ca="1" si="0"/>
        <v>0</v>
      </c>
      <c r="L17" s="68">
        <f t="shared" ca="1" si="1"/>
        <v>0</v>
      </c>
      <c r="M17" s="68">
        <f t="shared" ca="1" si="2"/>
        <v>0</v>
      </c>
      <c r="N17" s="68" t="b">
        <f t="shared" ca="1" si="3"/>
        <v>0</v>
      </c>
      <c r="O17" s="68" t="str">
        <f t="shared" ca="1" si="4"/>
        <v/>
      </c>
      <c r="P17" s="68"/>
      <c r="Q17" s="68"/>
      <c r="R17" s="68"/>
      <c r="S17" s="68"/>
      <c r="T17" s="68"/>
      <c r="U17" s="68"/>
    </row>
    <row r="18" spans="1:21">
      <c r="A18" s="81">
        <v>16</v>
      </c>
      <c r="B18" s="44"/>
      <c r="C18" s="45"/>
      <c r="D18" s="47"/>
      <c r="E18" s="46">
        <v>0</v>
      </c>
      <c r="F18" s="51"/>
      <c r="G18" s="52"/>
      <c r="H18" s="52"/>
      <c r="I18" s="47"/>
      <c r="J18" s="44"/>
      <c r="K18" s="24">
        <f t="shared" ca="1" si="0"/>
        <v>0</v>
      </c>
      <c r="L18" s="68">
        <f t="shared" ca="1" si="1"/>
        <v>0</v>
      </c>
      <c r="M18" s="68">
        <f t="shared" ca="1" si="2"/>
        <v>0</v>
      </c>
      <c r="N18" s="68" t="b">
        <f t="shared" ca="1" si="3"/>
        <v>0</v>
      </c>
      <c r="O18" s="68" t="str">
        <f t="shared" ca="1" si="4"/>
        <v/>
      </c>
      <c r="P18" s="68"/>
      <c r="Q18" s="68"/>
      <c r="R18" s="68"/>
      <c r="S18" s="68"/>
      <c r="T18" s="68"/>
      <c r="U18" s="68"/>
    </row>
    <row r="19" spans="1:21">
      <c r="A19" s="81">
        <v>17</v>
      </c>
      <c r="B19" s="44"/>
      <c r="C19" s="45"/>
      <c r="D19" s="47"/>
      <c r="E19" s="46">
        <v>0</v>
      </c>
      <c r="F19" s="51"/>
      <c r="G19" s="52"/>
      <c r="H19" s="52"/>
      <c r="I19" s="53"/>
      <c r="J19" s="44"/>
      <c r="K19" s="24">
        <f t="shared" ca="1" si="0"/>
        <v>0</v>
      </c>
      <c r="L19" s="68">
        <f t="shared" ca="1" si="1"/>
        <v>0</v>
      </c>
      <c r="M19" s="68">
        <f t="shared" ca="1" si="2"/>
        <v>0</v>
      </c>
      <c r="N19" s="68" t="b">
        <f t="shared" ca="1" si="3"/>
        <v>0</v>
      </c>
      <c r="O19" s="68" t="str">
        <f t="shared" ca="1" si="4"/>
        <v/>
      </c>
      <c r="P19" s="68"/>
      <c r="Q19" s="68"/>
      <c r="R19" s="68"/>
      <c r="S19" s="68"/>
      <c r="T19" s="68"/>
      <c r="U19" s="68"/>
    </row>
    <row r="20" spans="1:21">
      <c r="A20" s="81">
        <v>18</v>
      </c>
      <c r="B20" s="44"/>
      <c r="C20" s="45"/>
      <c r="D20" s="47"/>
      <c r="E20" s="46">
        <v>0</v>
      </c>
      <c r="F20" s="51"/>
      <c r="G20" s="52"/>
      <c r="H20" s="52"/>
      <c r="I20" s="47"/>
      <c r="J20" s="44"/>
      <c r="K20" s="24">
        <f t="shared" ca="1" si="0"/>
        <v>0</v>
      </c>
      <c r="L20" s="68">
        <f t="shared" ca="1" si="1"/>
        <v>0</v>
      </c>
      <c r="M20" s="68">
        <f t="shared" ca="1" si="2"/>
        <v>0</v>
      </c>
      <c r="N20" s="68" t="b">
        <f t="shared" ca="1" si="3"/>
        <v>0</v>
      </c>
      <c r="O20" s="68" t="str">
        <f t="shared" ca="1" si="4"/>
        <v/>
      </c>
      <c r="P20" s="68"/>
      <c r="Q20" s="68"/>
      <c r="R20" s="68"/>
      <c r="S20" s="68"/>
      <c r="T20" s="68"/>
      <c r="U20" s="68"/>
    </row>
    <row r="21" spans="1:21">
      <c r="A21" s="81">
        <v>19</v>
      </c>
      <c r="B21" s="44"/>
      <c r="C21" s="45"/>
      <c r="D21" s="47"/>
      <c r="E21" s="46">
        <v>0</v>
      </c>
      <c r="F21" s="51"/>
      <c r="G21" s="52"/>
      <c r="H21" s="52"/>
      <c r="I21" s="47"/>
      <c r="J21" s="44"/>
      <c r="K21" s="24">
        <f t="shared" ca="1" si="0"/>
        <v>0</v>
      </c>
      <c r="L21" s="68">
        <f t="shared" ca="1" si="1"/>
        <v>0</v>
      </c>
      <c r="M21" s="68">
        <f t="shared" ca="1" si="2"/>
        <v>0</v>
      </c>
      <c r="N21" s="68" t="b">
        <f t="shared" ca="1" si="3"/>
        <v>0</v>
      </c>
      <c r="O21" s="68" t="str">
        <f t="shared" ca="1" si="4"/>
        <v/>
      </c>
      <c r="P21" s="68"/>
      <c r="Q21" s="68"/>
      <c r="R21" s="68"/>
      <c r="S21" s="68"/>
      <c r="T21" s="68"/>
      <c r="U21" s="68"/>
    </row>
    <row r="22" spans="1:21">
      <c r="A22" s="81">
        <v>20</v>
      </c>
      <c r="B22" s="44"/>
      <c r="C22" s="45"/>
      <c r="D22" s="47"/>
      <c r="E22" s="46">
        <v>0</v>
      </c>
      <c r="F22" s="51"/>
      <c r="G22" s="52"/>
      <c r="H22" s="52"/>
      <c r="I22" s="47"/>
      <c r="J22" s="44"/>
      <c r="K22" s="24">
        <f t="shared" ca="1" si="0"/>
        <v>0</v>
      </c>
      <c r="L22" s="68">
        <f t="shared" ca="1" si="1"/>
        <v>0</v>
      </c>
      <c r="M22" s="68">
        <f t="shared" ca="1" si="2"/>
        <v>0</v>
      </c>
      <c r="N22" s="68" t="b">
        <f t="shared" ca="1" si="3"/>
        <v>0</v>
      </c>
      <c r="O22" s="68" t="str">
        <f t="shared" ca="1" si="4"/>
        <v/>
      </c>
      <c r="P22" s="68"/>
      <c r="Q22" s="68"/>
      <c r="R22" s="68"/>
      <c r="S22" s="68"/>
      <c r="T22" s="68"/>
      <c r="U22" s="68"/>
    </row>
    <row r="23" spans="1:21" ht="15.75">
      <c r="A23" s="82">
        <v>21</v>
      </c>
      <c r="B23" s="44"/>
      <c r="C23" s="45"/>
      <c r="D23" s="47"/>
      <c r="E23" s="46">
        <v>0</v>
      </c>
      <c r="F23" s="51"/>
      <c r="G23" s="52"/>
      <c r="H23" s="52"/>
      <c r="I23" s="47"/>
      <c r="J23" s="44"/>
      <c r="K23" s="24">
        <f t="shared" ca="1" si="0"/>
        <v>0</v>
      </c>
      <c r="L23" s="68">
        <f t="shared" ca="1" si="1"/>
        <v>0</v>
      </c>
      <c r="M23" s="68">
        <f t="shared" ca="1" si="2"/>
        <v>0</v>
      </c>
      <c r="N23" s="68" t="b">
        <f t="shared" ca="1" si="3"/>
        <v>0</v>
      </c>
      <c r="O23" s="68" t="str">
        <f t="shared" ca="1" si="4"/>
        <v/>
      </c>
      <c r="P23" s="68"/>
      <c r="Q23" s="68"/>
      <c r="R23" s="68"/>
      <c r="S23" s="68"/>
      <c r="T23" s="68"/>
      <c r="U23" s="68"/>
    </row>
    <row r="24" spans="1:21" ht="15.75">
      <c r="A24" s="82">
        <v>22</v>
      </c>
      <c r="B24" s="44"/>
      <c r="C24" s="45"/>
      <c r="D24" s="47"/>
      <c r="E24" s="46">
        <v>0</v>
      </c>
      <c r="F24" s="51"/>
      <c r="G24" s="52"/>
      <c r="H24" s="52"/>
      <c r="I24" s="47"/>
      <c r="J24" s="44"/>
      <c r="K24" s="24">
        <f t="shared" ca="1" si="0"/>
        <v>0</v>
      </c>
      <c r="L24" s="68">
        <f t="shared" ca="1" si="1"/>
        <v>0</v>
      </c>
      <c r="M24" s="68">
        <f t="shared" ca="1" si="2"/>
        <v>0</v>
      </c>
      <c r="N24" s="68" t="b">
        <f t="shared" ca="1" si="3"/>
        <v>0</v>
      </c>
      <c r="O24" s="68" t="str">
        <f t="shared" ca="1" si="4"/>
        <v/>
      </c>
      <c r="P24" s="68"/>
      <c r="Q24" s="68"/>
      <c r="R24" s="68"/>
      <c r="S24" s="68"/>
      <c r="T24" s="68"/>
      <c r="U24" s="68"/>
    </row>
    <row r="25" spans="1:21" ht="15.75">
      <c r="A25" s="82">
        <v>23</v>
      </c>
      <c r="B25" s="44"/>
      <c r="C25" s="45"/>
      <c r="D25" s="47"/>
      <c r="E25" s="46">
        <v>0</v>
      </c>
      <c r="F25" s="51"/>
      <c r="G25" s="52"/>
      <c r="H25" s="52"/>
      <c r="I25" s="47"/>
      <c r="J25" s="44"/>
      <c r="K25" s="24">
        <f t="shared" ca="1" si="0"/>
        <v>0</v>
      </c>
      <c r="L25" s="68">
        <f t="shared" ca="1" si="1"/>
        <v>0</v>
      </c>
      <c r="M25" s="68">
        <f t="shared" ca="1" si="2"/>
        <v>0</v>
      </c>
      <c r="N25" s="68" t="b">
        <f t="shared" ca="1" si="3"/>
        <v>0</v>
      </c>
      <c r="O25" s="68" t="str">
        <f t="shared" ca="1" si="4"/>
        <v/>
      </c>
      <c r="P25" s="68"/>
      <c r="Q25" s="68"/>
      <c r="R25" s="68"/>
      <c r="S25" s="68"/>
      <c r="T25" s="68"/>
      <c r="U25" s="68"/>
    </row>
    <row r="26" spans="1:21" ht="15.75">
      <c r="A26" s="82">
        <v>24</v>
      </c>
      <c r="B26" s="44"/>
      <c r="C26" s="45"/>
      <c r="D26" s="54"/>
      <c r="E26" s="46">
        <v>0</v>
      </c>
      <c r="F26" s="51"/>
      <c r="G26" s="52"/>
      <c r="H26" s="52"/>
      <c r="I26" s="47"/>
      <c r="J26" s="44"/>
      <c r="K26" s="24">
        <f t="shared" ca="1" si="0"/>
        <v>0</v>
      </c>
      <c r="L26" s="68">
        <f t="shared" ca="1" si="1"/>
        <v>0</v>
      </c>
      <c r="M26" s="68">
        <f t="shared" ca="1" si="2"/>
        <v>0</v>
      </c>
      <c r="N26" s="68" t="b">
        <f t="shared" ca="1" si="3"/>
        <v>0</v>
      </c>
      <c r="O26" s="68" t="str">
        <f t="shared" ca="1" si="4"/>
        <v/>
      </c>
      <c r="P26" s="68"/>
      <c r="Q26" s="68"/>
      <c r="R26" s="68"/>
      <c r="S26" s="68"/>
      <c r="T26" s="68"/>
      <c r="U26" s="68"/>
    </row>
    <row r="27" spans="1:21" ht="15.75">
      <c r="A27" s="83">
        <v>25</v>
      </c>
      <c r="B27" s="48"/>
      <c r="C27" s="49"/>
      <c r="D27" s="50"/>
      <c r="E27" s="46">
        <v>0</v>
      </c>
      <c r="F27" s="55"/>
      <c r="G27" s="56"/>
      <c r="H27" s="56"/>
      <c r="I27" s="50"/>
      <c r="J27" s="48"/>
      <c r="K27" s="25">
        <f t="shared" ca="1" si="0"/>
        <v>0</v>
      </c>
      <c r="L27" s="68">
        <f t="shared" ca="1" si="1"/>
        <v>0</v>
      </c>
      <c r="M27" s="68">
        <f t="shared" ca="1" si="2"/>
        <v>0</v>
      </c>
      <c r="N27" s="68" t="b">
        <f t="shared" ca="1" si="3"/>
        <v>0</v>
      </c>
      <c r="O27" s="68" t="str">
        <f ca="1">IF(C27="","",DATEDIF($C27,TODAY(),"m"))</f>
        <v/>
      </c>
      <c r="P27" s="68"/>
      <c r="Q27" s="68"/>
      <c r="R27" s="68"/>
      <c r="S27" s="68"/>
      <c r="T27" s="68"/>
      <c r="U27" s="68"/>
    </row>
  </sheetData>
  <sheetProtection algorithmName="SHA-512" hashValue="AEQcHJThCij1H4qjmyFfDAdZmIyygiCoLqmwbU84btQJ5B0APBbVebrevPn/rci0KTGLfxVvN4ZcZvhEWpPt+A==" saltValue="k/hM7dTANgp2ZXqBgTrvRA==" spinCount="100000" sheet="1" objects="1" scenarios="1" selectLockedCells="1"/>
  <mergeCells count="1">
    <mergeCell ref="P4:T4"/>
  </mergeCells>
  <conditionalFormatting sqref="A3:K27">
    <cfRule type="expression" dxfId="192" priority="1">
      <formula>ROW()=CELL("LIN")</formula>
    </cfRule>
    <cfRule type="expression" dxfId="191" priority="2">
      <formula>IF($D3&lt;&gt;"",1,0)</formula>
    </cfRule>
  </conditionalFormatting>
  <conditionalFormatting sqref="O3:O27">
    <cfRule type="cellIs" dxfId="190" priority="3" operator="lessThan">
      <formula>$T$3</formula>
    </cfRule>
  </conditionalFormatting>
  <pageMargins left="1" right="1" top="1" bottom="1" header="0.5" footer="0.5"/>
  <pageSetup paperSize="9" scale="51" fitToHeight="0" orientation="landscape" horizontalDpi="300" verticalDpi="300" r:id="rId1"/>
  <drawing r:id="rId2"/>
  <tableParts count="1">
    <tablePart r:id="rId3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41DC3-F2E7-4998-9AE7-F409EFFCA364}">
  <sheetPr codeName="Planilha9"/>
  <dimension ref="A1:AE29"/>
  <sheetViews>
    <sheetView showGridLines="0" showRowColHeaders="0" view="pageBreakPreview" zoomScale="60" zoomScaleNormal="70" workbookViewId="0">
      <pane xSplit="4" topLeftCell="E1" activePane="topRight" state="frozen"/>
      <selection sqref="A1:D3"/>
      <selection pane="topRight" activeCell="A5" sqref="A5"/>
    </sheetView>
  </sheetViews>
  <sheetFormatPr defaultRowHeight="12.75"/>
  <cols>
    <col min="2" max="2" width="39.28515625" bestFit="1" customWidth="1"/>
    <col min="3" max="3" width="14.28515625" customWidth="1"/>
    <col min="4" max="4" width="40.140625" customWidth="1"/>
    <col min="5" max="5" width="15.28515625" customWidth="1"/>
    <col min="6" max="6" width="16.28515625" customWidth="1"/>
    <col min="7" max="7" width="24.7109375" customWidth="1"/>
    <col min="8" max="8" width="15.140625" customWidth="1"/>
    <col min="9" max="9" width="14.5703125" customWidth="1"/>
    <col min="10" max="10" width="24.5703125" customWidth="1"/>
    <col min="12" max="12" width="14.140625" customWidth="1"/>
    <col min="13" max="13" width="15.140625" customWidth="1"/>
    <col min="14" max="14" width="23.5703125" customWidth="1"/>
    <col min="15" max="15" width="14.85546875" customWidth="1"/>
    <col min="16" max="16" width="15.85546875" customWidth="1"/>
    <col min="17" max="17" width="24.28515625" customWidth="1"/>
    <col min="19" max="19" width="15.140625" customWidth="1"/>
    <col min="20" max="20" width="16.140625" customWidth="1"/>
    <col min="21" max="21" width="24.5703125" customWidth="1"/>
    <col min="22" max="22" width="14.7109375" customWidth="1"/>
    <col min="23" max="23" width="15.7109375" customWidth="1"/>
    <col min="24" max="24" width="24.140625" customWidth="1"/>
    <col min="26" max="26" width="15" customWidth="1"/>
    <col min="27" max="27" width="16" customWidth="1"/>
    <col min="28" max="28" width="24.42578125" customWidth="1"/>
    <col min="29" max="29" width="15.140625" customWidth="1"/>
    <col min="30" max="30" width="16.140625" customWidth="1"/>
    <col min="31" max="31" width="24.5703125" customWidth="1"/>
  </cols>
  <sheetData>
    <row r="1" spans="1:31" ht="30" customHeight="1" thickBot="1">
      <c r="A1" s="124" t="str">
        <f>CONCATENATE('2A-B-Turma'!B2&amp;" - ",'2A-B-Turma'!B3)</f>
        <v>2º Ano - B - Tarde</v>
      </c>
      <c r="B1" s="124"/>
      <c r="C1" s="124"/>
      <c r="D1" s="125"/>
      <c r="E1" s="128" t="s">
        <v>41</v>
      </c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  <c r="V1" s="129"/>
      <c r="W1" s="129"/>
      <c r="X1" s="129"/>
      <c r="Y1" s="129"/>
      <c r="Z1" s="129"/>
      <c r="AA1" s="129"/>
      <c r="AB1" s="129"/>
      <c r="AC1" s="129"/>
      <c r="AD1" s="129"/>
      <c r="AE1" s="130"/>
    </row>
    <row r="2" spans="1:31" ht="16.5" thickBot="1">
      <c r="A2" s="124"/>
      <c r="B2" s="124"/>
      <c r="C2" s="124"/>
      <c r="D2" s="125"/>
      <c r="E2" s="131" t="s">
        <v>37</v>
      </c>
      <c r="F2" s="132"/>
      <c r="G2" s="132"/>
      <c r="H2" s="132"/>
      <c r="I2" s="132"/>
      <c r="J2" s="132"/>
      <c r="K2" s="132"/>
      <c r="L2" s="132"/>
      <c r="M2" s="132"/>
      <c r="N2" s="132"/>
      <c r="O2" s="132"/>
      <c r="P2" s="132"/>
      <c r="Q2" s="133"/>
      <c r="R2" s="64"/>
      <c r="S2" s="131" t="s">
        <v>38</v>
      </c>
      <c r="T2" s="132"/>
      <c r="U2" s="132"/>
      <c r="V2" s="132"/>
      <c r="W2" s="132"/>
      <c r="X2" s="132"/>
      <c r="Y2" s="132"/>
      <c r="Z2" s="132"/>
      <c r="AA2" s="132"/>
      <c r="AB2" s="132"/>
      <c r="AC2" s="132"/>
      <c r="AD2" s="132"/>
      <c r="AE2" s="133"/>
    </row>
    <row r="3" spans="1:31" ht="15">
      <c r="A3" s="126"/>
      <c r="B3" s="126"/>
      <c r="C3" s="126"/>
      <c r="D3" s="127"/>
      <c r="E3" s="134" t="s">
        <v>33</v>
      </c>
      <c r="F3" s="135"/>
      <c r="G3" s="136"/>
      <c r="H3" s="138" t="s">
        <v>34</v>
      </c>
      <c r="I3" s="139"/>
      <c r="J3" s="140"/>
      <c r="K3" s="64"/>
      <c r="L3" s="134" t="s">
        <v>35</v>
      </c>
      <c r="M3" s="135"/>
      <c r="N3" s="136"/>
      <c r="O3" s="138" t="s">
        <v>36</v>
      </c>
      <c r="P3" s="139"/>
      <c r="Q3" s="140"/>
      <c r="R3" s="64"/>
      <c r="S3" s="137" t="s">
        <v>39</v>
      </c>
      <c r="T3" s="135"/>
      <c r="U3" s="136"/>
      <c r="V3" s="141" t="s">
        <v>40</v>
      </c>
      <c r="W3" s="139"/>
      <c r="X3" s="140"/>
      <c r="Y3" s="64"/>
      <c r="Z3" s="134" t="s">
        <v>31</v>
      </c>
      <c r="AA3" s="135"/>
      <c r="AB3" s="136"/>
      <c r="AC3" s="138" t="s">
        <v>32</v>
      </c>
      <c r="AD3" s="139"/>
      <c r="AE3" s="140"/>
    </row>
    <row r="4" spans="1:31" ht="31.5">
      <c r="A4" s="63" t="s">
        <v>9</v>
      </c>
      <c r="B4" s="57" t="s">
        <v>10</v>
      </c>
      <c r="C4" s="58" t="s">
        <v>13</v>
      </c>
      <c r="D4" s="59" t="s">
        <v>16</v>
      </c>
      <c r="E4" s="31" t="s">
        <v>42</v>
      </c>
      <c r="F4" s="32" t="s">
        <v>43</v>
      </c>
      <c r="G4" s="33" t="s">
        <v>44</v>
      </c>
      <c r="H4" s="34" t="s">
        <v>46</v>
      </c>
      <c r="I4" s="35" t="s">
        <v>45</v>
      </c>
      <c r="J4" s="36" t="s">
        <v>51</v>
      </c>
      <c r="K4" s="65" t="s">
        <v>47</v>
      </c>
      <c r="L4" s="37" t="s">
        <v>48</v>
      </c>
      <c r="M4" s="32" t="s">
        <v>49</v>
      </c>
      <c r="N4" s="33" t="s">
        <v>50</v>
      </c>
      <c r="O4" s="34" t="s">
        <v>52</v>
      </c>
      <c r="P4" s="35" t="s">
        <v>53</v>
      </c>
      <c r="Q4" s="36" t="s">
        <v>54</v>
      </c>
      <c r="R4" s="65" t="s">
        <v>55</v>
      </c>
      <c r="S4" s="37" t="s">
        <v>56</v>
      </c>
      <c r="T4" s="32" t="s">
        <v>57</v>
      </c>
      <c r="U4" s="33" t="s">
        <v>58</v>
      </c>
      <c r="V4" s="34" t="s">
        <v>59</v>
      </c>
      <c r="W4" s="35" t="s">
        <v>60</v>
      </c>
      <c r="X4" s="36" t="s">
        <v>61</v>
      </c>
      <c r="Y4" s="65" t="s">
        <v>62</v>
      </c>
      <c r="Z4" s="37" t="s">
        <v>63</v>
      </c>
      <c r="AA4" s="32" t="s">
        <v>64</v>
      </c>
      <c r="AB4" s="33" t="s">
        <v>65</v>
      </c>
      <c r="AC4" s="34" t="s">
        <v>66</v>
      </c>
      <c r="AD4" s="35" t="s">
        <v>67</v>
      </c>
      <c r="AE4" s="38" t="s">
        <v>68</v>
      </c>
    </row>
    <row r="5" spans="1:31" ht="15">
      <c r="A5" s="72">
        <v>1</v>
      </c>
      <c r="B5" s="60" t="str">
        <f>IF('2A-B'!B3&lt;&gt;0,'2A-B'!B3,"")</f>
        <v/>
      </c>
      <c r="C5" s="61" t="str">
        <f>IF('2A-B'!C3&lt;&gt;0,'2A-B'!C3,"")</f>
        <v/>
      </c>
      <c r="D5" s="62" t="str">
        <f>IF('2A-B'!D3&lt;&gt;0,'2A-B'!D3,"")</f>
        <v/>
      </c>
      <c r="E5" s="43"/>
      <c r="F5" s="42"/>
      <c r="G5" s="28" t="e">
        <f t="shared" ref="G5:G29" si="0">ROUND((E5*100)/(E5+F5),0)/100</f>
        <v>#DIV/0!</v>
      </c>
      <c r="H5" s="39"/>
      <c r="I5" s="40"/>
      <c r="J5" s="29" t="e">
        <f t="shared" ref="J5:J29" si="1">ROUND((H5*100)/(H5+I5),0)/100</f>
        <v>#DIV/0!</v>
      </c>
      <c r="K5" s="87">
        <f>Tabela2736810121416[[#This Row],[Nº]]</f>
        <v>1</v>
      </c>
      <c r="L5" s="41"/>
      <c r="M5" s="42"/>
      <c r="N5" s="28" t="e">
        <f t="shared" ref="N5:N29" si="2">ROUND((L5*100)/(L5+M5),0)/100</f>
        <v>#DIV/0!</v>
      </c>
      <c r="O5" s="39"/>
      <c r="P5" s="40"/>
      <c r="Q5" s="29" t="e">
        <f t="shared" ref="Q5:Q29" si="3">ROUND((O5*100)/(O5+P5),0)/100</f>
        <v>#DIV/0!</v>
      </c>
      <c r="R5" s="87">
        <f>Tabela2736810121416[[#This Row],[Nº]]</f>
        <v>1</v>
      </c>
      <c r="S5" s="41"/>
      <c r="T5" s="42"/>
      <c r="U5" s="28" t="e">
        <f t="shared" ref="U5:U29" si="4">ROUND((S5*100)/(S5+T5),0)/100</f>
        <v>#DIV/0!</v>
      </c>
      <c r="V5" s="39"/>
      <c r="W5" s="40"/>
      <c r="X5" s="29" t="e">
        <f t="shared" ref="X5:X29" si="5">ROUND((V5*100)/(V5+W5),0)/100</f>
        <v>#DIV/0!</v>
      </c>
      <c r="Y5" s="87">
        <f>Tabela2736810121416[[#This Row],[Nº]]</f>
        <v>1</v>
      </c>
      <c r="Z5" s="41"/>
      <c r="AA5" s="42"/>
      <c r="AB5" s="28" t="e">
        <f t="shared" ref="AB5:AB29" si="6">ROUND((Z5*100)/(Z5+AA5),0)/100</f>
        <v>#DIV/0!</v>
      </c>
      <c r="AC5" s="39"/>
      <c r="AD5" s="40"/>
      <c r="AE5" s="30" t="e">
        <f t="shared" ref="AE5:AE29" si="7">ROUND((AC5*100)/(AC5+AD5),0)/100</f>
        <v>#DIV/0!</v>
      </c>
    </row>
    <row r="6" spans="1:31" ht="15">
      <c r="A6" s="72">
        <v>2</v>
      </c>
      <c r="B6" s="60" t="str">
        <f>IF('2A-B'!B4&lt;&gt;0,'2A-B'!B4,"")</f>
        <v/>
      </c>
      <c r="C6" s="61" t="str">
        <f>IF('2A-B'!C4&lt;&gt;0,'2A-B'!C4,"")</f>
        <v/>
      </c>
      <c r="D6" s="62" t="str">
        <f>IF('2A-B'!D4&lt;&gt;0,'2A-B'!D4,"")</f>
        <v/>
      </c>
      <c r="E6" s="43"/>
      <c r="F6" s="42"/>
      <c r="G6" s="28" t="e">
        <f t="shared" si="0"/>
        <v>#DIV/0!</v>
      </c>
      <c r="H6" s="39"/>
      <c r="I6" s="40"/>
      <c r="J6" s="29" t="e">
        <f t="shared" si="1"/>
        <v>#DIV/0!</v>
      </c>
      <c r="K6" s="87">
        <f>Tabela2736810121416[[#This Row],[Nº]]</f>
        <v>2</v>
      </c>
      <c r="L6" s="41"/>
      <c r="M6" s="42"/>
      <c r="N6" s="28" t="e">
        <f t="shared" si="2"/>
        <v>#DIV/0!</v>
      </c>
      <c r="O6" s="39"/>
      <c r="P6" s="40"/>
      <c r="Q6" s="29" t="e">
        <f t="shared" si="3"/>
        <v>#DIV/0!</v>
      </c>
      <c r="R6" s="87">
        <f>Tabela2736810121416[[#This Row],[Nº]]</f>
        <v>2</v>
      </c>
      <c r="S6" s="41"/>
      <c r="T6" s="42"/>
      <c r="U6" s="28" t="e">
        <f t="shared" si="4"/>
        <v>#DIV/0!</v>
      </c>
      <c r="V6" s="39"/>
      <c r="W6" s="40"/>
      <c r="X6" s="29" t="e">
        <f t="shared" si="5"/>
        <v>#DIV/0!</v>
      </c>
      <c r="Y6" s="87">
        <f>Tabela2736810121416[[#This Row],[Nº]]</f>
        <v>2</v>
      </c>
      <c r="Z6" s="41"/>
      <c r="AA6" s="42"/>
      <c r="AB6" s="28" t="e">
        <f t="shared" si="6"/>
        <v>#DIV/0!</v>
      </c>
      <c r="AC6" s="39"/>
      <c r="AD6" s="40"/>
      <c r="AE6" s="30" t="e">
        <f t="shared" si="7"/>
        <v>#DIV/0!</v>
      </c>
    </row>
    <row r="7" spans="1:31" ht="15">
      <c r="A7" s="72">
        <v>3</v>
      </c>
      <c r="B7" s="60" t="str">
        <f>IF('2A-B'!B5&lt;&gt;0,'2A-B'!B5,"")</f>
        <v/>
      </c>
      <c r="C7" s="61" t="str">
        <f>IF('2A-B'!C5&lt;&gt;0,'2A-B'!C5,"")</f>
        <v/>
      </c>
      <c r="D7" s="62" t="str">
        <f>IF('2A-B'!D5&lt;&gt;0,'2A-B'!D5,"")</f>
        <v/>
      </c>
      <c r="E7" s="43"/>
      <c r="F7" s="42"/>
      <c r="G7" s="28" t="e">
        <f t="shared" si="0"/>
        <v>#DIV/0!</v>
      </c>
      <c r="H7" s="39"/>
      <c r="I7" s="40"/>
      <c r="J7" s="29" t="e">
        <f t="shared" si="1"/>
        <v>#DIV/0!</v>
      </c>
      <c r="K7" s="87">
        <f>Tabela2736810121416[[#This Row],[Nº]]</f>
        <v>3</v>
      </c>
      <c r="L7" s="41"/>
      <c r="M7" s="42"/>
      <c r="N7" s="28" t="e">
        <f t="shared" si="2"/>
        <v>#DIV/0!</v>
      </c>
      <c r="O7" s="39"/>
      <c r="P7" s="40"/>
      <c r="Q7" s="29" t="e">
        <f t="shared" si="3"/>
        <v>#DIV/0!</v>
      </c>
      <c r="R7" s="87">
        <f>Tabela2736810121416[[#This Row],[Nº]]</f>
        <v>3</v>
      </c>
      <c r="S7" s="41"/>
      <c r="T7" s="42"/>
      <c r="U7" s="28" t="e">
        <f t="shared" si="4"/>
        <v>#DIV/0!</v>
      </c>
      <c r="V7" s="39"/>
      <c r="W7" s="40"/>
      <c r="X7" s="29" t="e">
        <f t="shared" si="5"/>
        <v>#DIV/0!</v>
      </c>
      <c r="Y7" s="87">
        <f>Tabela2736810121416[[#This Row],[Nº]]</f>
        <v>3</v>
      </c>
      <c r="Z7" s="41"/>
      <c r="AA7" s="42"/>
      <c r="AB7" s="28" t="e">
        <f t="shared" si="6"/>
        <v>#DIV/0!</v>
      </c>
      <c r="AC7" s="39"/>
      <c r="AD7" s="40"/>
      <c r="AE7" s="30" t="e">
        <f t="shared" si="7"/>
        <v>#DIV/0!</v>
      </c>
    </row>
    <row r="8" spans="1:31" ht="15">
      <c r="A8" s="72">
        <v>4</v>
      </c>
      <c r="B8" s="60" t="str">
        <f>IF('2A-B'!B6&lt;&gt;0,'2A-B'!B6,"")</f>
        <v/>
      </c>
      <c r="C8" s="61" t="str">
        <f>IF('2A-B'!C6&lt;&gt;0,'2A-B'!C6,"")</f>
        <v/>
      </c>
      <c r="D8" s="62" t="str">
        <f>IF('2A-B'!D6&lt;&gt;0,'2A-B'!D6,"")</f>
        <v/>
      </c>
      <c r="E8" s="43"/>
      <c r="F8" s="42"/>
      <c r="G8" s="28" t="e">
        <f t="shared" si="0"/>
        <v>#DIV/0!</v>
      </c>
      <c r="H8" s="39"/>
      <c r="I8" s="40"/>
      <c r="J8" s="29" t="e">
        <f t="shared" si="1"/>
        <v>#DIV/0!</v>
      </c>
      <c r="K8" s="87">
        <f>Tabela2736810121416[[#This Row],[Nº]]</f>
        <v>4</v>
      </c>
      <c r="L8" s="41"/>
      <c r="M8" s="42"/>
      <c r="N8" s="28" t="e">
        <f t="shared" si="2"/>
        <v>#DIV/0!</v>
      </c>
      <c r="O8" s="39"/>
      <c r="P8" s="40"/>
      <c r="Q8" s="29" t="e">
        <f t="shared" si="3"/>
        <v>#DIV/0!</v>
      </c>
      <c r="R8" s="87">
        <f>Tabela2736810121416[[#This Row],[Nº]]</f>
        <v>4</v>
      </c>
      <c r="S8" s="41"/>
      <c r="T8" s="42"/>
      <c r="U8" s="28" t="e">
        <f t="shared" si="4"/>
        <v>#DIV/0!</v>
      </c>
      <c r="V8" s="39"/>
      <c r="W8" s="40"/>
      <c r="X8" s="29" t="e">
        <f t="shared" si="5"/>
        <v>#DIV/0!</v>
      </c>
      <c r="Y8" s="87">
        <f>Tabela2736810121416[[#This Row],[Nº]]</f>
        <v>4</v>
      </c>
      <c r="Z8" s="41"/>
      <c r="AA8" s="42"/>
      <c r="AB8" s="28" t="e">
        <f t="shared" si="6"/>
        <v>#DIV/0!</v>
      </c>
      <c r="AC8" s="39"/>
      <c r="AD8" s="40"/>
      <c r="AE8" s="30" t="e">
        <f t="shared" si="7"/>
        <v>#DIV/0!</v>
      </c>
    </row>
    <row r="9" spans="1:31" ht="15">
      <c r="A9" s="72">
        <v>5</v>
      </c>
      <c r="B9" s="60" t="str">
        <f>IF('2A-B'!B7&lt;&gt;0,'2A-B'!B7,"")</f>
        <v/>
      </c>
      <c r="C9" s="61" t="str">
        <f>IF('2A-B'!C7&lt;&gt;0,'2A-B'!C7,"")</f>
        <v/>
      </c>
      <c r="D9" s="62" t="str">
        <f>IF('2A-B'!D7&lt;&gt;0,'2A-B'!D7,"")</f>
        <v/>
      </c>
      <c r="E9" s="43"/>
      <c r="F9" s="42"/>
      <c r="G9" s="28" t="e">
        <f t="shared" si="0"/>
        <v>#DIV/0!</v>
      </c>
      <c r="H9" s="39"/>
      <c r="I9" s="40"/>
      <c r="J9" s="29" t="e">
        <f t="shared" si="1"/>
        <v>#DIV/0!</v>
      </c>
      <c r="K9" s="87">
        <f>Tabela2736810121416[[#This Row],[Nº]]</f>
        <v>5</v>
      </c>
      <c r="L9" s="41"/>
      <c r="M9" s="42"/>
      <c r="N9" s="28" t="e">
        <f t="shared" si="2"/>
        <v>#DIV/0!</v>
      </c>
      <c r="O9" s="39"/>
      <c r="P9" s="40"/>
      <c r="Q9" s="29" t="e">
        <f t="shared" si="3"/>
        <v>#DIV/0!</v>
      </c>
      <c r="R9" s="87">
        <f>Tabela2736810121416[[#This Row],[Nº]]</f>
        <v>5</v>
      </c>
      <c r="S9" s="41"/>
      <c r="T9" s="42"/>
      <c r="U9" s="28" t="e">
        <f t="shared" si="4"/>
        <v>#DIV/0!</v>
      </c>
      <c r="V9" s="39"/>
      <c r="W9" s="40"/>
      <c r="X9" s="29" t="e">
        <f t="shared" si="5"/>
        <v>#DIV/0!</v>
      </c>
      <c r="Y9" s="87">
        <f>Tabela2736810121416[[#This Row],[Nº]]</f>
        <v>5</v>
      </c>
      <c r="Z9" s="41"/>
      <c r="AA9" s="42"/>
      <c r="AB9" s="28" t="e">
        <f t="shared" si="6"/>
        <v>#DIV/0!</v>
      </c>
      <c r="AC9" s="39"/>
      <c r="AD9" s="40"/>
      <c r="AE9" s="30" t="e">
        <f t="shared" si="7"/>
        <v>#DIV/0!</v>
      </c>
    </row>
    <row r="10" spans="1:31" ht="15">
      <c r="A10" s="72">
        <v>6</v>
      </c>
      <c r="B10" s="60" t="str">
        <f>IF('2A-B'!B8&lt;&gt;0,'2A-B'!B8,"")</f>
        <v/>
      </c>
      <c r="C10" s="61" t="str">
        <f>IF('2A-B'!C8&lt;&gt;0,'2A-B'!C8,"")</f>
        <v/>
      </c>
      <c r="D10" s="62" t="str">
        <f>IF('2A-B'!D8&lt;&gt;0,'2A-B'!D8,"")</f>
        <v/>
      </c>
      <c r="E10" s="43"/>
      <c r="F10" s="42"/>
      <c r="G10" s="28" t="e">
        <f t="shared" si="0"/>
        <v>#DIV/0!</v>
      </c>
      <c r="H10" s="39"/>
      <c r="I10" s="40"/>
      <c r="J10" s="29" t="e">
        <f t="shared" si="1"/>
        <v>#DIV/0!</v>
      </c>
      <c r="K10" s="87">
        <f>Tabela2736810121416[[#This Row],[Nº]]</f>
        <v>6</v>
      </c>
      <c r="L10" s="41"/>
      <c r="M10" s="42"/>
      <c r="N10" s="28" t="e">
        <f t="shared" si="2"/>
        <v>#DIV/0!</v>
      </c>
      <c r="O10" s="39"/>
      <c r="P10" s="40"/>
      <c r="Q10" s="29" t="e">
        <f t="shared" si="3"/>
        <v>#DIV/0!</v>
      </c>
      <c r="R10" s="87">
        <f>Tabela2736810121416[[#This Row],[Nº]]</f>
        <v>6</v>
      </c>
      <c r="S10" s="41"/>
      <c r="T10" s="42"/>
      <c r="U10" s="28" t="e">
        <f t="shared" si="4"/>
        <v>#DIV/0!</v>
      </c>
      <c r="V10" s="39"/>
      <c r="W10" s="40"/>
      <c r="X10" s="29" t="e">
        <f t="shared" si="5"/>
        <v>#DIV/0!</v>
      </c>
      <c r="Y10" s="87">
        <f>Tabela2736810121416[[#This Row],[Nº]]</f>
        <v>6</v>
      </c>
      <c r="Z10" s="41"/>
      <c r="AA10" s="42"/>
      <c r="AB10" s="28" t="e">
        <f t="shared" si="6"/>
        <v>#DIV/0!</v>
      </c>
      <c r="AC10" s="39"/>
      <c r="AD10" s="40"/>
      <c r="AE10" s="30" t="e">
        <f t="shared" si="7"/>
        <v>#DIV/0!</v>
      </c>
    </row>
    <row r="11" spans="1:31" ht="15">
      <c r="A11" s="72">
        <v>7</v>
      </c>
      <c r="B11" s="60" t="str">
        <f>IF('2A-B'!B9&lt;&gt;0,'2A-B'!B9,"")</f>
        <v/>
      </c>
      <c r="C11" s="61" t="str">
        <f>IF('2A-B'!C9&lt;&gt;0,'2A-B'!C9,"")</f>
        <v/>
      </c>
      <c r="D11" s="62" t="str">
        <f>IF('2A-B'!D9&lt;&gt;0,'2A-B'!D9,"")</f>
        <v/>
      </c>
      <c r="E11" s="43"/>
      <c r="F11" s="42"/>
      <c r="G11" s="28" t="e">
        <f t="shared" si="0"/>
        <v>#DIV/0!</v>
      </c>
      <c r="H11" s="39"/>
      <c r="I11" s="40"/>
      <c r="J11" s="29" t="e">
        <f t="shared" si="1"/>
        <v>#DIV/0!</v>
      </c>
      <c r="K11" s="87">
        <f>Tabela2736810121416[[#This Row],[Nº]]</f>
        <v>7</v>
      </c>
      <c r="L11" s="41"/>
      <c r="M11" s="42"/>
      <c r="N11" s="28" t="e">
        <f t="shared" si="2"/>
        <v>#DIV/0!</v>
      </c>
      <c r="O11" s="39"/>
      <c r="P11" s="40"/>
      <c r="Q11" s="29" t="e">
        <f t="shared" si="3"/>
        <v>#DIV/0!</v>
      </c>
      <c r="R11" s="87">
        <f>Tabela2736810121416[[#This Row],[Nº]]</f>
        <v>7</v>
      </c>
      <c r="S11" s="41"/>
      <c r="T11" s="42"/>
      <c r="U11" s="28" t="e">
        <f t="shared" si="4"/>
        <v>#DIV/0!</v>
      </c>
      <c r="V11" s="39"/>
      <c r="W11" s="40"/>
      <c r="X11" s="29" t="e">
        <f t="shared" si="5"/>
        <v>#DIV/0!</v>
      </c>
      <c r="Y11" s="87">
        <f>Tabela2736810121416[[#This Row],[Nº]]</f>
        <v>7</v>
      </c>
      <c r="Z11" s="41"/>
      <c r="AA11" s="42"/>
      <c r="AB11" s="28" t="e">
        <f t="shared" si="6"/>
        <v>#DIV/0!</v>
      </c>
      <c r="AC11" s="39"/>
      <c r="AD11" s="40"/>
      <c r="AE11" s="30" t="e">
        <f t="shared" si="7"/>
        <v>#DIV/0!</v>
      </c>
    </row>
    <row r="12" spans="1:31" ht="15">
      <c r="A12" s="72">
        <v>8</v>
      </c>
      <c r="B12" s="60" t="str">
        <f>IF('2A-B'!B10&lt;&gt;0,'2A-B'!B10,"")</f>
        <v/>
      </c>
      <c r="C12" s="61" t="str">
        <f>IF('2A-B'!C10&lt;&gt;0,'2A-B'!C10,"")</f>
        <v/>
      </c>
      <c r="D12" s="62" t="str">
        <f>IF('2A-B'!D10&lt;&gt;0,'2A-B'!D10,"")</f>
        <v/>
      </c>
      <c r="E12" s="43"/>
      <c r="F12" s="42"/>
      <c r="G12" s="28" t="e">
        <f t="shared" si="0"/>
        <v>#DIV/0!</v>
      </c>
      <c r="H12" s="39"/>
      <c r="I12" s="40"/>
      <c r="J12" s="29" t="e">
        <f t="shared" si="1"/>
        <v>#DIV/0!</v>
      </c>
      <c r="K12" s="87">
        <f>Tabela2736810121416[[#This Row],[Nº]]</f>
        <v>8</v>
      </c>
      <c r="L12" s="41"/>
      <c r="M12" s="42"/>
      <c r="N12" s="28" t="e">
        <f t="shared" si="2"/>
        <v>#DIV/0!</v>
      </c>
      <c r="O12" s="39"/>
      <c r="P12" s="40"/>
      <c r="Q12" s="29" t="e">
        <f t="shared" si="3"/>
        <v>#DIV/0!</v>
      </c>
      <c r="R12" s="87">
        <f>Tabela2736810121416[[#This Row],[Nº]]</f>
        <v>8</v>
      </c>
      <c r="S12" s="41"/>
      <c r="T12" s="42"/>
      <c r="U12" s="28" t="e">
        <f t="shared" si="4"/>
        <v>#DIV/0!</v>
      </c>
      <c r="V12" s="39"/>
      <c r="W12" s="40"/>
      <c r="X12" s="29" t="e">
        <f t="shared" si="5"/>
        <v>#DIV/0!</v>
      </c>
      <c r="Y12" s="87">
        <f>Tabela2736810121416[[#This Row],[Nº]]</f>
        <v>8</v>
      </c>
      <c r="Z12" s="41"/>
      <c r="AA12" s="42"/>
      <c r="AB12" s="28" t="e">
        <f t="shared" si="6"/>
        <v>#DIV/0!</v>
      </c>
      <c r="AC12" s="39"/>
      <c r="AD12" s="40"/>
      <c r="AE12" s="30" t="e">
        <f t="shared" si="7"/>
        <v>#DIV/0!</v>
      </c>
    </row>
    <row r="13" spans="1:31" ht="15">
      <c r="A13" s="72">
        <v>9</v>
      </c>
      <c r="B13" s="60" t="str">
        <f>IF('2A-B'!B11&lt;&gt;0,'2A-B'!B11,"")</f>
        <v/>
      </c>
      <c r="C13" s="61" t="str">
        <f>IF('2A-B'!C11&lt;&gt;0,'2A-B'!C11,"")</f>
        <v/>
      </c>
      <c r="D13" s="62" t="str">
        <f>IF('2A-B'!D11&lt;&gt;0,'2A-B'!D11,"")</f>
        <v/>
      </c>
      <c r="E13" s="43"/>
      <c r="F13" s="42"/>
      <c r="G13" s="28" t="e">
        <f t="shared" si="0"/>
        <v>#DIV/0!</v>
      </c>
      <c r="H13" s="39"/>
      <c r="I13" s="40"/>
      <c r="J13" s="29" t="e">
        <f t="shared" si="1"/>
        <v>#DIV/0!</v>
      </c>
      <c r="K13" s="87">
        <f>Tabela2736810121416[[#This Row],[Nº]]</f>
        <v>9</v>
      </c>
      <c r="L13" s="41"/>
      <c r="M13" s="42"/>
      <c r="N13" s="28" t="e">
        <f t="shared" si="2"/>
        <v>#DIV/0!</v>
      </c>
      <c r="O13" s="39"/>
      <c r="P13" s="40"/>
      <c r="Q13" s="29" t="e">
        <f t="shared" si="3"/>
        <v>#DIV/0!</v>
      </c>
      <c r="R13" s="87">
        <f>Tabela2736810121416[[#This Row],[Nº]]</f>
        <v>9</v>
      </c>
      <c r="S13" s="41"/>
      <c r="T13" s="42"/>
      <c r="U13" s="28" t="e">
        <f t="shared" si="4"/>
        <v>#DIV/0!</v>
      </c>
      <c r="V13" s="39"/>
      <c r="W13" s="40"/>
      <c r="X13" s="29" t="e">
        <f t="shared" si="5"/>
        <v>#DIV/0!</v>
      </c>
      <c r="Y13" s="87">
        <f>Tabela2736810121416[[#This Row],[Nº]]</f>
        <v>9</v>
      </c>
      <c r="Z13" s="41"/>
      <c r="AA13" s="42"/>
      <c r="AB13" s="28" t="e">
        <f t="shared" si="6"/>
        <v>#DIV/0!</v>
      </c>
      <c r="AC13" s="39"/>
      <c r="AD13" s="40"/>
      <c r="AE13" s="30" t="e">
        <f t="shared" si="7"/>
        <v>#DIV/0!</v>
      </c>
    </row>
    <row r="14" spans="1:31" ht="15">
      <c r="A14" s="72">
        <v>10</v>
      </c>
      <c r="B14" s="60" t="str">
        <f>IF('2A-B'!B12&lt;&gt;0,'2A-B'!B12,"")</f>
        <v/>
      </c>
      <c r="C14" s="61" t="str">
        <f>IF('2A-B'!C12&lt;&gt;0,'2A-B'!C12,"")</f>
        <v/>
      </c>
      <c r="D14" s="62" t="str">
        <f>IF('2A-B'!D12&lt;&gt;0,'2A-B'!D12,"")</f>
        <v/>
      </c>
      <c r="E14" s="43"/>
      <c r="F14" s="42"/>
      <c r="G14" s="28" t="e">
        <f t="shared" si="0"/>
        <v>#DIV/0!</v>
      </c>
      <c r="H14" s="39"/>
      <c r="I14" s="40"/>
      <c r="J14" s="29" t="e">
        <f t="shared" si="1"/>
        <v>#DIV/0!</v>
      </c>
      <c r="K14" s="87">
        <f>Tabela2736810121416[[#This Row],[Nº]]</f>
        <v>10</v>
      </c>
      <c r="L14" s="41"/>
      <c r="M14" s="42"/>
      <c r="N14" s="28" t="e">
        <f t="shared" si="2"/>
        <v>#DIV/0!</v>
      </c>
      <c r="O14" s="39"/>
      <c r="P14" s="40"/>
      <c r="Q14" s="29" t="e">
        <f t="shared" si="3"/>
        <v>#DIV/0!</v>
      </c>
      <c r="R14" s="87">
        <f>Tabela2736810121416[[#This Row],[Nº]]</f>
        <v>10</v>
      </c>
      <c r="S14" s="41"/>
      <c r="T14" s="42"/>
      <c r="U14" s="28" t="e">
        <f t="shared" si="4"/>
        <v>#DIV/0!</v>
      </c>
      <c r="V14" s="39"/>
      <c r="W14" s="40"/>
      <c r="X14" s="29" t="e">
        <f t="shared" si="5"/>
        <v>#DIV/0!</v>
      </c>
      <c r="Y14" s="87">
        <f>Tabela2736810121416[[#This Row],[Nº]]</f>
        <v>10</v>
      </c>
      <c r="Z14" s="41"/>
      <c r="AA14" s="42"/>
      <c r="AB14" s="28" t="e">
        <f t="shared" si="6"/>
        <v>#DIV/0!</v>
      </c>
      <c r="AC14" s="39"/>
      <c r="AD14" s="40"/>
      <c r="AE14" s="30" t="e">
        <f t="shared" si="7"/>
        <v>#DIV/0!</v>
      </c>
    </row>
    <row r="15" spans="1:31" ht="15">
      <c r="A15" s="72">
        <v>11</v>
      </c>
      <c r="B15" s="60" t="str">
        <f>IF('2A-B'!B13&lt;&gt;0,'2A-B'!B13,"")</f>
        <v/>
      </c>
      <c r="C15" s="61" t="str">
        <f>IF('2A-B'!C13&lt;&gt;0,'2A-B'!C13,"")</f>
        <v/>
      </c>
      <c r="D15" s="62" t="str">
        <f>IF('2A-B'!D13&lt;&gt;0,'2A-B'!D13,"")</f>
        <v/>
      </c>
      <c r="E15" s="43"/>
      <c r="F15" s="42"/>
      <c r="G15" s="28" t="e">
        <f t="shared" si="0"/>
        <v>#DIV/0!</v>
      </c>
      <c r="H15" s="39"/>
      <c r="I15" s="40"/>
      <c r="J15" s="29" t="e">
        <f t="shared" si="1"/>
        <v>#DIV/0!</v>
      </c>
      <c r="K15" s="87">
        <f>Tabela2736810121416[[#This Row],[Nº]]</f>
        <v>11</v>
      </c>
      <c r="L15" s="41"/>
      <c r="M15" s="42"/>
      <c r="N15" s="28" t="e">
        <f t="shared" si="2"/>
        <v>#DIV/0!</v>
      </c>
      <c r="O15" s="39"/>
      <c r="P15" s="40"/>
      <c r="Q15" s="29" t="e">
        <f t="shared" si="3"/>
        <v>#DIV/0!</v>
      </c>
      <c r="R15" s="87">
        <f>Tabela2736810121416[[#This Row],[Nº]]</f>
        <v>11</v>
      </c>
      <c r="S15" s="41"/>
      <c r="T15" s="42"/>
      <c r="U15" s="28" t="e">
        <f t="shared" si="4"/>
        <v>#DIV/0!</v>
      </c>
      <c r="V15" s="39"/>
      <c r="W15" s="40"/>
      <c r="X15" s="29" t="e">
        <f t="shared" si="5"/>
        <v>#DIV/0!</v>
      </c>
      <c r="Y15" s="87">
        <f>Tabela2736810121416[[#This Row],[Nº]]</f>
        <v>11</v>
      </c>
      <c r="Z15" s="41"/>
      <c r="AA15" s="42"/>
      <c r="AB15" s="28" t="e">
        <f t="shared" si="6"/>
        <v>#DIV/0!</v>
      </c>
      <c r="AC15" s="39"/>
      <c r="AD15" s="40"/>
      <c r="AE15" s="30" t="e">
        <f t="shared" si="7"/>
        <v>#DIV/0!</v>
      </c>
    </row>
    <row r="16" spans="1:31" ht="15">
      <c r="A16" s="72">
        <v>12</v>
      </c>
      <c r="B16" s="60" t="str">
        <f>IF('2A-B'!B14&lt;&gt;0,'2A-B'!B14,"")</f>
        <v/>
      </c>
      <c r="C16" s="61" t="str">
        <f>IF('2A-B'!C14&lt;&gt;0,'2A-B'!C14,"")</f>
        <v/>
      </c>
      <c r="D16" s="62" t="str">
        <f>IF('2A-B'!D14&lt;&gt;0,'2A-B'!D14,"")</f>
        <v/>
      </c>
      <c r="E16" s="43"/>
      <c r="F16" s="42"/>
      <c r="G16" s="28" t="e">
        <f t="shared" si="0"/>
        <v>#DIV/0!</v>
      </c>
      <c r="H16" s="39"/>
      <c r="I16" s="40"/>
      <c r="J16" s="29" t="e">
        <f t="shared" si="1"/>
        <v>#DIV/0!</v>
      </c>
      <c r="K16" s="87">
        <f>Tabela2736810121416[[#This Row],[Nº]]</f>
        <v>12</v>
      </c>
      <c r="L16" s="41"/>
      <c r="M16" s="42"/>
      <c r="N16" s="28" t="e">
        <f t="shared" si="2"/>
        <v>#DIV/0!</v>
      </c>
      <c r="O16" s="39"/>
      <c r="P16" s="40"/>
      <c r="Q16" s="29" t="e">
        <f t="shared" si="3"/>
        <v>#DIV/0!</v>
      </c>
      <c r="R16" s="87">
        <f>Tabela2736810121416[[#This Row],[Nº]]</f>
        <v>12</v>
      </c>
      <c r="S16" s="41"/>
      <c r="T16" s="42"/>
      <c r="U16" s="28" t="e">
        <f t="shared" si="4"/>
        <v>#DIV/0!</v>
      </c>
      <c r="V16" s="39"/>
      <c r="W16" s="40"/>
      <c r="X16" s="29" t="e">
        <f t="shared" si="5"/>
        <v>#DIV/0!</v>
      </c>
      <c r="Y16" s="87">
        <f>Tabela2736810121416[[#This Row],[Nº]]</f>
        <v>12</v>
      </c>
      <c r="Z16" s="41"/>
      <c r="AA16" s="42"/>
      <c r="AB16" s="28" t="e">
        <f t="shared" si="6"/>
        <v>#DIV/0!</v>
      </c>
      <c r="AC16" s="39"/>
      <c r="AD16" s="40"/>
      <c r="AE16" s="30" t="e">
        <f t="shared" si="7"/>
        <v>#DIV/0!</v>
      </c>
    </row>
    <row r="17" spans="1:31" ht="15">
      <c r="A17" s="72">
        <v>13</v>
      </c>
      <c r="B17" s="60" t="str">
        <f>IF('2A-B'!B15&lt;&gt;0,'2A-B'!B15,"")</f>
        <v/>
      </c>
      <c r="C17" s="61" t="str">
        <f>IF('2A-B'!C15&lt;&gt;0,'2A-B'!C15,"")</f>
        <v/>
      </c>
      <c r="D17" s="62" t="str">
        <f>IF('2A-B'!D15&lt;&gt;0,'2A-B'!D15,"")</f>
        <v/>
      </c>
      <c r="E17" s="43"/>
      <c r="F17" s="42"/>
      <c r="G17" s="28" t="e">
        <f t="shared" si="0"/>
        <v>#DIV/0!</v>
      </c>
      <c r="H17" s="39"/>
      <c r="I17" s="40"/>
      <c r="J17" s="29" t="e">
        <f t="shared" si="1"/>
        <v>#DIV/0!</v>
      </c>
      <c r="K17" s="87">
        <f>Tabela2736810121416[[#This Row],[Nº]]</f>
        <v>13</v>
      </c>
      <c r="L17" s="41"/>
      <c r="M17" s="42"/>
      <c r="N17" s="28" t="e">
        <f t="shared" si="2"/>
        <v>#DIV/0!</v>
      </c>
      <c r="O17" s="39"/>
      <c r="P17" s="40"/>
      <c r="Q17" s="29" t="e">
        <f t="shared" si="3"/>
        <v>#DIV/0!</v>
      </c>
      <c r="R17" s="87">
        <f>Tabela2736810121416[[#This Row],[Nº]]</f>
        <v>13</v>
      </c>
      <c r="S17" s="41"/>
      <c r="T17" s="42"/>
      <c r="U17" s="28" t="e">
        <f t="shared" si="4"/>
        <v>#DIV/0!</v>
      </c>
      <c r="V17" s="39"/>
      <c r="W17" s="40"/>
      <c r="X17" s="29" t="e">
        <f t="shared" si="5"/>
        <v>#DIV/0!</v>
      </c>
      <c r="Y17" s="87">
        <f>Tabela2736810121416[[#This Row],[Nº]]</f>
        <v>13</v>
      </c>
      <c r="Z17" s="41"/>
      <c r="AA17" s="42"/>
      <c r="AB17" s="28" t="e">
        <f t="shared" si="6"/>
        <v>#DIV/0!</v>
      </c>
      <c r="AC17" s="39"/>
      <c r="AD17" s="40"/>
      <c r="AE17" s="30" t="e">
        <f t="shared" si="7"/>
        <v>#DIV/0!</v>
      </c>
    </row>
    <row r="18" spans="1:31" ht="15">
      <c r="A18" s="72">
        <v>14</v>
      </c>
      <c r="B18" s="60" t="str">
        <f>IF('2A-B'!B16&lt;&gt;0,'2A-B'!B16,"")</f>
        <v/>
      </c>
      <c r="C18" s="61" t="str">
        <f>IF('2A-B'!C16&lt;&gt;0,'2A-B'!C16,"")</f>
        <v/>
      </c>
      <c r="D18" s="62" t="str">
        <f>IF('2A-B'!D16&lt;&gt;0,'2A-B'!D16,"")</f>
        <v/>
      </c>
      <c r="E18" s="43"/>
      <c r="F18" s="42"/>
      <c r="G18" s="28" t="e">
        <f t="shared" si="0"/>
        <v>#DIV/0!</v>
      </c>
      <c r="H18" s="39"/>
      <c r="I18" s="40"/>
      <c r="J18" s="29" t="e">
        <f t="shared" si="1"/>
        <v>#DIV/0!</v>
      </c>
      <c r="K18" s="87">
        <f>Tabela2736810121416[[#This Row],[Nº]]</f>
        <v>14</v>
      </c>
      <c r="L18" s="41"/>
      <c r="M18" s="42"/>
      <c r="N18" s="28" t="e">
        <f t="shared" si="2"/>
        <v>#DIV/0!</v>
      </c>
      <c r="O18" s="39"/>
      <c r="P18" s="40"/>
      <c r="Q18" s="29" t="e">
        <f t="shared" si="3"/>
        <v>#DIV/0!</v>
      </c>
      <c r="R18" s="87">
        <f>Tabela2736810121416[[#This Row],[Nº]]</f>
        <v>14</v>
      </c>
      <c r="S18" s="41"/>
      <c r="T18" s="42"/>
      <c r="U18" s="28" t="e">
        <f t="shared" si="4"/>
        <v>#DIV/0!</v>
      </c>
      <c r="V18" s="39"/>
      <c r="W18" s="40"/>
      <c r="X18" s="29" t="e">
        <f t="shared" si="5"/>
        <v>#DIV/0!</v>
      </c>
      <c r="Y18" s="87">
        <f>Tabela2736810121416[[#This Row],[Nº]]</f>
        <v>14</v>
      </c>
      <c r="Z18" s="41"/>
      <c r="AA18" s="42"/>
      <c r="AB18" s="28" t="e">
        <f t="shared" si="6"/>
        <v>#DIV/0!</v>
      </c>
      <c r="AC18" s="39"/>
      <c r="AD18" s="40"/>
      <c r="AE18" s="30" t="e">
        <f t="shared" si="7"/>
        <v>#DIV/0!</v>
      </c>
    </row>
    <row r="19" spans="1:31" ht="15">
      <c r="A19" s="72">
        <v>15</v>
      </c>
      <c r="B19" s="60" t="str">
        <f>IF('2A-B'!B17&lt;&gt;0,'2A-B'!B17,"")</f>
        <v/>
      </c>
      <c r="C19" s="61" t="str">
        <f>IF('2A-B'!C17&lt;&gt;0,'2A-B'!C17,"")</f>
        <v/>
      </c>
      <c r="D19" s="62" t="str">
        <f>IF('2A-B'!D17&lt;&gt;0,'2A-B'!D17,"")</f>
        <v/>
      </c>
      <c r="E19" s="43"/>
      <c r="F19" s="42"/>
      <c r="G19" s="28" t="e">
        <f t="shared" si="0"/>
        <v>#DIV/0!</v>
      </c>
      <c r="H19" s="39"/>
      <c r="I19" s="40"/>
      <c r="J19" s="29" t="e">
        <f t="shared" si="1"/>
        <v>#DIV/0!</v>
      </c>
      <c r="K19" s="87">
        <f>Tabela2736810121416[[#This Row],[Nº]]</f>
        <v>15</v>
      </c>
      <c r="L19" s="41"/>
      <c r="M19" s="42"/>
      <c r="N19" s="28" t="e">
        <f t="shared" si="2"/>
        <v>#DIV/0!</v>
      </c>
      <c r="O19" s="39"/>
      <c r="P19" s="40"/>
      <c r="Q19" s="29" t="e">
        <f t="shared" si="3"/>
        <v>#DIV/0!</v>
      </c>
      <c r="R19" s="87">
        <f>Tabela2736810121416[[#This Row],[Nº]]</f>
        <v>15</v>
      </c>
      <c r="S19" s="41"/>
      <c r="T19" s="42"/>
      <c r="U19" s="28" t="e">
        <f t="shared" si="4"/>
        <v>#DIV/0!</v>
      </c>
      <c r="V19" s="39"/>
      <c r="W19" s="40"/>
      <c r="X19" s="29" t="e">
        <f t="shared" si="5"/>
        <v>#DIV/0!</v>
      </c>
      <c r="Y19" s="87">
        <f>Tabela2736810121416[[#This Row],[Nº]]</f>
        <v>15</v>
      </c>
      <c r="Z19" s="41"/>
      <c r="AA19" s="42"/>
      <c r="AB19" s="28" t="e">
        <f t="shared" si="6"/>
        <v>#DIV/0!</v>
      </c>
      <c r="AC19" s="39"/>
      <c r="AD19" s="40"/>
      <c r="AE19" s="30" t="e">
        <f t="shared" si="7"/>
        <v>#DIV/0!</v>
      </c>
    </row>
    <row r="20" spans="1:31" ht="15">
      <c r="A20" s="72">
        <v>16</v>
      </c>
      <c r="B20" s="60" t="str">
        <f>IF('2A-B'!B18&lt;&gt;0,'2A-B'!B18,"")</f>
        <v/>
      </c>
      <c r="C20" s="61" t="str">
        <f>IF('2A-B'!C18&lt;&gt;0,'2A-B'!C18,"")</f>
        <v/>
      </c>
      <c r="D20" s="62" t="str">
        <f>IF('2A-B'!D18&lt;&gt;0,'2A-B'!D18,"")</f>
        <v/>
      </c>
      <c r="E20" s="43"/>
      <c r="F20" s="42"/>
      <c r="G20" s="28" t="e">
        <f t="shared" si="0"/>
        <v>#DIV/0!</v>
      </c>
      <c r="H20" s="39"/>
      <c r="I20" s="40"/>
      <c r="J20" s="29" t="e">
        <f t="shared" si="1"/>
        <v>#DIV/0!</v>
      </c>
      <c r="K20" s="87">
        <f>Tabela2736810121416[[#This Row],[Nº]]</f>
        <v>16</v>
      </c>
      <c r="L20" s="41"/>
      <c r="M20" s="42"/>
      <c r="N20" s="28" t="e">
        <f t="shared" si="2"/>
        <v>#DIV/0!</v>
      </c>
      <c r="O20" s="39"/>
      <c r="P20" s="40"/>
      <c r="Q20" s="29" t="e">
        <f t="shared" si="3"/>
        <v>#DIV/0!</v>
      </c>
      <c r="R20" s="87">
        <f>Tabela2736810121416[[#This Row],[Nº]]</f>
        <v>16</v>
      </c>
      <c r="S20" s="41"/>
      <c r="T20" s="42"/>
      <c r="U20" s="28" t="e">
        <f t="shared" si="4"/>
        <v>#DIV/0!</v>
      </c>
      <c r="V20" s="39"/>
      <c r="W20" s="40"/>
      <c r="X20" s="29" t="e">
        <f t="shared" si="5"/>
        <v>#DIV/0!</v>
      </c>
      <c r="Y20" s="87">
        <f>Tabela2736810121416[[#This Row],[Nº]]</f>
        <v>16</v>
      </c>
      <c r="Z20" s="41"/>
      <c r="AA20" s="42"/>
      <c r="AB20" s="28" t="e">
        <f t="shared" si="6"/>
        <v>#DIV/0!</v>
      </c>
      <c r="AC20" s="39"/>
      <c r="AD20" s="40"/>
      <c r="AE20" s="30" t="e">
        <f t="shared" si="7"/>
        <v>#DIV/0!</v>
      </c>
    </row>
    <row r="21" spans="1:31" ht="15">
      <c r="A21" s="72">
        <v>17</v>
      </c>
      <c r="B21" s="60" t="str">
        <f>IF('2A-B'!B19&lt;&gt;0,'2A-B'!B19,"")</f>
        <v/>
      </c>
      <c r="C21" s="61" t="str">
        <f>IF('2A-B'!C19&lt;&gt;0,'2A-B'!C19,"")</f>
        <v/>
      </c>
      <c r="D21" s="62" t="str">
        <f>IF('2A-B'!D19&lt;&gt;0,'2A-B'!D19,"")</f>
        <v/>
      </c>
      <c r="E21" s="43"/>
      <c r="F21" s="42"/>
      <c r="G21" s="28" t="e">
        <f t="shared" si="0"/>
        <v>#DIV/0!</v>
      </c>
      <c r="H21" s="39"/>
      <c r="I21" s="40"/>
      <c r="J21" s="29" t="e">
        <f t="shared" si="1"/>
        <v>#DIV/0!</v>
      </c>
      <c r="K21" s="87">
        <f>Tabela2736810121416[[#This Row],[Nº]]</f>
        <v>17</v>
      </c>
      <c r="L21" s="41"/>
      <c r="M21" s="42"/>
      <c r="N21" s="28" t="e">
        <f t="shared" si="2"/>
        <v>#DIV/0!</v>
      </c>
      <c r="O21" s="39"/>
      <c r="P21" s="40"/>
      <c r="Q21" s="29" t="e">
        <f t="shared" si="3"/>
        <v>#DIV/0!</v>
      </c>
      <c r="R21" s="87">
        <f>Tabela2736810121416[[#This Row],[Nº]]</f>
        <v>17</v>
      </c>
      <c r="S21" s="41"/>
      <c r="T21" s="42"/>
      <c r="U21" s="28" t="e">
        <f t="shared" si="4"/>
        <v>#DIV/0!</v>
      </c>
      <c r="V21" s="39"/>
      <c r="W21" s="40"/>
      <c r="X21" s="29" t="e">
        <f t="shared" si="5"/>
        <v>#DIV/0!</v>
      </c>
      <c r="Y21" s="87">
        <f>Tabela2736810121416[[#This Row],[Nº]]</f>
        <v>17</v>
      </c>
      <c r="Z21" s="41"/>
      <c r="AA21" s="42"/>
      <c r="AB21" s="28" t="e">
        <f t="shared" si="6"/>
        <v>#DIV/0!</v>
      </c>
      <c r="AC21" s="39"/>
      <c r="AD21" s="40"/>
      <c r="AE21" s="30" t="e">
        <f t="shared" si="7"/>
        <v>#DIV/0!</v>
      </c>
    </row>
    <row r="22" spans="1:31" ht="15">
      <c r="A22" s="72">
        <v>18</v>
      </c>
      <c r="B22" s="60" t="str">
        <f>IF('2A-B'!B20&lt;&gt;0,'2A-B'!B20,"")</f>
        <v/>
      </c>
      <c r="C22" s="61" t="str">
        <f>IF('2A-B'!C20&lt;&gt;0,'2A-B'!C20,"")</f>
        <v/>
      </c>
      <c r="D22" s="62" t="str">
        <f>IF('2A-B'!D20&lt;&gt;0,'2A-B'!D20,"")</f>
        <v/>
      </c>
      <c r="E22" s="43"/>
      <c r="F22" s="42"/>
      <c r="G22" s="28" t="e">
        <f t="shared" si="0"/>
        <v>#DIV/0!</v>
      </c>
      <c r="H22" s="39"/>
      <c r="I22" s="40"/>
      <c r="J22" s="29" t="e">
        <f t="shared" si="1"/>
        <v>#DIV/0!</v>
      </c>
      <c r="K22" s="87">
        <f>Tabela2736810121416[[#This Row],[Nº]]</f>
        <v>18</v>
      </c>
      <c r="L22" s="41"/>
      <c r="M22" s="42"/>
      <c r="N22" s="28" t="e">
        <f t="shared" si="2"/>
        <v>#DIV/0!</v>
      </c>
      <c r="O22" s="39"/>
      <c r="P22" s="40"/>
      <c r="Q22" s="29" t="e">
        <f t="shared" si="3"/>
        <v>#DIV/0!</v>
      </c>
      <c r="R22" s="87">
        <f>Tabela2736810121416[[#This Row],[Nº]]</f>
        <v>18</v>
      </c>
      <c r="S22" s="41"/>
      <c r="T22" s="42"/>
      <c r="U22" s="28" t="e">
        <f t="shared" si="4"/>
        <v>#DIV/0!</v>
      </c>
      <c r="V22" s="39"/>
      <c r="W22" s="40"/>
      <c r="X22" s="29" t="e">
        <f t="shared" si="5"/>
        <v>#DIV/0!</v>
      </c>
      <c r="Y22" s="87">
        <f>Tabela2736810121416[[#This Row],[Nº]]</f>
        <v>18</v>
      </c>
      <c r="Z22" s="41"/>
      <c r="AA22" s="42"/>
      <c r="AB22" s="28" t="e">
        <f t="shared" si="6"/>
        <v>#DIV/0!</v>
      </c>
      <c r="AC22" s="39"/>
      <c r="AD22" s="40"/>
      <c r="AE22" s="30" t="e">
        <f t="shared" si="7"/>
        <v>#DIV/0!</v>
      </c>
    </row>
    <row r="23" spans="1:31" ht="15">
      <c r="A23" s="72">
        <v>19</v>
      </c>
      <c r="B23" s="60" t="str">
        <f>IF('2A-B'!B21&lt;&gt;0,'2A-B'!B21,"")</f>
        <v/>
      </c>
      <c r="C23" s="61" t="str">
        <f>IF('2A-B'!C21&lt;&gt;0,'2A-B'!C21,"")</f>
        <v/>
      </c>
      <c r="D23" s="62" t="str">
        <f>IF('2A-B'!D21&lt;&gt;0,'2A-B'!D21,"")</f>
        <v/>
      </c>
      <c r="E23" s="43"/>
      <c r="F23" s="42"/>
      <c r="G23" s="28" t="e">
        <f t="shared" si="0"/>
        <v>#DIV/0!</v>
      </c>
      <c r="H23" s="39"/>
      <c r="I23" s="40"/>
      <c r="J23" s="29" t="e">
        <f t="shared" si="1"/>
        <v>#DIV/0!</v>
      </c>
      <c r="K23" s="87">
        <f>Tabela2736810121416[[#This Row],[Nº]]</f>
        <v>19</v>
      </c>
      <c r="L23" s="41"/>
      <c r="M23" s="42"/>
      <c r="N23" s="28" t="e">
        <f t="shared" si="2"/>
        <v>#DIV/0!</v>
      </c>
      <c r="O23" s="39"/>
      <c r="P23" s="40"/>
      <c r="Q23" s="29" t="e">
        <f t="shared" si="3"/>
        <v>#DIV/0!</v>
      </c>
      <c r="R23" s="87">
        <f>Tabela2736810121416[[#This Row],[Nº]]</f>
        <v>19</v>
      </c>
      <c r="S23" s="41"/>
      <c r="T23" s="42"/>
      <c r="U23" s="28" t="e">
        <f t="shared" si="4"/>
        <v>#DIV/0!</v>
      </c>
      <c r="V23" s="39"/>
      <c r="W23" s="40"/>
      <c r="X23" s="29" t="e">
        <f t="shared" si="5"/>
        <v>#DIV/0!</v>
      </c>
      <c r="Y23" s="87">
        <f>Tabela2736810121416[[#This Row],[Nº]]</f>
        <v>19</v>
      </c>
      <c r="Z23" s="41"/>
      <c r="AA23" s="42"/>
      <c r="AB23" s="28" t="e">
        <f t="shared" si="6"/>
        <v>#DIV/0!</v>
      </c>
      <c r="AC23" s="39"/>
      <c r="AD23" s="40"/>
      <c r="AE23" s="30" t="e">
        <f t="shared" si="7"/>
        <v>#DIV/0!</v>
      </c>
    </row>
    <row r="24" spans="1:31" ht="15">
      <c r="A24" s="72">
        <v>20</v>
      </c>
      <c r="B24" s="60" t="str">
        <f>IF('2A-B'!B22&lt;&gt;0,'2A-B'!B22,"")</f>
        <v/>
      </c>
      <c r="C24" s="61" t="str">
        <f>IF('2A-B'!C22&lt;&gt;0,'2A-B'!C22,"")</f>
        <v/>
      </c>
      <c r="D24" s="62" t="str">
        <f>IF('2A-B'!D22&lt;&gt;0,'2A-B'!D22,"")</f>
        <v/>
      </c>
      <c r="E24" s="43"/>
      <c r="F24" s="42"/>
      <c r="G24" s="28" t="e">
        <f t="shared" si="0"/>
        <v>#DIV/0!</v>
      </c>
      <c r="H24" s="39"/>
      <c r="I24" s="40"/>
      <c r="J24" s="29" t="e">
        <f t="shared" si="1"/>
        <v>#DIV/0!</v>
      </c>
      <c r="K24" s="87">
        <f>Tabela2736810121416[[#This Row],[Nº]]</f>
        <v>20</v>
      </c>
      <c r="L24" s="41"/>
      <c r="M24" s="42"/>
      <c r="N24" s="28" t="e">
        <f t="shared" si="2"/>
        <v>#DIV/0!</v>
      </c>
      <c r="O24" s="39"/>
      <c r="P24" s="40"/>
      <c r="Q24" s="29" t="e">
        <f t="shared" si="3"/>
        <v>#DIV/0!</v>
      </c>
      <c r="R24" s="87">
        <f>Tabela2736810121416[[#This Row],[Nº]]</f>
        <v>20</v>
      </c>
      <c r="S24" s="41"/>
      <c r="T24" s="42"/>
      <c r="U24" s="28" t="e">
        <f t="shared" si="4"/>
        <v>#DIV/0!</v>
      </c>
      <c r="V24" s="39"/>
      <c r="W24" s="40"/>
      <c r="X24" s="29" t="e">
        <f t="shared" si="5"/>
        <v>#DIV/0!</v>
      </c>
      <c r="Y24" s="87">
        <f>Tabela2736810121416[[#This Row],[Nº]]</f>
        <v>20</v>
      </c>
      <c r="Z24" s="41"/>
      <c r="AA24" s="42"/>
      <c r="AB24" s="28" t="e">
        <f t="shared" si="6"/>
        <v>#DIV/0!</v>
      </c>
      <c r="AC24" s="39"/>
      <c r="AD24" s="40"/>
      <c r="AE24" s="30" t="e">
        <f t="shared" si="7"/>
        <v>#DIV/0!</v>
      </c>
    </row>
    <row r="25" spans="1:31" ht="15">
      <c r="A25" s="72">
        <v>21</v>
      </c>
      <c r="B25" s="60" t="str">
        <f>IF('2A-B'!B23&lt;&gt;0,'2A-B'!B23,"")</f>
        <v/>
      </c>
      <c r="C25" s="61" t="str">
        <f>IF('2A-B'!C23&lt;&gt;0,'2A-B'!C23,"")</f>
        <v/>
      </c>
      <c r="D25" s="62" t="str">
        <f>IF('2A-B'!D23&lt;&gt;0,'2A-B'!D23,"")</f>
        <v/>
      </c>
      <c r="E25" s="43"/>
      <c r="F25" s="42"/>
      <c r="G25" s="28" t="e">
        <f t="shared" si="0"/>
        <v>#DIV/0!</v>
      </c>
      <c r="H25" s="39"/>
      <c r="I25" s="40"/>
      <c r="J25" s="29" t="e">
        <f t="shared" si="1"/>
        <v>#DIV/0!</v>
      </c>
      <c r="K25" s="87">
        <f>Tabela2736810121416[[#This Row],[Nº]]</f>
        <v>21</v>
      </c>
      <c r="L25" s="41"/>
      <c r="M25" s="42"/>
      <c r="N25" s="28" t="e">
        <f t="shared" si="2"/>
        <v>#DIV/0!</v>
      </c>
      <c r="O25" s="39"/>
      <c r="P25" s="40"/>
      <c r="Q25" s="29" t="e">
        <f t="shared" si="3"/>
        <v>#DIV/0!</v>
      </c>
      <c r="R25" s="87">
        <f>Tabela2736810121416[[#This Row],[Nº]]</f>
        <v>21</v>
      </c>
      <c r="S25" s="41"/>
      <c r="T25" s="42"/>
      <c r="U25" s="28" t="e">
        <f t="shared" si="4"/>
        <v>#DIV/0!</v>
      </c>
      <c r="V25" s="39"/>
      <c r="W25" s="40"/>
      <c r="X25" s="29" t="e">
        <f t="shared" si="5"/>
        <v>#DIV/0!</v>
      </c>
      <c r="Y25" s="87">
        <f>Tabela2736810121416[[#This Row],[Nº]]</f>
        <v>21</v>
      </c>
      <c r="Z25" s="41"/>
      <c r="AA25" s="42"/>
      <c r="AB25" s="28" t="e">
        <f t="shared" si="6"/>
        <v>#DIV/0!</v>
      </c>
      <c r="AC25" s="39"/>
      <c r="AD25" s="40"/>
      <c r="AE25" s="30" t="e">
        <f t="shared" si="7"/>
        <v>#DIV/0!</v>
      </c>
    </row>
    <row r="26" spans="1:31" ht="15">
      <c r="A26" s="72">
        <v>22</v>
      </c>
      <c r="B26" s="60" t="str">
        <f>IF('2A-B'!B24&lt;&gt;0,'2A-B'!B24,"")</f>
        <v/>
      </c>
      <c r="C26" s="61" t="str">
        <f>IF('2A-B'!C24&lt;&gt;0,'2A-B'!C24,"")</f>
        <v/>
      </c>
      <c r="D26" s="62" t="str">
        <f>IF('2A-B'!D24&lt;&gt;0,'2A-B'!D24,"")</f>
        <v/>
      </c>
      <c r="E26" s="43"/>
      <c r="F26" s="42"/>
      <c r="G26" s="28" t="e">
        <f t="shared" si="0"/>
        <v>#DIV/0!</v>
      </c>
      <c r="H26" s="39"/>
      <c r="I26" s="40"/>
      <c r="J26" s="29" t="e">
        <f t="shared" si="1"/>
        <v>#DIV/0!</v>
      </c>
      <c r="K26" s="87">
        <f>Tabela2736810121416[[#This Row],[Nº]]</f>
        <v>22</v>
      </c>
      <c r="L26" s="41"/>
      <c r="M26" s="42"/>
      <c r="N26" s="28" t="e">
        <f t="shared" si="2"/>
        <v>#DIV/0!</v>
      </c>
      <c r="O26" s="39"/>
      <c r="P26" s="40"/>
      <c r="Q26" s="29" t="e">
        <f t="shared" si="3"/>
        <v>#DIV/0!</v>
      </c>
      <c r="R26" s="87">
        <f>Tabela2736810121416[[#This Row],[Nº]]</f>
        <v>22</v>
      </c>
      <c r="S26" s="41"/>
      <c r="T26" s="42"/>
      <c r="U26" s="28" t="e">
        <f t="shared" si="4"/>
        <v>#DIV/0!</v>
      </c>
      <c r="V26" s="39"/>
      <c r="W26" s="40"/>
      <c r="X26" s="29" t="e">
        <f t="shared" si="5"/>
        <v>#DIV/0!</v>
      </c>
      <c r="Y26" s="87">
        <f>Tabela2736810121416[[#This Row],[Nº]]</f>
        <v>22</v>
      </c>
      <c r="Z26" s="41"/>
      <c r="AA26" s="42"/>
      <c r="AB26" s="28" t="e">
        <f t="shared" si="6"/>
        <v>#DIV/0!</v>
      </c>
      <c r="AC26" s="39"/>
      <c r="AD26" s="40"/>
      <c r="AE26" s="30" t="e">
        <f t="shared" si="7"/>
        <v>#DIV/0!</v>
      </c>
    </row>
    <row r="27" spans="1:31" ht="15">
      <c r="A27" s="72">
        <v>23</v>
      </c>
      <c r="B27" s="60" t="str">
        <f>IF('2A-B'!B25&lt;&gt;0,'2A-B'!B25,"")</f>
        <v/>
      </c>
      <c r="C27" s="61" t="str">
        <f>IF('2A-B'!C25&lt;&gt;0,'2A-B'!C25,"")</f>
        <v/>
      </c>
      <c r="D27" s="62" t="str">
        <f>IF('2A-B'!D25&lt;&gt;0,'2A-B'!D25,"")</f>
        <v/>
      </c>
      <c r="E27" s="43"/>
      <c r="F27" s="42"/>
      <c r="G27" s="28" t="e">
        <f t="shared" si="0"/>
        <v>#DIV/0!</v>
      </c>
      <c r="H27" s="39"/>
      <c r="I27" s="40"/>
      <c r="J27" s="29" t="e">
        <f t="shared" si="1"/>
        <v>#DIV/0!</v>
      </c>
      <c r="K27" s="87">
        <f>Tabela2736810121416[[#This Row],[Nº]]</f>
        <v>23</v>
      </c>
      <c r="L27" s="41"/>
      <c r="M27" s="42"/>
      <c r="N27" s="28" t="e">
        <f t="shared" si="2"/>
        <v>#DIV/0!</v>
      </c>
      <c r="O27" s="39"/>
      <c r="P27" s="40"/>
      <c r="Q27" s="29" t="e">
        <f t="shared" si="3"/>
        <v>#DIV/0!</v>
      </c>
      <c r="R27" s="87">
        <f>Tabela2736810121416[[#This Row],[Nº]]</f>
        <v>23</v>
      </c>
      <c r="S27" s="41"/>
      <c r="T27" s="42"/>
      <c r="U27" s="28" t="e">
        <f t="shared" si="4"/>
        <v>#DIV/0!</v>
      </c>
      <c r="V27" s="39"/>
      <c r="W27" s="40"/>
      <c r="X27" s="29" t="e">
        <f t="shared" si="5"/>
        <v>#DIV/0!</v>
      </c>
      <c r="Y27" s="87">
        <f>Tabela2736810121416[[#This Row],[Nº]]</f>
        <v>23</v>
      </c>
      <c r="Z27" s="41"/>
      <c r="AA27" s="42"/>
      <c r="AB27" s="28" t="e">
        <f t="shared" si="6"/>
        <v>#DIV/0!</v>
      </c>
      <c r="AC27" s="39"/>
      <c r="AD27" s="40"/>
      <c r="AE27" s="30" t="e">
        <f t="shared" si="7"/>
        <v>#DIV/0!</v>
      </c>
    </row>
    <row r="28" spans="1:31" ht="15">
      <c r="A28" s="72">
        <v>24</v>
      </c>
      <c r="B28" s="60" t="str">
        <f>IF('2A-B'!B26&lt;&gt;0,'2A-B'!B26,"")</f>
        <v/>
      </c>
      <c r="C28" s="61" t="str">
        <f>IF('2A-B'!C26&lt;&gt;0,'2A-B'!C26,"")</f>
        <v/>
      </c>
      <c r="D28" s="62" t="str">
        <f>IF('2A-B'!D26&lt;&gt;0,'2A-B'!D26,"")</f>
        <v/>
      </c>
      <c r="E28" s="43"/>
      <c r="F28" s="42"/>
      <c r="G28" s="28" t="e">
        <f t="shared" si="0"/>
        <v>#DIV/0!</v>
      </c>
      <c r="H28" s="39"/>
      <c r="I28" s="40"/>
      <c r="J28" s="29" t="e">
        <f t="shared" si="1"/>
        <v>#DIV/0!</v>
      </c>
      <c r="K28" s="87">
        <f>Tabela2736810121416[[#This Row],[Nº]]</f>
        <v>24</v>
      </c>
      <c r="L28" s="41"/>
      <c r="M28" s="42"/>
      <c r="N28" s="28" t="e">
        <f t="shared" si="2"/>
        <v>#DIV/0!</v>
      </c>
      <c r="O28" s="39"/>
      <c r="P28" s="40"/>
      <c r="Q28" s="29" t="e">
        <f t="shared" si="3"/>
        <v>#DIV/0!</v>
      </c>
      <c r="R28" s="87">
        <f>Tabela2736810121416[[#This Row],[Nº]]</f>
        <v>24</v>
      </c>
      <c r="S28" s="41"/>
      <c r="T28" s="42"/>
      <c r="U28" s="28" t="e">
        <f t="shared" si="4"/>
        <v>#DIV/0!</v>
      </c>
      <c r="V28" s="39"/>
      <c r="W28" s="40"/>
      <c r="X28" s="29" t="e">
        <f t="shared" si="5"/>
        <v>#DIV/0!</v>
      </c>
      <c r="Y28" s="87">
        <f>Tabela2736810121416[[#This Row],[Nº]]</f>
        <v>24</v>
      </c>
      <c r="Z28" s="41"/>
      <c r="AA28" s="42"/>
      <c r="AB28" s="28" t="e">
        <f t="shared" si="6"/>
        <v>#DIV/0!</v>
      </c>
      <c r="AC28" s="39"/>
      <c r="AD28" s="40"/>
      <c r="AE28" s="30" t="e">
        <f t="shared" si="7"/>
        <v>#DIV/0!</v>
      </c>
    </row>
    <row r="29" spans="1:31" ht="15">
      <c r="A29" s="72">
        <v>25</v>
      </c>
      <c r="B29" s="60" t="str">
        <f>IF('2A-B'!B27&lt;&gt;0,'2A-B'!B27,"")</f>
        <v/>
      </c>
      <c r="C29" s="61" t="str">
        <f>IF('2A-B'!C27&lt;&gt;0,'2A-B'!C27,"")</f>
        <v/>
      </c>
      <c r="D29" s="62" t="str">
        <f>IF('2A-B'!D27&lt;&gt;0,'2A-B'!D27,"")</f>
        <v/>
      </c>
      <c r="E29" s="43"/>
      <c r="F29" s="42"/>
      <c r="G29" s="28" t="e">
        <f t="shared" si="0"/>
        <v>#DIV/0!</v>
      </c>
      <c r="H29" s="39"/>
      <c r="I29" s="40"/>
      <c r="J29" s="29" t="e">
        <f t="shared" si="1"/>
        <v>#DIV/0!</v>
      </c>
      <c r="K29" s="87">
        <f>Tabela2736810121416[[#This Row],[Nº]]</f>
        <v>25</v>
      </c>
      <c r="L29" s="41"/>
      <c r="M29" s="42"/>
      <c r="N29" s="28" t="e">
        <f t="shared" si="2"/>
        <v>#DIV/0!</v>
      </c>
      <c r="O29" s="39"/>
      <c r="P29" s="40"/>
      <c r="Q29" s="29" t="e">
        <f t="shared" si="3"/>
        <v>#DIV/0!</v>
      </c>
      <c r="R29" s="87">
        <f>Tabela2736810121416[[#This Row],[Nº]]</f>
        <v>25</v>
      </c>
      <c r="S29" s="41"/>
      <c r="T29" s="42"/>
      <c r="U29" s="28" t="e">
        <f t="shared" si="4"/>
        <v>#DIV/0!</v>
      </c>
      <c r="V29" s="39"/>
      <c r="W29" s="40"/>
      <c r="X29" s="29" t="e">
        <f t="shared" si="5"/>
        <v>#DIV/0!</v>
      </c>
      <c r="Y29" s="87">
        <f>Tabela2736810121416[[#This Row],[Nº]]</f>
        <v>25</v>
      </c>
      <c r="Z29" s="41"/>
      <c r="AA29" s="42"/>
      <c r="AB29" s="28" t="e">
        <f t="shared" si="6"/>
        <v>#DIV/0!</v>
      </c>
      <c r="AC29" s="39"/>
      <c r="AD29" s="40"/>
      <c r="AE29" s="30" t="e">
        <f t="shared" si="7"/>
        <v>#DIV/0!</v>
      </c>
    </row>
  </sheetData>
  <sheetProtection algorithmName="SHA-512" hashValue="9Iul1OSdevHH7VgIHMJKkFmIhZDpzkTq6/DoVob7yI2kt5rrg+djChLjSHwToPu/cXmSDTVNBaW9MA9t/Db/vw==" saltValue="Bh1fqcQNPs+C8PKuMPFQAw==" spinCount="100000" sheet="1" objects="1" scenarios="1" selectLockedCells="1"/>
  <mergeCells count="12">
    <mergeCell ref="Z3:AB3"/>
    <mergeCell ref="AC3:AE3"/>
    <mergeCell ref="A1:D3"/>
    <mergeCell ref="E1:AE1"/>
    <mergeCell ref="E2:Q2"/>
    <mergeCell ref="S2:AE2"/>
    <mergeCell ref="E3:G3"/>
    <mergeCell ref="H3:J3"/>
    <mergeCell ref="L3:N3"/>
    <mergeCell ref="O3:Q3"/>
    <mergeCell ref="S3:U3"/>
    <mergeCell ref="V3:X3"/>
  </mergeCells>
  <conditionalFormatting sqref="A5:D29">
    <cfRule type="expression" dxfId="189" priority="11">
      <formula>ROW()=CELL("LIN")</formula>
    </cfRule>
    <cfRule type="expression" dxfId="188" priority="12">
      <formula>IF($D5&lt;&gt;"",1,0)</formula>
    </cfRule>
  </conditionalFormatting>
  <conditionalFormatting sqref="G5:G29">
    <cfRule type="iconSet" priority="8">
      <iconSet iconSet="3Symbols">
        <cfvo type="percent" val="0"/>
        <cfvo type="num" val="0.75"/>
        <cfvo type="num" val="0.8"/>
      </iconSet>
    </cfRule>
  </conditionalFormatting>
  <conditionalFormatting sqref="J5:J29">
    <cfRule type="iconSet" priority="7">
      <iconSet iconSet="3Symbols">
        <cfvo type="percent" val="0"/>
        <cfvo type="num" val="0.75"/>
        <cfvo type="num" val="0.8"/>
      </iconSet>
    </cfRule>
  </conditionalFormatting>
  <conditionalFormatting sqref="N5:N29">
    <cfRule type="iconSet" priority="6">
      <iconSet iconSet="3Symbols">
        <cfvo type="percent" val="0"/>
        <cfvo type="num" val="0.75"/>
        <cfvo type="num" val="0.8"/>
      </iconSet>
    </cfRule>
  </conditionalFormatting>
  <conditionalFormatting sqref="Q5:Q29">
    <cfRule type="iconSet" priority="5">
      <iconSet iconSet="3Symbols">
        <cfvo type="percent" val="0"/>
        <cfvo type="num" val="0.75"/>
        <cfvo type="num" val="0.8"/>
      </iconSet>
    </cfRule>
  </conditionalFormatting>
  <conditionalFormatting sqref="U5:U29">
    <cfRule type="iconSet" priority="4">
      <iconSet iconSet="3Symbols">
        <cfvo type="percent" val="0"/>
        <cfvo type="num" val="0.75"/>
        <cfvo type="num" val="0.8"/>
      </iconSet>
    </cfRule>
  </conditionalFormatting>
  <conditionalFormatting sqref="X5:X29">
    <cfRule type="iconSet" priority="3">
      <iconSet iconSet="3Symbols">
        <cfvo type="percent" val="0"/>
        <cfvo type="num" val="0.75"/>
        <cfvo type="num" val="0.8"/>
      </iconSet>
    </cfRule>
  </conditionalFormatting>
  <conditionalFormatting sqref="AB5:AB29">
    <cfRule type="iconSet" priority="2">
      <iconSet iconSet="3Symbols">
        <cfvo type="percent" val="0"/>
        <cfvo type="num" val="0.75"/>
        <cfvo type="num" val="0.8"/>
      </iconSet>
    </cfRule>
  </conditionalFormatting>
  <conditionalFormatting sqref="AE5:AE29">
    <cfRule type="iconSet" priority="1">
      <iconSet iconSet="3Symbols">
        <cfvo type="percent" val="0"/>
        <cfvo type="num" val="0.75"/>
        <cfvo type="num" val="0.8"/>
      </iconSet>
    </cfRule>
  </conditionalFormatting>
  <conditionalFormatting sqref="E5:AE29">
    <cfRule type="expression" dxfId="187" priority="9">
      <formula>ROW()=CELL("LIN")</formula>
    </cfRule>
    <cfRule type="expression" dxfId="186" priority="10">
      <formula>IF($D5&lt;&gt;"",1,0)</formula>
    </cfRule>
  </conditionalFormatting>
  <pageMargins left="0.511811024" right="0.511811024" top="0.78740157499999996" bottom="0.78740157499999996" header="0.31496062000000002" footer="0.31496062000000002"/>
  <pageSetup paperSize="9" scale="54" orientation="landscape" r:id="rId1"/>
  <colBreaks count="2" manualBreakCount="2">
    <brk id="10" max="1048575" man="1"/>
    <brk id="24" max="1048575" man="1"/>
  </colBreaks>
  <drawing r:id="rId2"/>
  <tableParts count="1">
    <tablePart r:id="rId3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8A77E-904D-44F7-813B-CA230E88BF4F}">
  <sheetPr codeName="Plan24">
    <pageSetUpPr fitToPage="1"/>
  </sheetPr>
  <dimension ref="A1:K48"/>
  <sheetViews>
    <sheetView showGridLines="0" showRowColHeaders="0" view="pageBreakPreview" zoomScaleNormal="60" zoomScaleSheetLayoutView="100" zoomScalePageLayoutView="91" workbookViewId="0">
      <selection activeCell="B2" sqref="B2:K2"/>
    </sheetView>
  </sheetViews>
  <sheetFormatPr defaultColWidth="9.140625" defaultRowHeight="15"/>
  <cols>
    <col min="1" max="1" width="19.85546875" style="17" customWidth="1"/>
    <col min="2" max="16384" width="9.140625" style="17"/>
  </cols>
  <sheetData>
    <row r="1" spans="1:11" ht="15.75">
      <c r="A1" s="73" t="s">
        <v>69</v>
      </c>
      <c r="B1" s="92" t="str">
        <f>MENU!C2</f>
        <v>E.M.E.I.E.F. Ficticio</v>
      </c>
      <c r="C1" s="92"/>
      <c r="D1" s="92"/>
      <c r="E1" s="92"/>
      <c r="F1" s="92"/>
      <c r="G1" s="92"/>
      <c r="H1" s="92"/>
      <c r="I1" s="92"/>
      <c r="J1" s="92"/>
      <c r="K1" s="93"/>
    </row>
    <row r="2" spans="1:11" ht="15.75">
      <c r="A2" s="74" t="s">
        <v>71</v>
      </c>
      <c r="B2" s="156" t="s">
        <v>116</v>
      </c>
      <c r="C2" s="95"/>
      <c r="D2" s="95"/>
      <c r="E2" s="95"/>
      <c r="F2" s="95"/>
      <c r="G2" s="95"/>
      <c r="H2" s="95"/>
      <c r="I2" s="95"/>
      <c r="J2" s="95"/>
      <c r="K2" s="96"/>
    </row>
    <row r="3" spans="1:11" ht="15.75">
      <c r="A3" s="74" t="s">
        <v>70</v>
      </c>
      <c r="B3" s="94" t="s">
        <v>21</v>
      </c>
      <c r="C3" s="95"/>
      <c r="D3" s="95"/>
      <c r="E3" s="95"/>
      <c r="F3" s="95"/>
      <c r="G3" s="95"/>
      <c r="H3" s="95"/>
      <c r="I3" s="95"/>
      <c r="J3" s="95"/>
      <c r="K3" s="96"/>
    </row>
    <row r="4" spans="1:11" ht="15.75">
      <c r="A4" s="74" t="s">
        <v>5</v>
      </c>
      <c r="B4" s="94" t="s">
        <v>115</v>
      </c>
      <c r="C4" s="95"/>
      <c r="D4" s="95"/>
      <c r="E4" s="95"/>
      <c r="F4" s="95"/>
      <c r="G4" s="95"/>
      <c r="H4" s="95"/>
      <c r="I4" s="95"/>
      <c r="J4" s="95"/>
      <c r="K4" s="96"/>
    </row>
    <row r="5" spans="1:11" ht="15.75">
      <c r="A5" s="74" t="s">
        <v>73</v>
      </c>
      <c r="B5" s="95"/>
      <c r="C5" s="95"/>
      <c r="D5" s="95"/>
      <c r="E5" s="95"/>
      <c r="F5" s="95"/>
      <c r="G5" s="95"/>
      <c r="H5" s="95"/>
      <c r="I5" s="95"/>
      <c r="J5" s="95"/>
      <c r="K5" s="96"/>
    </row>
    <row r="6" spans="1:11" ht="15.75">
      <c r="A6" s="99" t="s">
        <v>74</v>
      </c>
      <c r="B6" s="100"/>
      <c r="C6" s="100"/>
      <c r="D6" s="95"/>
      <c r="E6" s="95"/>
      <c r="F6" s="95"/>
      <c r="G6" s="95"/>
      <c r="H6" s="95"/>
      <c r="I6" s="95"/>
      <c r="J6" s="95"/>
      <c r="K6" s="96"/>
    </row>
    <row r="7" spans="1:11" ht="16.5" thickBot="1">
      <c r="A7" s="75" t="s">
        <v>72</v>
      </c>
      <c r="B7" s="97">
        <f>MENU!D10</f>
        <v>2022</v>
      </c>
      <c r="C7" s="97"/>
      <c r="D7" s="97"/>
      <c r="E7" s="97"/>
      <c r="F7" s="97"/>
      <c r="G7" s="97"/>
      <c r="H7" s="97"/>
      <c r="I7" s="97"/>
      <c r="J7" s="97"/>
      <c r="K7" s="98"/>
    </row>
    <row r="8" spans="1:11" ht="15.75" thickBot="1"/>
    <row r="9" spans="1:11">
      <c r="A9" s="107" t="s">
        <v>77</v>
      </c>
      <c r="B9" s="108"/>
      <c r="C9" s="108"/>
      <c r="D9" s="108"/>
      <c r="E9" s="108"/>
      <c r="F9" s="108"/>
      <c r="G9" s="108"/>
      <c r="H9" s="108"/>
      <c r="I9" s="108"/>
      <c r="J9" s="108"/>
      <c r="K9" s="109"/>
    </row>
    <row r="10" spans="1:11" ht="15.75" thickBot="1">
      <c r="A10" s="110"/>
      <c r="B10" s="111"/>
      <c r="C10" s="111"/>
      <c r="D10" s="111"/>
      <c r="E10" s="111"/>
      <c r="F10" s="111"/>
      <c r="G10" s="111"/>
      <c r="H10" s="111"/>
      <c r="I10" s="111"/>
      <c r="J10" s="111"/>
      <c r="K10" s="112"/>
    </row>
    <row r="11" spans="1:11" ht="15.75">
      <c r="A11" s="79" t="s">
        <v>9</v>
      </c>
      <c r="B11" s="107" t="s">
        <v>78</v>
      </c>
      <c r="C11" s="108"/>
      <c r="D11" s="108"/>
      <c r="E11" s="109"/>
      <c r="F11" s="107" t="s">
        <v>79</v>
      </c>
      <c r="G11" s="109"/>
      <c r="H11" s="107" t="s">
        <v>80</v>
      </c>
      <c r="I11" s="109"/>
      <c r="J11" s="107" t="s">
        <v>99</v>
      </c>
      <c r="K11" s="109"/>
    </row>
    <row r="12" spans="1:11">
      <c r="A12" s="78">
        <f>IF('3A-A'!A3&lt;&gt;0,'3A-A'!A3,"")</f>
        <v>1</v>
      </c>
      <c r="B12" s="149" t="str">
        <f>IF('3A-A'!B3&lt;&gt;0,'3A-A'!B3,"")</f>
        <v/>
      </c>
      <c r="C12" s="150"/>
      <c r="D12" s="150"/>
      <c r="E12" s="151"/>
      <c r="F12" s="152" t="str">
        <f>IF('3A-A'!G3&lt;&gt;0,'3A-A'!G3,"")</f>
        <v/>
      </c>
      <c r="G12" s="153"/>
      <c r="H12" s="159" t="str">
        <f>IF('3A-A'!C3&lt;&gt;0,'3A-A'!C3,"")</f>
        <v/>
      </c>
      <c r="I12" s="160"/>
      <c r="J12" s="152" t="str">
        <f>IF('3A-A'!D3&lt;&gt;0,'3A-A'!D3,"")</f>
        <v/>
      </c>
      <c r="K12" s="155"/>
    </row>
    <row r="13" spans="1:11">
      <c r="A13" s="78">
        <f>IF('3A-A'!A4&lt;&gt;0,'3A-A'!A4,"")</f>
        <v>2</v>
      </c>
      <c r="B13" s="149" t="str">
        <f>IF('3A-A'!B4&lt;&gt;0,'3A-A'!B4,"")</f>
        <v/>
      </c>
      <c r="C13" s="150"/>
      <c r="D13" s="150"/>
      <c r="E13" s="151"/>
      <c r="F13" s="152" t="str">
        <f>IF('3A-A'!G4&lt;&gt;0,'3A-A'!G4,"")</f>
        <v/>
      </c>
      <c r="G13" s="153"/>
      <c r="H13" s="159" t="str">
        <f>IF('3A-A'!C4&lt;&gt;0,'3A-A'!C4,"")</f>
        <v/>
      </c>
      <c r="I13" s="160"/>
      <c r="J13" s="152" t="str">
        <f>IF('3A-A'!D4&lt;&gt;0,'3A-A'!D4,"")</f>
        <v/>
      </c>
      <c r="K13" s="155"/>
    </row>
    <row r="14" spans="1:11">
      <c r="A14" s="78">
        <f>IF('3A-A'!A5&lt;&gt;0,'3A-A'!A5,"")</f>
        <v>3</v>
      </c>
      <c r="B14" s="149" t="str">
        <f>IF('3A-A'!B5&lt;&gt;0,'3A-A'!B5,"")</f>
        <v/>
      </c>
      <c r="C14" s="150"/>
      <c r="D14" s="150"/>
      <c r="E14" s="151"/>
      <c r="F14" s="152" t="str">
        <f>IF('3A-A'!G5&lt;&gt;0,'3A-A'!G5,"")</f>
        <v/>
      </c>
      <c r="G14" s="153"/>
      <c r="H14" s="159" t="str">
        <f>IF('3A-A'!C5&lt;&gt;0,'3A-A'!C5,"")</f>
        <v/>
      </c>
      <c r="I14" s="160"/>
      <c r="J14" s="152" t="str">
        <f>IF('3A-A'!D5&lt;&gt;0,'3A-A'!D5,"")</f>
        <v/>
      </c>
      <c r="K14" s="155"/>
    </row>
    <row r="15" spans="1:11">
      <c r="A15" s="78">
        <f>IF('3A-A'!A6&lt;&gt;0,'3A-A'!A6,"")</f>
        <v>4</v>
      </c>
      <c r="B15" s="149" t="str">
        <f>IF('3A-A'!B6&lt;&gt;0,'3A-A'!B6,"")</f>
        <v/>
      </c>
      <c r="C15" s="150"/>
      <c r="D15" s="150"/>
      <c r="E15" s="151"/>
      <c r="F15" s="152" t="str">
        <f>IF('3A-A'!G6&lt;&gt;0,'3A-A'!G6,"")</f>
        <v/>
      </c>
      <c r="G15" s="153"/>
      <c r="H15" s="159" t="str">
        <f>IF('3A-A'!C6&lt;&gt;0,'3A-A'!C6,"")</f>
        <v/>
      </c>
      <c r="I15" s="160"/>
      <c r="J15" s="152" t="str">
        <f>IF('3A-A'!D6&lt;&gt;0,'3A-A'!D6,"")</f>
        <v/>
      </c>
      <c r="K15" s="155"/>
    </row>
    <row r="16" spans="1:11">
      <c r="A16" s="78">
        <f>IF('3A-A'!A7&lt;&gt;0,'3A-A'!A7,"")</f>
        <v>5</v>
      </c>
      <c r="B16" s="149" t="str">
        <f>IF('3A-A'!B7&lt;&gt;0,'3A-A'!B7,"")</f>
        <v/>
      </c>
      <c r="C16" s="150"/>
      <c r="D16" s="150"/>
      <c r="E16" s="151"/>
      <c r="F16" s="152" t="str">
        <f>IF('3A-A'!G7&lt;&gt;0,'3A-A'!G7,"")</f>
        <v/>
      </c>
      <c r="G16" s="153"/>
      <c r="H16" s="159" t="str">
        <f>IF('3A-A'!C7&lt;&gt;0,'3A-A'!C7,"")</f>
        <v/>
      </c>
      <c r="I16" s="160"/>
      <c r="J16" s="152" t="str">
        <f>IF('3A-A'!D7&lt;&gt;0,'3A-A'!D7,"")</f>
        <v/>
      </c>
      <c r="K16" s="155"/>
    </row>
    <row r="17" spans="1:11">
      <c r="A17" s="78">
        <f>IF('3A-A'!A8&lt;&gt;0,'3A-A'!A8,"")</f>
        <v>6</v>
      </c>
      <c r="B17" s="149" t="str">
        <f>IF('3A-A'!B8&lt;&gt;0,'3A-A'!B8,"")</f>
        <v/>
      </c>
      <c r="C17" s="150"/>
      <c r="D17" s="150"/>
      <c r="E17" s="151"/>
      <c r="F17" s="152" t="str">
        <f>IF('3A-A'!G8&lt;&gt;0,'3A-A'!G8,"")</f>
        <v/>
      </c>
      <c r="G17" s="153"/>
      <c r="H17" s="159" t="str">
        <f>IF('3A-A'!C8&lt;&gt;0,'3A-A'!C8,"")</f>
        <v/>
      </c>
      <c r="I17" s="160"/>
      <c r="J17" s="152" t="str">
        <f>IF('3A-A'!D8&lt;&gt;0,'3A-A'!D8,"")</f>
        <v/>
      </c>
      <c r="K17" s="155"/>
    </row>
    <row r="18" spans="1:11">
      <c r="A18" s="78">
        <f>IF('3A-A'!A9&lt;&gt;0,'3A-A'!A9,"")</f>
        <v>7</v>
      </c>
      <c r="B18" s="149" t="str">
        <f>IF('3A-A'!B9&lt;&gt;0,'3A-A'!B9,"")</f>
        <v/>
      </c>
      <c r="C18" s="150"/>
      <c r="D18" s="150"/>
      <c r="E18" s="151"/>
      <c r="F18" s="152" t="str">
        <f>IF('3A-A'!G9&lt;&gt;0,'3A-A'!G9,"")</f>
        <v/>
      </c>
      <c r="G18" s="153"/>
      <c r="H18" s="159" t="str">
        <f>IF('3A-A'!C9&lt;&gt;0,'3A-A'!C9,"")</f>
        <v/>
      </c>
      <c r="I18" s="160"/>
      <c r="J18" s="152" t="str">
        <f>IF('3A-A'!D9&lt;&gt;0,'3A-A'!D9,"")</f>
        <v/>
      </c>
      <c r="K18" s="155"/>
    </row>
    <row r="19" spans="1:11">
      <c r="A19" s="78">
        <f>IF('3A-A'!A10&lt;&gt;0,'3A-A'!A10,"")</f>
        <v>8</v>
      </c>
      <c r="B19" s="149" t="str">
        <f>IF('3A-A'!B10&lt;&gt;0,'3A-A'!B10,"")</f>
        <v/>
      </c>
      <c r="C19" s="150"/>
      <c r="D19" s="150"/>
      <c r="E19" s="151"/>
      <c r="F19" s="152" t="str">
        <f>IF('3A-A'!G10&lt;&gt;0,'3A-A'!G10,"")</f>
        <v/>
      </c>
      <c r="G19" s="153"/>
      <c r="H19" s="159" t="str">
        <f>IF('3A-A'!C10&lt;&gt;0,'3A-A'!C10,"")</f>
        <v/>
      </c>
      <c r="I19" s="160"/>
      <c r="J19" s="152" t="str">
        <f>IF('3A-A'!D10&lt;&gt;0,'3A-A'!D10,"")</f>
        <v/>
      </c>
      <c r="K19" s="155"/>
    </row>
    <row r="20" spans="1:11">
      <c r="A20" s="78">
        <f>IF('3A-A'!A11&lt;&gt;0,'3A-A'!A11,"")</f>
        <v>9</v>
      </c>
      <c r="B20" s="149" t="str">
        <f>IF('3A-A'!B11&lt;&gt;0,'3A-A'!B11,"")</f>
        <v/>
      </c>
      <c r="C20" s="150"/>
      <c r="D20" s="150"/>
      <c r="E20" s="151"/>
      <c r="F20" s="152" t="str">
        <f>IF('3A-A'!G11&lt;&gt;0,'3A-A'!G11,"")</f>
        <v/>
      </c>
      <c r="G20" s="153"/>
      <c r="H20" s="159" t="str">
        <f>IF('3A-A'!C11&lt;&gt;0,'3A-A'!C11,"")</f>
        <v/>
      </c>
      <c r="I20" s="160"/>
      <c r="J20" s="152" t="str">
        <f>IF('3A-A'!D11&lt;&gt;0,'3A-A'!D11,"")</f>
        <v/>
      </c>
      <c r="K20" s="155"/>
    </row>
    <row r="21" spans="1:11">
      <c r="A21" s="78">
        <f>IF('3A-A'!A12&lt;&gt;0,'3A-A'!A12,"")</f>
        <v>10</v>
      </c>
      <c r="B21" s="149" t="str">
        <f>IF('3A-A'!B12&lt;&gt;0,'3A-A'!B12,"")</f>
        <v/>
      </c>
      <c r="C21" s="150"/>
      <c r="D21" s="150"/>
      <c r="E21" s="151"/>
      <c r="F21" s="152" t="str">
        <f>IF('3A-A'!G12&lt;&gt;0,'3A-A'!G12,"")</f>
        <v/>
      </c>
      <c r="G21" s="153"/>
      <c r="H21" s="159" t="str">
        <f>IF('3A-A'!C12&lt;&gt;0,'3A-A'!C12,"")</f>
        <v/>
      </c>
      <c r="I21" s="160"/>
      <c r="J21" s="152" t="str">
        <f>IF('3A-A'!D12&lt;&gt;0,'3A-A'!D12,"")</f>
        <v/>
      </c>
      <c r="K21" s="155"/>
    </row>
    <row r="22" spans="1:11">
      <c r="A22" s="78">
        <f>IF('3A-A'!A13&lt;&gt;0,'3A-A'!A13,"")</f>
        <v>11</v>
      </c>
      <c r="B22" s="149" t="str">
        <f>IF('3A-A'!B13&lt;&gt;0,'3A-A'!B13,"")</f>
        <v/>
      </c>
      <c r="C22" s="150"/>
      <c r="D22" s="150"/>
      <c r="E22" s="151"/>
      <c r="F22" s="152" t="str">
        <f>IF('3A-A'!G13&lt;&gt;0,'3A-A'!G13,"")</f>
        <v/>
      </c>
      <c r="G22" s="153"/>
      <c r="H22" s="159" t="str">
        <f>IF('3A-A'!C13&lt;&gt;0,'3A-A'!C13,"")</f>
        <v/>
      </c>
      <c r="I22" s="160"/>
      <c r="J22" s="152" t="str">
        <f>IF('3A-A'!D13&lt;&gt;0,'3A-A'!D13,"")</f>
        <v/>
      </c>
      <c r="K22" s="155"/>
    </row>
    <row r="23" spans="1:11">
      <c r="A23" s="78">
        <f>IF('3A-A'!A14&lt;&gt;0,'3A-A'!A14,"")</f>
        <v>12</v>
      </c>
      <c r="B23" s="149" t="str">
        <f>IF('3A-A'!B14&lt;&gt;0,'3A-A'!B14,"")</f>
        <v/>
      </c>
      <c r="C23" s="150"/>
      <c r="D23" s="150"/>
      <c r="E23" s="151"/>
      <c r="F23" s="152" t="str">
        <f>IF('3A-A'!G14&lt;&gt;0,'3A-A'!G14,"")</f>
        <v/>
      </c>
      <c r="G23" s="153"/>
      <c r="H23" s="159" t="str">
        <f>IF('3A-A'!C14&lt;&gt;0,'3A-A'!C14,"")</f>
        <v/>
      </c>
      <c r="I23" s="160"/>
      <c r="J23" s="152" t="str">
        <f>IF('3A-A'!D14&lt;&gt;0,'3A-A'!D14,"")</f>
        <v/>
      </c>
      <c r="K23" s="155"/>
    </row>
    <row r="24" spans="1:11">
      <c r="A24" s="78">
        <f>IF('3A-A'!A15&lt;&gt;0,'3A-A'!A15,"")</f>
        <v>13</v>
      </c>
      <c r="B24" s="149" t="str">
        <f>IF('3A-A'!B15&lt;&gt;0,'3A-A'!B15,"")</f>
        <v/>
      </c>
      <c r="C24" s="150"/>
      <c r="D24" s="150"/>
      <c r="E24" s="151"/>
      <c r="F24" s="152" t="str">
        <f>IF('3A-A'!G15&lt;&gt;0,'3A-A'!G15,"")</f>
        <v/>
      </c>
      <c r="G24" s="153"/>
      <c r="H24" s="159" t="str">
        <f>IF('3A-A'!C15&lt;&gt;0,'3A-A'!C15,"")</f>
        <v/>
      </c>
      <c r="I24" s="160"/>
      <c r="J24" s="152" t="str">
        <f>IF('3A-A'!D15&lt;&gt;0,'3A-A'!D15,"")</f>
        <v/>
      </c>
      <c r="K24" s="155"/>
    </row>
    <row r="25" spans="1:11">
      <c r="A25" s="78">
        <f>IF('3A-A'!A16&lt;&gt;0,'3A-A'!A16,"")</f>
        <v>14</v>
      </c>
      <c r="B25" s="149" t="str">
        <f>IF('3A-A'!B16&lt;&gt;0,'3A-A'!B16,"")</f>
        <v/>
      </c>
      <c r="C25" s="150"/>
      <c r="D25" s="150"/>
      <c r="E25" s="151"/>
      <c r="F25" s="152" t="str">
        <f>IF('3A-A'!G16&lt;&gt;0,'3A-A'!G16,"")</f>
        <v/>
      </c>
      <c r="G25" s="153"/>
      <c r="H25" s="159" t="str">
        <f>IF('3A-A'!C16&lt;&gt;0,'3A-A'!C16,"")</f>
        <v/>
      </c>
      <c r="I25" s="160"/>
      <c r="J25" s="152" t="str">
        <f>IF('3A-A'!D16&lt;&gt;0,'3A-A'!D16,"")</f>
        <v/>
      </c>
      <c r="K25" s="155"/>
    </row>
    <row r="26" spans="1:11">
      <c r="A26" s="78">
        <f>IF('3A-A'!A17&lt;&gt;0,'3A-A'!A17,"")</f>
        <v>15</v>
      </c>
      <c r="B26" s="149" t="str">
        <f>IF('3A-A'!B17&lt;&gt;0,'3A-A'!B17,"")</f>
        <v/>
      </c>
      <c r="C26" s="150"/>
      <c r="D26" s="150"/>
      <c r="E26" s="151"/>
      <c r="F26" s="152" t="str">
        <f>IF('3A-A'!G17&lt;&gt;0,'3A-A'!G17,"")</f>
        <v/>
      </c>
      <c r="G26" s="153"/>
      <c r="H26" s="159" t="str">
        <f>IF('3A-A'!C17&lt;&gt;0,'3A-A'!C17,"")</f>
        <v/>
      </c>
      <c r="I26" s="160"/>
      <c r="J26" s="152" t="str">
        <f>IF('3A-A'!D17&lt;&gt;0,'3A-A'!D17,"")</f>
        <v/>
      </c>
      <c r="K26" s="155"/>
    </row>
    <row r="27" spans="1:11">
      <c r="A27" s="78">
        <f>IF('3A-A'!A18&lt;&gt;0,'3A-A'!A18,"")</f>
        <v>16</v>
      </c>
      <c r="B27" s="149" t="str">
        <f>IF('3A-A'!B18&lt;&gt;0,'3A-A'!B18,"")</f>
        <v/>
      </c>
      <c r="C27" s="150"/>
      <c r="D27" s="150"/>
      <c r="E27" s="151"/>
      <c r="F27" s="152" t="str">
        <f>IF('3A-A'!G18&lt;&gt;0,'3A-A'!G18,"")</f>
        <v/>
      </c>
      <c r="G27" s="153"/>
      <c r="H27" s="159" t="str">
        <f>IF('3A-A'!C18&lt;&gt;0,'3A-A'!C18,"")</f>
        <v/>
      </c>
      <c r="I27" s="160"/>
      <c r="J27" s="152" t="str">
        <f>IF('3A-A'!D18&lt;&gt;0,'3A-A'!D18,"")</f>
        <v/>
      </c>
      <c r="K27" s="155"/>
    </row>
    <row r="28" spans="1:11">
      <c r="A28" s="78">
        <f>IF('3A-A'!A19&lt;&gt;0,'3A-A'!A19,"")</f>
        <v>17</v>
      </c>
      <c r="B28" s="149" t="str">
        <f>IF('3A-A'!B19&lt;&gt;0,'3A-A'!B19,"")</f>
        <v/>
      </c>
      <c r="C28" s="150"/>
      <c r="D28" s="150"/>
      <c r="E28" s="151"/>
      <c r="F28" s="152" t="str">
        <f>IF('3A-A'!G19&lt;&gt;0,'3A-A'!G19,"")</f>
        <v/>
      </c>
      <c r="G28" s="153"/>
      <c r="H28" s="159" t="str">
        <f>IF('3A-A'!C19&lt;&gt;0,'3A-A'!C19,"")</f>
        <v/>
      </c>
      <c r="I28" s="160"/>
      <c r="J28" s="152" t="str">
        <f>IF('3A-A'!D19&lt;&gt;0,'3A-A'!D19,"")</f>
        <v/>
      </c>
      <c r="K28" s="155"/>
    </row>
    <row r="29" spans="1:11">
      <c r="A29" s="78">
        <f>IF('3A-A'!A20&lt;&gt;0,'3A-A'!A20,"")</f>
        <v>18</v>
      </c>
      <c r="B29" s="149" t="str">
        <f>IF('3A-A'!B20&lt;&gt;0,'3A-A'!B20,"")</f>
        <v/>
      </c>
      <c r="C29" s="150"/>
      <c r="D29" s="150"/>
      <c r="E29" s="151"/>
      <c r="F29" s="152" t="str">
        <f>IF('3A-A'!G20&lt;&gt;0,'3A-A'!G20,"")</f>
        <v/>
      </c>
      <c r="G29" s="153"/>
      <c r="H29" s="159" t="str">
        <f>IF('3A-A'!C20&lt;&gt;0,'3A-A'!C20,"")</f>
        <v/>
      </c>
      <c r="I29" s="160"/>
      <c r="J29" s="152" t="str">
        <f>IF('3A-A'!D20&lt;&gt;0,'3A-A'!D20,"")</f>
        <v/>
      </c>
      <c r="K29" s="155"/>
    </row>
    <row r="30" spans="1:11">
      <c r="A30" s="78">
        <f>IF('3A-A'!A21&lt;&gt;0,'3A-A'!A21,"")</f>
        <v>19</v>
      </c>
      <c r="B30" s="149" t="str">
        <f>IF('3A-A'!B21&lt;&gt;0,'3A-A'!B21,"")</f>
        <v/>
      </c>
      <c r="C30" s="150"/>
      <c r="D30" s="150"/>
      <c r="E30" s="151"/>
      <c r="F30" s="152" t="str">
        <f>IF('3A-A'!G21&lt;&gt;0,'3A-A'!G21,"")</f>
        <v/>
      </c>
      <c r="G30" s="153"/>
      <c r="H30" s="159" t="str">
        <f>IF('3A-A'!C21&lt;&gt;0,'3A-A'!C21,"")</f>
        <v/>
      </c>
      <c r="I30" s="160"/>
      <c r="J30" s="152" t="str">
        <f>IF('3A-A'!D21&lt;&gt;0,'3A-A'!D21,"")</f>
        <v/>
      </c>
      <c r="K30" s="155"/>
    </row>
    <row r="31" spans="1:11">
      <c r="A31" s="78">
        <f>IF('3A-A'!A22&lt;&gt;0,'3A-A'!A22,"")</f>
        <v>20</v>
      </c>
      <c r="B31" s="149" t="str">
        <f>IF('3A-A'!B22&lt;&gt;0,'3A-A'!B22,"")</f>
        <v/>
      </c>
      <c r="C31" s="150"/>
      <c r="D31" s="150"/>
      <c r="E31" s="151"/>
      <c r="F31" s="152" t="str">
        <f>IF('3A-A'!G22&lt;&gt;0,'3A-A'!G22,"")</f>
        <v/>
      </c>
      <c r="G31" s="153"/>
      <c r="H31" s="159" t="str">
        <f>IF('3A-A'!C22&lt;&gt;0,'3A-A'!C22,"")</f>
        <v/>
      </c>
      <c r="I31" s="160"/>
      <c r="J31" s="152" t="str">
        <f>IF('3A-A'!D22&lt;&gt;0,'3A-A'!D22,"")</f>
        <v/>
      </c>
      <c r="K31" s="155"/>
    </row>
    <row r="32" spans="1:11">
      <c r="A32" s="78">
        <f>IF('3A-A'!A23&lt;&gt;0,'3A-A'!A23,"")</f>
        <v>21</v>
      </c>
      <c r="B32" s="149" t="str">
        <f>IF('3A-A'!B23&lt;&gt;0,'3A-A'!B23,"")</f>
        <v/>
      </c>
      <c r="C32" s="150"/>
      <c r="D32" s="150"/>
      <c r="E32" s="151"/>
      <c r="F32" s="152" t="str">
        <f>IF('3A-A'!G23&lt;&gt;0,'3A-A'!G23,"")</f>
        <v/>
      </c>
      <c r="G32" s="153"/>
      <c r="H32" s="159" t="str">
        <f>IF('3A-A'!C23&lt;&gt;0,'3A-A'!C23,"")</f>
        <v/>
      </c>
      <c r="I32" s="160"/>
      <c r="J32" s="152" t="str">
        <f>IF('3A-A'!D23&lt;&gt;0,'3A-A'!D23,"")</f>
        <v/>
      </c>
      <c r="K32" s="155"/>
    </row>
    <row r="33" spans="1:11">
      <c r="A33" s="78">
        <f>IF('3A-A'!A24&lt;&gt;0,'3A-A'!A24,"")</f>
        <v>22</v>
      </c>
      <c r="B33" s="149" t="str">
        <f>IF('3A-A'!B24&lt;&gt;0,'3A-A'!B24,"")</f>
        <v/>
      </c>
      <c r="C33" s="150"/>
      <c r="D33" s="150"/>
      <c r="E33" s="151"/>
      <c r="F33" s="152" t="str">
        <f>IF('3A-A'!G24&lt;&gt;0,'3A-A'!G24,"")</f>
        <v/>
      </c>
      <c r="G33" s="153"/>
      <c r="H33" s="159" t="str">
        <f>IF('3A-A'!C24&lt;&gt;0,'3A-A'!C24,"")</f>
        <v/>
      </c>
      <c r="I33" s="160"/>
      <c r="J33" s="152" t="str">
        <f>IF('3A-A'!D24&lt;&gt;0,'3A-A'!D24,"")</f>
        <v/>
      </c>
      <c r="K33" s="155"/>
    </row>
    <row r="34" spans="1:11">
      <c r="A34" s="78">
        <f>IF('3A-A'!A25&lt;&gt;0,'3A-A'!A25,"")</f>
        <v>23</v>
      </c>
      <c r="B34" s="149" t="str">
        <f>IF('3A-A'!B25&lt;&gt;0,'3A-A'!B25,"")</f>
        <v/>
      </c>
      <c r="C34" s="150"/>
      <c r="D34" s="150"/>
      <c r="E34" s="151"/>
      <c r="F34" s="152" t="str">
        <f>IF('3A-A'!G25&lt;&gt;0,'3A-A'!G25,"")</f>
        <v/>
      </c>
      <c r="G34" s="153"/>
      <c r="H34" s="159" t="str">
        <f>IF('3A-A'!C25&lt;&gt;0,'3A-A'!C25,"")</f>
        <v/>
      </c>
      <c r="I34" s="160"/>
      <c r="J34" s="152" t="str">
        <f>IF('3A-A'!D25&lt;&gt;0,'3A-A'!D25,"")</f>
        <v/>
      </c>
      <c r="K34" s="155"/>
    </row>
    <row r="35" spans="1:11">
      <c r="A35" s="78">
        <f>IF('3A-A'!A26&lt;&gt;0,'3A-A'!A26,"")</f>
        <v>24</v>
      </c>
      <c r="B35" s="149" t="str">
        <f>IF('3A-A'!B26&lt;&gt;0,'3A-A'!B26,"")</f>
        <v/>
      </c>
      <c r="C35" s="150"/>
      <c r="D35" s="150"/>
      <c r="E35" s="151"/>
      <c r="F35" s="152" t="str">
        <f>IF('3A-A'!G26&lt;&gt;0,'3A-A'!G26,"")</f>
        <v/>
      </c>
      <c r="G35" s="153"/>
      <c r="H35" s="159" t="str">
        <f>IF('3A-A'!C26&lt;&gt;0,'3A-A'!C26,"")</f>
        <v/>
      </c>
      <c r="I35" s="160"/>
      <c r="J35" s="152" t="str">
        <f>IF('3A-A'!D26&lt;&gt;0,'3A-A'!D26,"")</f>
        <v/>
      </c>
      <c r="K35" s="155"/>
    </row>
    <row r="36" spans="1:11" ht="15.75" thickBot="1">
      <c r="A36" s="80">
        <f>IF('3A-A'!A27&lt;&gt;0,'3A-A'!A27,"")</f>
        <v>25</v>
      </c>
      <c r="B36" s="142" t="str">
        <f>IF('3A-A'!B27&lt;&gt;0,'3A-A'!B27,"")</f>
        <v/>
      </c>
      <c r="C36" s="143"/>
      <c r="D36" s="143"/>
      <c r="E36" s="144"/>
      <c r="F36" s="145" t="str">
        <f>IF('3A-A'!G27&lt;&gt;0,'3A-A'!G27,"")</f>
        <v/>
      </c>
      <c r="G36" s="146"/>
      <c r="H36" s="157" t="str">
        <f>IF('3A-A'!C27&lt;&gt;0,'3A-A'!C27,"")</f>
        <v/>
      </c>
      <c r="I36" s="158"/>
      <c r="J36" s="145" t="str">
        <f>IF('3A-A'!D27&lt;&gt;0,'3A-A'!D27,"")</f>
        <v/>
      </c>
      <c r="K36" s="148"/>
    </row>
    <row r="38" spans="1:11" ht="15.75">
      <c r="A38" s="119" t="s">
        <v>81</v>
      </c>
      <c r="B38" s="119"/>
      <c r="C38" s="119"/>
      <c r="D38" s="119"/>
      <c r="E38" s="120">
        <f>'3A-A'!U4</f>
        <v>0</v>
      </c>
      <c r="F38" s="120"/>
    </row>
    <row r="39" spans="1:11">
      <c r="A39" s="66" t="s">
        <v>117</v>
      </c>
      <c r="E39" s="122">
        <f ca="1">'3A-A'!Q3</f>
        <v>0</v>
      </c>
      <c r="F39" s="122"/>
    </row>
    <row r="40" spans="1:11">
      <c r="A40" s="66" t="s">
        <v>118</v>
      </c>
      <c r="E40" s="122">
        <f ca="1">'3A-A'!R3</f>
        <v>0</v>
      </c>
      <c r="F40" s="122"/>
    </row>
    <row r="48" spans="1:11">
      <c r="A48" s="66" t="s">
        <v>84</v>
      </c>
      <c r="C48" s="121">
        <f ca="1">TODAY()</f>
        <v>44871</v>
      </c>
      <c r="D48" s="122"/>
      <c r="E48" s="122"/>
    </row>
  </sheetData>
  <sheetProtection algorithmName="SHA-512" hashValue="tPjYySzXbVllZpjQJG6HvfiKMa7YOQwMl9nf53WJLga/+cIaC/AF1BsELMi/1pOKq1NflJ8bpZf86iu3GiGfWw==" saltValue="dfVpo9W9nw18RjoDFjSm2A==" spinCount="100000" sheet="1" objects="1" scenarios="1" selectLockedCells="1"/>
  <mergeCells count="118">
    <mergeCell ref="B7:K7"/>
    <mergeCell ref="A9:K10"/>
    <mergeCell ref="B11:E11"/>
    <mergeCell ref="F11:G11"/>
    <mergeCell ref="H11:I11"/>
    <mergeCell ref="J11:K11"/>
    <mergeCell ref="B1:K1"/>
    <mergeCell ref="B2:K2"/>
    <mergeCell ref="B3:K3"/>
    <mergeCell ref="B4:K4"/>
    <mergeCell ref="B5:K5"/>
    <mergeCell ref="A6:C6"/>
    <mergeCell ref="D6:K6"/>
    <mergeCell ref="B14:E14"/>
    <mergeCell ref="F14:G14"/>
    <mergeCell ref="H14:I14"/>
    <mergeCell ref="J14:K14"/>
    <mergeCell ref="B15:E15"/>
    <mergeCell ref="F15:G15"/>
    <mergeCell ref="H15:I15"/>
    <mergeCell ref="J15:K15"/>
    <mergeCell ref="B12:E12"/>
    <mergeCell ref="F12:G12"/>
    <mergeCell ref="H12:I12"/>
    <mergeCell ref="J12:K12"/>
    <mergeCell ref="B13:E13"/>
    <mergeCell ref="F13:G13"/>
    <mergeCell ref="H13:I13"/>
    <mergeCell ref="J13:K13"/>
    <mergeCell ref="B18:E18"/>
    <mergeCell ref="F18:G18"/>
    <mergeCell ref="H18:I18"/>
    <mergeCell ref="J18:K18"/>
    <mergeCell ref="B19:E19"/>
    <mergeCell ref="F19:G19"/>
    <mergeCell ref="H19:I19"/>
    <mergeCell ref="J19:K19"/>
    <mergeCell ref="B16:E16"/>
    <mergeCell ref="F16:G16"/>
    <mergeCell ref="H16:I16"/>
    <mergeCell ref="J16:K16"/>
    <mergeCell ref="B17:E17"/>
    <mergeCell ref="F17:G17"/>
    <mergeCell ref="H17:I17"/>
    <mergeCell ref="J17:K17"/>
    <mergeCell ref="B22:E22"/>
    <mergeCell ref="F22:G22"/>
    <mergeCell ref="H22:I22"/>
    <mergeCell ref="J22:K22"/>
    <mergeCell ref="B23:E23"/>
    <mergeCell ref="F23:G23"/>
    <mergeCell ref="H23:I23"/>
    <mergeCell ref="J23:K23"/>
    <mergeCell ref="B20:E20"/>
    <mergeCell ref="F20:G20"/>
    <mergeCell ref="H20:I20"/>
    <mergeCell ref="J20:K20"/>
    <mergeCell ref="B21:E21"/>
    <mergeCell ref="F21:G21"/>
    <mergeCell ref="H21:I21"/>
    <mergeCell ref="J21:K21"/>
    <mergeCell ref="B26:E26"/>
    <mergeCell ref="F26:G26"/>
    <mergeCell ref="H26:I26"/>
    <mergeCell ref="J26:K26"/>
    <mergeCell ref="B27:E27"/>
    <mergeCell ref="F27:G27"/>
    <mergeCell ref="H27:I27"/>
    <mergeCell ref="J27:K27"/>
    <mergeCell ref="B24:E24"/>
    <mergeCell ref="F24:G24"/>
    <mergeCell ref="H24:I24"/>
    <mergeCell ref="J24:K24"/>
    <mergeCell ref="B25:E25"/>
    <mergeCell ref="F25:G25"/>
    <mergeCell ref="H25:I25"/>
    <mergeCell ref="J25:K25"/>
    <mergeCell ref="B30:E30"/>
    <mergeCell ref="F30:G30"/>
    <mergeCell ref="H30:I30"/>
    <mergeCell ref="J30:K30"/>
    <mergeCell ref="B31:E31"/>
    <mergeCell ref="F31:G31"/>
    <mergeCell ref="H31:I31"/>
    <mergeCell ref="J31:K31"/>
    <mergeCell ref="B28:E28"/>
    <mergeCell ref="F28:G28"/>
    <mergeCell ref="H28:I28"/>
    <mergeCell ref="J28:K28"/>
    <mergeCell ref="B29:E29"/>
    <mergeCell ref="F29:G29"/>
    <mergeCell ref="H29:I29"/>
    <mergeCell ref="J29:K29"/>
    <mergeCell ref="B34:E34"/>
    <mergeCell ref="F34:G34"/>
    <mergeCell ref="H34:I34"/>
    <mergeCell ref="J34:K34"/>
    <mergeCell ref="B35:E35"/>
    <mergeCell ref="F35:G35"/>
    <mergeCell ref="H35:I35"/>
    <mergeCell ref="J35:K35"/>
    <mergeCell ref="B32:E32"/>
    <mergeCell ref="F32:G32"/>
    <mergeCell ref="H32:I32"/>
    <mergeCell ref="J32:K32"/>
    <mergeCell ref="B33:E33"/>
    <mergeCell ref="F33:G33"/>
    <mergeCell ref="H33:I33"/>
    <mergeCell ref="J33:K33"/>
    <mergeCell ref="E39:F39"/>
    <mergeCell ref="E40:F40"/>
    <mergeCell ref="C48:E48"/>
    <mergeCell ref="B36:E36"/>
    <mergeCell ref="F36:G36"/>
    <mergeCell ref="H36:I36"/>
    <mergeCell ref="J36:K36"/>
    <mergeCell ref="A38:D38"/>
    <mergeCell ref="E38:F38"/>
  </mergeCells>
  <conditionalFormatting sqref="A12:K36">
    <cfRule type="expression" dxfId="185" priority="1">
      <formula>IF($J12&lt;&gt;"",1,0)</formula>
    </cfRule>
  </conditionalFormatting>
  <conditionalFormatting sqref="B2:B5 D6">
    <cfRule type="expression" dxfId="184" priority="2">
      <formula>ROW()=CELL("LIN")</formula>
    </cfRule>
  </conditionalFormatting>
  <pageMargins left="0.39370078740157483" right="0.3543307086614173" top="1.1417322834645669" bottom="0.39370078740157483" header="0.31496062992125984" footer="0.31496062992125984"/>
  <pageSetup paperSize="9" scale="96" fitToHeight="0" orientation="portrait" horizontalDpi="300" verticalDpi="3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32497-5EB2-4511-9ADA-E41BB20062D9}">
  <sheetPr codeName="Plan9">
    <pageSetUpPr fitToPage="1"/>
  </sheetPr>
  <dimension ref="A1:U27"/>
  <sheetViews>
    <sheetView showGridLines="0" showRowColHeaders="0" view="pageBreakPreview" zoomScale="60" zoomScaleNormal="60" zoomScalePageLayoutView="40" workbookViewId="0">
      <pane ySplit="1" topLeftCell="A2" activePane="bottomLeft" state="frozen"/>
      <selection pane="bottomLeft" activeCell="A4" sqref="A4"/>
    </sheetView>
  </sheetViews>
  <sheetFormatPr defaultColWidth="9.140625" defaultRowHeight="15"/>
  <cols>
    <col min="1" max="1" width="8.5703125" style="17" customWidth="1"/>
    <col min="2" max="2" width="42" style="17" customWidth="1"/>
    <col min="3" max="3" width="17" style="18" bestFit="1" customWidth="1"/>
    <col min="4" max="4" width="23.85546875" style="19" customWidth="1"/>
    <col min="5" max="5" width="28.5703125" style="17" customWidth="1"/>
    <col min="6" max="6" width="30.5703125" style="27" bestFit="1" customWidth="1"/>
    <col min="7" max="7" width="25.7109375" style="27" customWidth="1"/>
    <col min="8" max="8" width="21.140625" style="17" customWidth="1"/>
    <col min="9" max="9" width="17.5703125" style="17" customWidth="1"/>
    <col min="10" max="10" width="44.42578125" style="17" customWidth="1"/>
    <col min="11" max="11" width="9.7109375" style="17" customWidth="1"/>
    <col min="12" max="12" width="9.28515625" style="17" customWidth="1"/>
    <col min="13" max="13" width="9.140625" style="17"/>
    <col min="14" max="14" width="16.140625" style="17" customWidth="1"/>
    <col min="15" max="15" width="12.7109375" style="17" customWidth="1"/>
    <col min="16" max="16384" width="9.140625" style="17"/>
  </cols>
  <sheetData>
    <row r="1" spans="1:21" ht="75" customHeight="1"/>
    <row r="2" spans="1:21" ht="60">
      <c r="A2" s="20" t="s">
        <v>9</v>
      </c>
      <c r="B2" s="21" t="s">
        <v>10</v>
      </c>
      <c r="C2" s="22" t="s">
        <v>13</v>
      </c>
      <c r="D2" s="23" t="s">
        <v>16</v>
      </c>
      <c r="E2" s="22" t="s">
        <v>11</v>
      </c>
      <c r="F2" s="22" t="s">
        <v>12</v>
      </c>
      <c r="G2" s="22" t="s">
        <v>14</v>
      </c>
      <c r="H2" s="22" t="s">
        <v>15</v>
      </c>
      <c r="I2" s="22" t="s">
        <v>17</v>
      </c>
      <c r="J2" s="21" t="s">
        <v>18</v>
      </c>
      <c r="K2" s="26" t="s">
        <v>19</v>
      </c>
      <c r="L2" s="67"/>
      <c r="M2" s="68"/>
      <c r="N2" s="68"/>
      <c r="O2" s="68"/>
      <c r="P2" s="69" t="s">
        <v>0</v>
      </c>
      <c r="Q2" s="70" t="s">
        <v>119</v>
      </c>
      <c r="R2" s="70" t="s">
        <v>120</v>
      </c>
      <c r="S2" s="71" t="s">
        <v>3</v>
      </c>
      <c r="T2" s="70" t="s">
        <v>4</v>
      </c>
      <c r="U2" s="68"/>
    </row>
    <row r="3" spans="1:21">
      <c r="A3" s="81">
        <v>1</v>
      </c>
      <c r="B3" s="44"/>
      <c r="C3" s="45"/>
      <c r="D3" s="47"/>
      <c r="E3" s="46">
        <v>0</v>
      </c>
      <c r="F3" s="51"/>
      <c r="G3" s="52"/>
      <c r="H3" s="52"/>
      <c r="I3" s="47"/>
      <c r="J3" s="44"/>
      <c r="K3" s="24">
        <f t="shared" ref="K3:K27" ca="1" si="0">QUOTIENT(IF(DATEDIF(C3,TODAY(),"y")&gt;90,0,DATEDIF(C3,TODAY(),"m")),12)</f>
        <v>0</v>
      </c>
      <c r="L3" s="68">
        <f t="shared" ref="L3:L27" ca="1" si="1">IF($K3=0,0,IF($K3&lt;($P$3),1,0))</f>
        <v>0</v>
      </c>
      <c r="M3" s="68">
        <f t="shared" ref="M3:M27" ca="1" si="2">IF($K3&gt;($P$3),1,0)</f>
        <v>0</v>
      </c>
      <c r="N3" s="68" t="b">
        <f ca="1">IF(IF(DATEDIF(C3,TODAY(),"y")&gt;90,0,DATEDIF(C3,TODAY(),"m"))&gt;0,CONCATENATE(QUOTIENT(IF(DATEDIF(C3,TODAY(),"y")&gt;90,0,DATEDIF(C3,TODAY(),"m")),12)," anos e ",MOD(IF(DATEDIF(C3,TODAY(),"y")&gt;90,0,DATEDIF(C3,TODAY(),"m")),12)," mês"))</f>
        <v>0</v>
      </c>
      <c r="O3" s="68" t="str">
        <f ca="1">IF(C3="","",DATEDIF($C3,TODAY(),"m"))</f>
        <v/>
      </c>
      <c r="P3" s="68">
        <v>8</v>
      </c>
      <c r="Q3" s="68">
        <f ca="1">SUM(L3:L27)</f>
        <v>0</v>
      </c>
      <c r="R3" s="68">
        <f ca="1">SUM(M3:M27)</f>
        <v>0</v>
      </c>
      <c r="S3" s="71" t="s">
        <v>7</v>
      </c>
      <c r="T3" s="68">
        <f>($P$3*12)</f>
        <v>96</v>
      </c>
      <c r="U3" s="68"/>
    </row>
    <row r="4" spans="1:21" ht="15.75">
      <c r="A4" s="81">
        <v>2</v>
      </c>
      <c r="B4" s="44"/>
      <c r="C4" s="45"/>
      <c r="D4" s="47"/>
      <c r="E4" s="46">
        <v>0</v>
      </c>
      <c r="F4" s="51"/>
      <c r="G4" s="52"/>
      <c r="H4" s="52"/>
      <c r="I4" s="47"/>
      <c r="J4" s="44"/>
      <c r="K4" s="24">
        <f t="shared" ca="1" si="0"/>
        <v>0</v>
      </c>
      <c r="L4" s="68">
        <f t="shared" ca="1" si="1"/>
        <v>0</v>
      </c>
      <c r="M4" s="68">
        <f t="shared" ca="1" si="2"/>
        <v>0</v>
      </c>
      <c r="N4" s="68" t="b">
        <f t="shared" ref="N4:N27" ca="1" si="3">IF(IF(DATEDIF(C4,TODAY(),"y")&gt;90,0,DATEDIF(C4,TODAY(),"m"))&gt;0,CONCATENATE(QUOTIENT(IF(DATEDIF(C4,TODAY(),"y")&gt;90,0,DATEDIF(C4,TODAY(),"m")),12)," anos e ",MOD(IF(DATEDIF(C4,TODAY(),"y")&gt;90,0,DATEDIF(C4,TODAY(),"m")),12)," mês"))</f>
        <v>0</v>
      </c>
      <c r="O4" s="68" t="str">
        <f ca="1">IF(C4="","",DATEDIF($C4,TODAY(),"m"))</f>
        <v/>
      </c>
      <c r="P4" s="123" t="s">
        <v>6</v>
      </c>
      <c r="Q4" s="123"/>
      <c r="R4" s="123"/>
      <c r="S4" s="123"/>
      <c r="T4" s="123"/>
      <c r="U4" s="68">
        <f>COUNTA(B3:B27)-COUNTA(D3:D27)</f>
        <v>0</v>
      </c>
    </row>
    <row r="5" spans="1:21">
      <c r="A5" s="81">
        <v>3</v>
      </c>
      <c r="B5" s="44"/>
      <c r="C5" s="45"/>
      <c r="D5" s="47"/>
      <c r="E5" s="46">
        <v>0</v>
      </c>
      <c r="F5" s="51"/>
      <c r="G5" s="52"/>
      <c r="H5" s="52"/>
      <c r="I5" s="47"/>
      <c r="J5" s="44"/>
      <c r="K5" s="24">
        <f t="shared" ca="1" si="0"/>
        <v>0</v>
      </c>
      <c r="L5" s="68">
        <f t="shared" ca="1" si="1"/>
        <v>0</v>
      </c>
      <c r="M5" s="68">
        <f t="shared" ca="1" si="2"/>
        <v>0</v>
      </c>
      <c r="N5" s="68" t="b">
        <f t="shared" ca="1" si="3"/>
        <v>0</v>
      </c>
      <c r="O5" s="68" t="str">
        <f ca="1">IF(C5="","",DATEDIF($C5,TODAY(),"m"))</f>
        <v/>
      </c>
      <c r="P5" s="68"/>
      <c r="Q5" s="68"/>
      <c r="R5" s="68"/>
      <c r="S5" s="68"/>
      <c r="T5" s="68"/>
      <c r="U5" s="68"/>
    </row>
    <row r="6" spans="1:21">
      <c r="A6" s="81">
        <v>4</v>
      </c>
      <c r="B6" s="44"/>
      <c r="C6" s="45"/>
      <c r="D6" s="47"/>
      <c r="E6" s="46">
        <v>0</v>
      </c>
      <c r="F6" s="51"/>
      <c r="G6" s="52"/>
      <c r="H6" s="52"/>
      <c r="I6" s="47"/>
      <c r="J6" s="44"/>
      <c r="K6" s="24">
        <f t="shared" ca="1" si="0"/>
        <v>0</v>
      </c>
      <c r="L6" s="68">
        <f t="shared" ca="1" si="1"/>
        <v>0</v>
      </c>
      <c r="M6" s="68">
        <f t="shared" ca="1" si="2"/>
        <v>0</v>
      </c>
      <c r="N6" s="68" t="b">
        <f t="shared" ca="1" si="3"/>
        <v>0</v>
      </c>
      <c r="O6" s="68" t="str">
        <f t="shared" ref="O6:O26" ca="1" si="4">IF(C5="","",DATEDIF($C5,TODAY(),"m"))</f>
        <v/>
      </c>
      <c r="P6" s="68"/>
      <c r="Q6" s="68"/>
      <c r="R6" s="68"/>
      <c r="S6" s="68"/>
      <c r="T6" s="68"/>
      <c r="U6" s="68"/>
    </row>
    <row r="7" spans="1:21">
      <c r="A7" s="81">
        <v>5</v>
      </c>
      <c r="B7" s="44"/>
      <c r="C7" s="45"/>
      <c r="D7" s="47"/>
      <c r="E7" s="46">
        <v>0</v>
      </c>
      <c r="F7" s="51"/>
      <c r="G7" s="52"/>
      <c r="H7" s="52"/>
      <c r="I7" s="47"/>
      <c r="J7" s="44"/>
      <c r="K7" s="24">
        <f t="shared" ca="1" si="0"/>
        <v>0</v>
      </c>
      <c r="L7" s="68">
        <f t="shared" ca="1" si="1"/>
        <v>0</v>
      </c>
      <c r="M7" s="68">
        <f t="shared" ca="1" si="2"/>
        <v>0</v>
      </c>
      <c r="N7" s="68" t="b">
        <f t="shared" ca="1" si="3"/>
        <v>0</v>
      </c>
      <c r="O7" s="68" t="str">
        <f t="shared" ca="1" si="4"/>
        <v/>
      </c>
      <c r="P7" s="68"/>
      <c r="Q7" s="68"/>
      <c r="R7" s="68"/>
      <c r="S7" s="68"/>
      <c r="T7" s="68"/>
      <c r="U7" s="68"/>
    </row>
    <row r="8" spans="1:21">
      <c r="A8" s="81">
        <v>6</v>
      </c>
      <c r="B8" s="44"/>
      <c r="C8" s="45"/>
      <c r="D8" s="47"/>
      <c r="E8" s="46">
        <v>0</v>
      </c>
      <c r="F8" s="51"/>
      <c r="G8" s="52"/>
      <c r="H8" s="52"/>
      <c r="I8" s="47"/>
      <c r="J8" s="44"/>
      <c r="K8" s="24">
        <f t="shared" ca="1" si="0"/>
        <v>0</v>
      </c>
      <c r="L8" s="68">
        <f t="shared" ca="1" si="1"/>
        <v>0</v>
      </c>
      <c r="M8" s="68">
        <f t="shared" ca="1" si="2"/>
        <v>0</v>
      </c>
      <c r="N8" s="68" t="b">
        <f t="shared" ca="1" si="3"/>
        <v>0</v>
      </c>
      <c r="O8" s="68" t="str">
        <f t="shared" ca="1" si="4"/>
        <v/>
      </c>
      <c r="P8" s="68"/>
      <c r="Q8" s="68"/>
      <c r="R8" s="68"/>
      <c r="S8" s="68"/>
      <c r="T8" s="68"/>
      <c r="U8" s="68"/>
    </row>
    <row r="9" spans="1:21">
      <c r="A9" s="81">
        <v>7</v>
      </c>
      <c r="B9" s="44"/>
      <c r="C9" s="45"/>
      <c r="D9" s="47"/>
      <c r="E9" s="46">
        <v>0</v>
      </c>
      <c r="F9" s="51"/>
      <c r="G9" s="52"/>
      <c r="H9" s="52"/>
      <c r="I9" s="47"/>
      <c r="J9" s="44"/>
      <c r="K9" s="24">
        <f t="shared" ca="1" si="0"/>
        <v>0</v>
      </c>
      <c r="L9" s="68">
        <f t="shared" ca="1" si="1"/>
        <v>0</v>
      </c>
      <c r="M9" s="68">
        <f t="shared" ca="1" si="2"/>
        <v>0</v>
      </c>
      <c r="N9" s="68" t="b">
        <f t="shared" ca="1" si="3"/>
        <v>0</v>
      </c>
      <c r="O9" s="68" t="str">
        <f t="shared" ca="1" si="4"/>
        <v/>
      </c>
      <c r="P9" s="68"/>
      <c r="Q9" s="68"/>
      <c r="R9" s="68"/>
      <c r="S9" s="68"/>
      <c r="T9" s="68"/>
      <c r="U9" s="68"/>
    </row>
    <row r="10" spans="1:21">
      <c r="A10" s="81">
        <v>8</v>
      </c>
      <c r="B10" s="44"/>
      <c r="C10" s="45"/>
      <c r="D10" s="47"/>
      <c r="E10" s="46">
        <v>0</v>
      </c>
      <c r="F10" s="51"/>
      <c r="G10" s="52"/>
      <c r="H10" s="52"/>
      <c r="I10" s="47"/>
      <c r="J10" s="44"/>
      <c r="K10" s="24">
        <f t="shared" ca="1" si="0"/>
        <v>0</v>
      </c>
      <c r="L10" s="68">
        <f t="shared" ca="1" si="1"/>
        <v>0</v>
      </c>
      <c r="M10" s="68">
        <f t="shared" ca="1" si="2"/>
        <v>0</v>
      </c>
      <c r="N10" s="68" t="b">
        <f t="shared" ca="1" si="3"/>
        <v>0</v>
      </c>
      <c r="O10" s="68" t="str">
        <f t="shared" ca="1" si="4"/>
        <v/>
      </c>
      <c r="P10" s="68"/>
      <c r="Q10" s="68"/>
      <c r="R10" s="68"/>
      <c r="S10" s="68"/>
      <c r="T10" s="68"/>
      <c r="U10" s="68"/>
    </row>
    <row r="11" spans="1:21">
      <c r="A11" s="81">
        <v>9</v>
      </c>
      <c r="B11" s="44"/>
      <c r="C11" s="45"/>
      <c r="D11" s="47"/>
      <c r="E11" s="46">
        <v>0</v>
      </c>
      <c r="F11" s="51"/>
      <c r="G11" s="52"/>
      <c r="H11" s="52"/>
      <c r="I11" s="47"/>
      <c r="J11" s="44"/>
      <c r="K11" s="24">
        <f t="shared" ca="1" si="0"/>
        <v>0</v>
      </c>
      <c r="L11" s="68">
        <f t="shared" ca="1" si="1"/>
        <v>0</v>
      </c>
      <c r="M11" s="68">
        <f t="shared" ca="1" si="2"/>
        <v>0</v>
      </c>
      <c r="N11" s="68" t="b">
        <f t="shared" ca="1" si="3"/>
        <v>0</v>
      </c>
      <c r="O11" s="68" t="str">
        <f t="shared" ca="1" si="4"/>
        <v/>
      </c>
      <c r="P11" s="68"/>
      <c r="Q11" s="68"/>
      <c r="R11" s="68"/>
      <c r="S11" s="68"/>
      <c r="T11" s="68"/>
      <c r="U11" s="68"/>
    </row>
    <row r="12" spans="1:21">
      <c r="A12" s="81">
        <v>10</v>
      </c>
      <c r="B12" s="44"/>
      <c r="C12" s="45"/>
      <c r="D12" s="47"/>
      <c r="E12" s="46">
        <v>0</v>
      </c>
      <c r="F12" s="51"/>
      <c r="G12" s="52"/>
      <c r="H12" s="52"/>
      <c r="I12" s="47"/>
      <c r="J12" s="44"/>
      <c r="K12" s="24">
        <f t="shared" ca="1" si="0"/>
        <v>0</v>
      </c>
      <c r="L12" s="68">
        <f t="shared" ca="1" si="1"/>
        <v>0</v>
      </c>
      <c r="M12" s="68">
        <f t="shared" ca="1" si="2"/>
        <v>0</v>
      </c>
      <c r="N12" s="68" t="b">
        <f t="shared" ca="1" si="3"/>
        <v>0</v>
      </c>
      <c r="O12" s="68" t="str">
        <f t="shared" ca="1" si="4"/>
        <v/>
      </c>
      <c r="P12" s="68"/>
      <c r="Q12" s="68"/>
      <c r="R12" s="68"/>
      <c r="S12" s="68"/>
      <c r="T12" s="68"/>
      <c r="U12" s="68"/>
    </row>
    <row r="13" spans="1:21">
      <c r="A13" s="81">
        <v>11</v>
      </c>
      <c r="B13" s="44"/>
      <c r="C13" s="45"/>
      <c r="D13" s="47"/>
      <c r="E13" s="46">
        <v>0</v>
      </c>
      <c r="F13" s="51"/>
      <c r="G13" s="52"/>
      <c r="H13" s="52"/>
      <c r="I13" s="47"/>
      <c r="J13" s="44"/>
      <c r="K13" s="24">
        <f t="shared" ca="1" si="0"/>
        <v>0</v>
      </c>
      <c r="L13" s="68">
        <f t="shared" ca="1" si="1"/>
        <v>0</v>
      </c>
      <c r="M13" s="68">
        <f t="shared" ca="1" si="2"/>
        <v>0</v>
      </c>
      <c r="N13" s="68" t="b">
        <f t="shared" ca="1" si="3"/>
        <v>0</v>
      </c>
      <c r="O13" s="68" t="str">
        <f t="shared" ca="1" si="4"/>
        <v/>
      </c>
      <c r="P13" s="68"/>
      <c r="Q13" s="68"/>
      <c r="R13" s="68"/>
      <c r="S13" s="68"/>
      <c r="T13" s="68"/>
      <c r="U13" s="68"/>
    </row>
    <row r="14" spans="1:21">
      <c r="A14" s="81">
        <v>12</v>
      </c>
      <c r="B14" s="44"/>
      <c r="C14" s="45"/>
      <c r="D14" s="47"/>
      <c r="E14" s="46">
        <v>0</v>
      </c>
      <c r="F14" s="51"/>
      <c r="G14" s="52"/>
      <c r="H14" s="52"/>
      <c r="I14" s="47"/>
      <c r="J14" s="44"/>
      <c r="K14" s="24">
        <f t="shared" ca="1" si="0"/>
        <v>0</v>
      </c>
      <c r="L14" s="68">
        <f t="shared" ca="1" si="1"/>
        <v>0</v>
      </c>
      <c r="M14" s="68">
        <f t="shared" ca="1" si="2"/>
        <v>0</v>
      </c>
      <c r="N14" s="68" t="b">
        <f t="shared" ca="1" si="3"/>
        <v>0</v>
      </c>
      <c r="O14" s="68" t="str">
        <f t="shared" ca="1" si="4"/>
        <v/>
      </c>
      <c r="P14" s="68"/>
      <c r="Q14" s="68"/>
      <c r="R14" s="68"/>
      <c r="S14" s="68"/>
      <c r="T14" s="68"/>
      <c r="U14" s="68"/>
    </row>
    <row r="15" spans="1:21">
      <c r="A15" s="81">
        <v>13</v>
      </c>
      <c r="B15" s="44"/>
      <c r="C15" s="45"/>
      <c r="D15" s="47"/>
      <c r="E15" s="46">
        <v>0</v>
      </c>
      <c r="F15" s="51"/>
      <c r="G15" s="52"/>
      <c r="H15" s="52"/>
      <c r="I15" s="47"/>
      <c r="J15" s="44"/>
      <c r="K15" s="24">
        <f t="shared" ca="1" si="0"/>
        <v>0</v>
      </c>
      <c r="L15" s="68">
        <f t="shared" ca="1" si="1"/>
        <v>0</v>
      </c>
      <c r="M15" s="68">
        <f t="shared" ca="1" si="2"/>
        <v>0</v>
      </c>
      <c r="N15" s="68" t="b">
        <f t="shared" ca="1" si="3"/>
        <v>0</v>
      </c>
      <c r="O15" s="68" t="str">
        <f t="shared" ca="1" si="4"/>
        <v/>
      </c>
      <c r="P15" s="68"/>
      <c r="Q15" s="68"/>
      <c r="R15" s="68"/>
      <c r="S15" s="68"/>
      <c r="T15" s="68"/>
      <c r="U15" s="68"/>
    </row>
    <row r="16" spans="1:21">
      <c r="A16" s="81">
        <v>14</v>
      </c>
      <c r="B16" s="44"/>
      <c r="C16" s="45"/>
      <c r="D16" s="47"/>
      <c r="E16" s="46">
        <v>0</v>
      </c>
      <c r="F16" s="51"/>
      <c r="G16" s="52"/>
      <c r="H16" s="52"/>
      <c r="I16" s="47"/>
      <c r="J16" s="44"/>
      <c r="K16" s="24">
        <f t="shared" ca="1" si="0"/>
        <v>0</v>
      </c>
      <c r="L16" s="68">
        <f t="shared" ca="1" si="1"/>
        <v>0</v>
      </c>
      <c r="M16" s="68">
        <f t="shared" ca="1" si="2"/>
        <v>0</v>
      </c>
      <c r="N16" s="68" t="b">
        <f t="shared" ca="1" si="3"/>
        <v>0</v>
      </c>
      <c r="O16" s="68" t="str">
        <f t="shared" ca="1" si="4"/>
        <v/>
      </c>
      <c r="P16" s="68"/>
      <c r="Q16" s="68"/>
      <c r="R16" s="68"/>
      <c r="S16" s="68"/>
      <c r="T16" s="68"/>
      <c r="U16" s="68"/>
    </row>
    <row r="17" spans="1:21">
      <c r="A17" s="81">
        <v>15</v>
      </c>
      <c r="B17" s="44"/>
      <c r="C17" s="45"/>
      <c r="D17" s="47"/>
      <c r="E17" s="46">
        <v>0</v>
      </c>
      <c r="F17" s="51"/>
      <c r="G17" s="52"/>
      <c r="H17" s="52"/>
      <c r="I17" s="53"/>
      <c r="J17" s="44"/>
      <c r="K17" s="24">
        <f t="shared" ca="1" si="0"/>
        <v>0</v>
      </c>
      <c r="L17" s="68">
        <f t="shared" ca="1" si="1"/>
        <v>0</v>
      </c>
      <c r="M17" s="68">
        <f t="shared" ca="1" si="2"/>
        <v>0</v>
      </c>
      <c r="N17" s="68" t="b">
        <f t="shared" ca="1" si="3"/>
        <v>0</v>
      </c>
      <c r="O17" s="68" t="str">
        <f t="shared" ca="1" si="4"/>
        <v/>
      </c>
      <c r="P17" s="68"/>
      <c r="Q17" s="68"/>
      <c r="R17" s="68"/>
      <c r="S17" s="68"/>
      <c r="T17" s="68"/>
      <c r="U17" s="68"/>
    </row>
    <row r="18" spans="1:21">
      <c r="A18" s="81">
        <v>16</v>
      </c>
      <c r="B18" s="44"/>
      <c r="C18" s="45"/>
      <c r="D18" s="47"/>
      <c r="E18" s="46">
        <v>0</v>
      </c>
      <c r="F18" s="51"/>
      <c r="G18" s="52"/>
      <c r="H18" s="52"/>
      <c r="I18" s="47"/>
      <c r="J18" s="44"/>
      <c r="K18" s="24">
        <f t="shared" ca="1" si="0"/>
        <v>0</v>
      </c>
      <c r="L18" s="68">
        <f t="shared" ca="1" si="1"/>
        <v>0</v>
      </c>
      <c r="M18" s="68">
        <f t="shared" ca="1" si="2"/>
        <v>0</v>
      </c>
      <c r="N18" s="68" t="b">
        <f t="shared" ca="1" si="3"/>
        <v>0</v>
      </c>
      <c r="O18" s="68" t="str">
        <f t="shared" ca="1" si="4"/>
        <v/>
      </c>
      <c r="P18" s="68"/>
      <c r="Q18" s="68"/>
      <c r="R18" s="68"/>
      <c r="S18" s="68"/>
      <c r="T18" s="68"/>
      <c r="U18" s="68"/>
    </row>
    <row r="19" spans="1:21">
      <c r="A19" s="81">
        <v>17</v>
      </c>
      <c r="B19" s="44"/>
      <c r="C19" s="45"/>
      <c r="D19" s="47"/>
      <c r="E19" s="46">
        <v>0</v>
      </c>
      <c r="F19" s="51"/>
      <c r="G19" s="52"/>
      <c r="H19" s="52"/>
      <c r="I19" s="53"/>
      <c r="J19" s="44"/>
      <c r="K19" s="24">
        <f t="shared" ca="1" si="0"/>
        <v>0</v>
      </c>
      <c r="L19" s="68">
        <f t="shared" ca="1" si="1"/>
        <v>0</v>
      </c>
      <c r="M19" s="68">
        <f t="shared" ca="1" si="2"/>
        <v>0</v>
      </c>
      <c r="N19" s="68" t="b">
        <f t="shared" ca="1" si="3"/>
        <v>0</v>
      </c>
      <c r="O19" s="68" t="str">
        <f t="shared" ca="1" si="4"/>
        <v/>
      </c>
      <c r="P19" s="68"/>
      <c r="Q19" s="68"/>
      <c r="R19" s="68"/>
      <c r="S19" s="68"/>
      <c r="T19" s="68"/>
      <c r="U19" s="68"/>
    </row>
    <row r="20" spans="1:21">
      <c r="A20" s="81">
        <v>18</v>
      </c>
      <c r="B20" s="44"/>
      <c r="C20" s="45"/>
      <c r="D20" s="47"/>
      <c r="E20" s="46">
        <v>0</v>
      </c>
      <c r="F20" s="51"/>
      <c r="G20" s="52"/>
      <c r="H20" s="52"/>
      <c r="I20" s="47"/>
      <c r="J20" s="44"/>
      <c r="K20" s="24">
        <f t="shared" ca="1" si="0"/>
        <v>0</v>
      </c>
      <c r="L20" s="68">
        <f t="shared" ca="1" si="1"/>
        <v>0</v>
      </c>
      <c r="M20" s="68">
        <f t="shared" ca="1" si="2"/>
        <v>0</v>
      </c>
      <c r="N20" s="68" t="b">
        <f t="shared" ca="1" si="3"/>
        <v>0</v>
      </c>
      <c r="O20" s="68" t="str">
        <f t="shared" ca="1" si="4"/>
        <v/>
      </c>
      <c r="P20" s="68"/>
      <c r="Q20" s="68"/>
      <c r="R20" s="68"/>
      <c r="S20" s="68"/>
      <c r="T20" s="68"/>
      <c r="U20" s="68"/>
    </row>
    <row r="21" spans="1:21">
      <c r="A21" s="81">
        <v>19</v>
      </c>
      <c r="B21" s="44"/>
      <c r="C21" s="45"/>
      <c r="D21" s="47"/>
      <c r="E21" s="46">
        <v>0</v>
      </c>
      <c r="F21" s="51"/>
      <c r="G21" s="52"/>
      <c r="H21" s="52"/>
      <c r="I21" s="47"/>
      <c r="J21" s="44"/>
      <c r="K21" s="24">
        <f t="shared" ca="1" si="0"/>
        <v>0</v>
      </c>
      <c r="L21" s="68">
        <f t="shared" ca="1" si="1"/>
        <v>0</v>
      </c>
      <c r="M21" s="68">
        <f t="shared" ca="1" si="2"/>
        <v>0</v>
      </c>
      <c r="N21" s="68" t="b">
        <f t="shared" ca="1" si="3"/>
        <v>0</v>
      </c>
      <c r="O21" s="68" t="str">
        <f t="shared" ca="1" si="4"/>
        <v/>
      </c>
      <c r="P21" s="68"/>
      <c r="Q21" s="68"/>
      <c r="R21" s="68"/>
      <c r="S21" s="68"/>
      <c r="T21" s="68"/>
      <c r="U21" s="68"/>
    </row>
    <row r="22" spans="1:21">
      <c r="A22" s="81">
        <v>20</v>
      </c>
      <c r="B22" s="44"/>
      <c r="C22" s="45"/>
      <c r="D22" s="47"/>
      <c r="E22" s="46">
        <v>0</v>
      </c>
      <c r="F22" s="51"/>
      <c r="G22" s="52"/>
      <c r="H22" s="52"/>
      <c r="I22" s="47"/>
      <c r="J22" s="44"/>
      <c r="K22" s="24">
        <f t="shared" ca="1" si="0"/>
        <v>0</v>
      </c>
      <c r="L22" s="68">
        <f t="shared" ca="1" si="1"/>
        <v>0</v>
      </c>
      <c r="M22" s="68">
        <f t="shared" ca="1" si="2"/>
        <v>0</v>
      </c>
      <c r="N22" s="68" t="b">
        <f t="shared" ca="1" si="3"/>
        <v>0</v>
      </c>
      <c r="O22" s="68" t="str">
        <f t="shared" ca="1" si="4"/>
        <v/>
      </c>
      <c r="P22" s="68"/>
      <c r="Q22" s="68"/>
      <c r="R22" s="68"/>
      <c r="S22" s="68"/>
      <c r="T22" s="68"/>
      <c r="U22" s="68"/>
    </row>
    <row r="23" spans="1:21" ht="15.75">
      <c r="A23" s="82">
        <v>21</v>
      </c>
      <c r="B23" s="44"/>
      <c r="C23" s="45"/>
      <c r="D23" s="47"/>
      <c r="E23" s="46">
        <v>0</v>
      </c>
      <c r="F23" s="51"/>
      <c r="G23" s="52"/>
      <c r="H23" s="52"/>
      <c r="I23" s="47"/>
      <c r="J23" s="44"/>
      <c r="K23" s="24">
        <f t="shared" ca="1" si="0"/>
        <v>0</v>
      </c>
      <c r="L23" s="68">
        <f t="shared" ca="1" si="1"/>
        <v>0</v>
      </c>
      <c r="M23" s="68">
        <f t="shared" ca="1" si="2"/>
        <v>0</v>
      </c>
      <c r="N23" s="68" t="b">
        <f t="shared" ca="1" si="3"/>
        <v>0</v>
      </c>
      <c r="O23" s="68" t="str">
        <f t="shared" ca="1" si="4"/>
        <v/>
      </c>
      <c r="P23" s="68"/>
      <c r="Q23" s="68"/>
      <c r="R23" s="68"/>
      <c r="S23" s="68"/>
      <c r="T23" s="68"/>
      <c r="U23" s="68"/>
    </row>
    <row r="24" spans="1:21" ht="15.75">
      <c r="A24" s="82">
        <v>22</v>
      </c>
      <c r="B24" s="44"/>
      <c r="C24" s="45"/>
      <c r="D24" s="47"/>
      <c r="E24" s="46">
        <v>0</v>
      </c>
      <c r="F24" s="51"/>
      <c r="G24" s="52"/>
      <c r="H24" s="52"/>
      <c r="I24" s="47"/>
      <c r="J24" s="44"/>
      <c r="K24" s="24">
        <f t="shared" ca="1" si="0"/>
        <v>0</v>
      </c>
      <c r="L24" s="68">
        <f t="shared" ca="1" si="1"/>
        <v>0</v>
      </c>
      <c r="M24" s="68">
        <f t="shared" ca="1" si="2"/>
        <v>0</v>
      </c>
      <c r="N24" s="68" t="b">
        <f t="shared" ca="1" si="3"/>
        <v>0</v>
      </c>
      <c r="O24" s="68" t="str">
        <f t="shared" ca="1" si="4"/>
        <v/>
      </c>
      <c r="P24" s="68"/>
      <c r="Q24" s="68"/>
      <c r="R24" s="68"/>
      <c r="S24" s="68"/>
      <c r="T24" s="68"/>
      <c r="U24" s="68"/>
    </row>
    <row r="25" spans="1:21" ht="15.75">
      <c r="A25" s="82">
        <v>23</v>
      </c>
      <c r="B25" s="44"/>
      <c r="C25" s="45"/>
      <c r="D25" s="47"/>
      <c r="E25" s="46">
        <v>0</v>
      </c>
      <c r="F25" s="51"/>
      <c r="G25" s="52"/>
      <c r="H25" s="52"/>
      <c r="I25" s="47"/>
      <c r="J25" s="44"/>
      <c r="K25" s="24">
        <f t="shared" ca="1" si="0"/>
        <v>0</v>
      </c>
      <c r="L25" s="68">
        <f t="shared" ca="1" si="1"/>
        <v>0</v>
      </c>
      <c r="M25" s="68">
        <f t="shared" ca="1" si="2"/>
        <v>0</v>
      </c>
      <c r="N25" s="68" t="b">
        <f t="shared" ca="1" si="3"/>
        <v>0</v>
      </c>
      <c r="O25" s="68" t="str">
        <f t="shared" ca="1" si="4"/>
        <v/>
      </c>
      <c r="P25" s="68"/>
      <c r="Q25" s="68"/>
      <c r="R25" s="68"/>
      <c r="S25" s="68"/>
      <c r="T25" s="68"/>
      <c r="U25" s="68"/>
    </row>
    <row r="26" spans="1:21" ht="15.75">
      <c r="A26" s="82">
        <v>24</v>
      </c>
      <c r="B26" s="44"/>
      <c r="C26" s="45"/>
      <c r="D26" s="54"/>
      <c r="E26" s="46">
        <v>0</v>
      </c>
      <c r="F26" s="51"/>
      <c r="G26" s="52"/>
      <c r="H26" s="52"/>
      <c r="I26" s="47"/>
      <c r="J26" s="44"/>
      <c r="K26" s="24">
        <f t="shared" ca="1" si="0"/>
        <v>0</v>
      </c>
      <c r="L26" s="68">
        <f t="shared" ca="1" si="1"/>
        <v>0</v>
      </c>
      <c r="M26" s="68">
        <f t="shared" ca="1" si="2"/>
        <v>0</v>
      </c>
      <c r="N26" s="68" t="b">
        <f t="shared" ca="1" si="3"/>
        <v>0</v>
      </c>
      <c r="O26" s="68" t="str">
        <f t="shared" ca="1" si="4"/>
        <v/>
      </c>
      <c r="P26" s="68"/>
      <c r="Q26" s="68"/>
      <c r="R26" s="68"/>
      <c r="S26" s="68"/>
      <c r="T26" s="68"/>
      <c r="U26" s="68"/>
    </row>
    <row r="27" spans="1:21" ht="15.75">
      <c r="A27" s="83">
        <v>25</v>
      </c>
      <c r="B27" s="48"/>
      <c r="C27" s="49"/>
      <c r="D27" s="50"/>
      <c r="E27" s="46">
        <v>0</v>
      </c>
      <c r="F27" s="55"/>
      <c r="G27" s="56"/>
      <c r="H27" s="56"/>
      <c r="I27" s="50"/>
      <c r="J27" s="48"/>
      <c r="K27" s="25">
        <f t="shared" ca="1" si="0"/>
        <v>0</v>
      </c>
      <c r="L27" s="68">
        <f t="shared" ca="1" si="1"/>
        <v>0</v>
      </c>
      <c r="M27" s="68">
        <f t="shared" ca="1" si="2"/>
        <v>0</v>
      </c>
      <c r="N27" s="68" t="b">
        <f t="shared" ca="1" si="3"/>
        <v>0</v>
      </c>
      <c r="O27" s="68" t="str">
        <f ca="1">IF(C27="","",DATEDIF($C27,TODAY(),"m"))</f>
        <v/>
      </c>
      <c r="P27" s="68"/>
      <c r="Q27" s="68"/>
      <c r="R27" s="68"/>
      <c r="S27" s="68"/>
      <c r="T27" s="68"/>
      <c r="U27" s="68"/>
    </row>
  </sheetData>
  <sheetProtection algorithmName="SHA-512" hashValue="uqHxUOvB1VCG/2a1AuYBB2w94kIkF0LSoUzEcRTrUD9kzj5ZVMVxOE34B8WzwXmXtQRKPvIMO2LymeyDPexvrQ==" saltValue="3IrfwoTSKwzEs/9RHmBdIw==" spinCount="100000" sheet="1" objects="1" scenarios="1" selectLockedCells="1"/>
  <mergeCells count="1">
    <mergeCell ref="P4:T4"/>
  </mergeCells>
  <conditionalFormatting sqref="A3:K27">
    <cfRule type="expression" dxfId="183" priority="1">
      <formula>ROW()=CELL("LIN")</formula>
    </cfRule>
    <cfRule type="expression" dxfId="182" priority="2">
      <formula>IF($D3&lt;&gt;"",1,0)</formula>
    </cfRule>
  </conditionalFormatting>
  <conditionalFormatting sqref="O3:O27">
    <cfRule type="cellIs" dxfId="181" priority="3" operator="lessThan">
      <formula>$T$3</formula>
    </cfRule>
  </conditionalFormatting>
  <pageMargins left="1" right="1" top="1" bottom="1" header="0.5" footer="0.5"/>
  <pageSetup paperSize="9" scale="51" fitToHeight="0" orientation="landscape" horizontalDpi="300" verticalDpi="300" r:id="rId1"/>
  <drawing r:id="rId2"/>
  <tableParts count="1">
    <tablePart r:id="rId3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93794C-E75E-4D89-93F2-6C1BB2C44D94}">
  <sheetPr codeName="Planilha10"/>
  <dimension ref="A1:AE29"/>
  <sheetViews>
    <sheetView showGridLines="0" showRowColHeaders="0" view="pageBreakPreview" zoomScale="60" zoomScaleNormal="70" workbookViewId="0">
      <pane xSplit="4" topLeftCell="E1" activePane="topRight" state="frozen"/>
      <selection sqref="A1:D3"/>
      <selection pane="topRight" activeCell="A5" sqref="A5"/>
    </sheetView>
  </sheetViews>
  <sheetFormatPr defaultRowHeight="12.75"/>
  <cols>
    <col min="2" max="2" width="39.28515625" bestFit="1" customWidth="1"/>
    <col min="3" max="3" width="14.28515625" customWidth="1"/>
    <col min="4" max="4" width="40.140625" customWidth="1"/>
    <col min="5" max="5" width="15.28515625" customWidth="1"/>
    <col min="6" max="6" width="16.28515625" customWidth="1"/>
    <col min="7" max="7" width="24.7109375" customWidth="1"/>
    <col min="8" max="8" width="15.140625" customWidth="1"/>
    <col min="9" max="9" width="14.5703125" customWidth="1"/>
    <col min="10" max="10" width="24.5703125" customWidth="1"/>
    <col min="12" max="12" width="14.140625" customWidth="1"/>
    <col min="13" max="13" width="15.140625" customWidth="1"/>
    <col min="14" max="14" width="23.5703125" customWidth="1"/>
    <col min="15" max="15" width="14.85546875" customWidth="1"/>
    <col min="16" max="16" width="15.85546875" customWidth="1"/>
    <col min="17" max="17" width="24.28515625" customWidth="1"/>
    <col min="19" max="19" width="15.140625" customWidth="1"/>
    <col min="20" max="20" width="16.140625" customWidth="1"/>
    <col min="21" max="21" width="24.5703125" customWidth="1"/>
    <col min="22" max="22" width="14.7109375" customWidth="1"/>
    <col min="23" max="23" width="15.7109375" customWidth="1"/>
    <col min="24" max="24" width="24.140625" customWidth="1"/>
    <col min="26" max="26" width="15" customWidth="1"/>
    <col min="27" max="27" width="16" customWidth="1"/>
    <col min="28" max="28" width="24.42578125" customWidth="1"/>
    <col min="29" max="29" width="15.140625" customWidth="1"/>
    <col min="30" max="30" width="16.140625" customWidth="1"/>
    <col min="31" max="31" width="24.5703125" customWidth="1"/>
  </cols>
  <sheetData>
    <row r="1" spans="1:31" ht="30" customHeight="1" thickBot="1">
      <c r="A1" s="124" t="str">
        <f>CONCATENATE('3A-A-Turma'!B2&amp;" - ",'3A-A-Turma'!B3)</f>
        <v>3º Ano - A - Manhã</v>
      </c>
      <c r="B1" s="124"/>
      <c r="C1" s="124"/>
      <c r="D1" s="125"/>
      <c r="E1" s="128" t="s">
        <v>41</v>
      </c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  <c r="V1" s="129"/>
      <c r="W1" s="129"/>
      <c r="X1" s="129"/>
      <c r="Y1" s="129"/>
      <c r="Z1" s="129"/>
      <c r="AA1" s="129"/>
      <c r="AB1" s="129"/>
      <c r="AC1" s="129"/>
      <c r="AD1" s="129"/>
      <c r="AE1" s="130"/>
    </row>
    <row r="2" spans="1:31" ht="16.5" thickBot="1">
      <c r="A2" s="124"/>
      <c r="B2" s="124"/>
      <c r="C2" s="124"/>
      <c r="D2" s="125"/>
      <c r="E2" s="131" t="s">
        <v>37</v>
      </c>
      <c r="F2" s="132"/>
      <c r="G2" s="132"/>
      <c r="H2" s="132"/>
      <c r="I2" s="132"/>
      <c r="J2" s="132"/>
      <c r="K2" s="132"/>
      <c r="L2" s="132"/>
      <c r="M2" s="132"/>
      <c r="N2" s="132"/>
      <c r="O2" s="132"/>
      <c r="P2" s="132"/>
      <c r="Q2" s="133"/>
      <c r="R2" s="64"/>
      <c r="S2" s="131" t="s">
        <v>38</v>
      </c>
      <c r="T2" s="132"/>
      <c r="U2" s="132"/>
      <c r="V2" s="132"/>
      <c r="W2" s="132"/>
      <c r="X2" s="132"/>
      <c r="Y2" s="132"/>
      <c r="Z2" s="132"/>
      <c r="AA2" s="132"/>
      <c r="AB2" s="132"/>
      <c r="AC2" s="132"/>
      <c r="AD2" s="132"/>
      <c r="AE2" s="133"/>
    </row>
    <row r="3" spans="1:31" ht="15">
      <c r="A3" s="126"/>
      <c r="B3" s="126"/>
      <c r="C3" s="126"/>
      <c r="D3" s="127"/>
      <c r="E3" s="134" t="s">
        <v>33</v>
      </c>
      <c r="F3" s="135"/>
      <c r="G3" s="136"/>
      <c r="H3" s="138" t="s">
        <v>34</v>
      </c>
      <c r="I3" s="139"/>
      <c r="J3" s="140"/>
      <c r="K3" s="64"/>
      <c r="L3" s="134" t="s">
        <v>35</v>
      </c>
      <c r="M3" s="135"/>
      <c r="N3" s="136"/>
      <c r="O3" s="138" t="s">
        <v>36</v>
      </c>
      <c r="P3" s="139"/>
      <c r="Q3" s="140"/>
      <c r="R3" s="64"/>
      <c r="S3" s="137" t="s">
        <v>39</v>
      </c>
      <c r="T3" s="135"/>
      <c r="U3" s="136"/>
      <c r="V3" s="141" t="s">
        <v>40</v>
      </c>
      <c r="W3" s="139"/>
      <c r="X3" s="140"/>
      <c r="Y3" s="64"/>
      <c r="Z3" s="134" t="s">
        <v>31</v>
      </c>
      <c r="AA3" s="135"/>
      <c r="AB3" s="136"/>
      <c r="AC3" s="138" t="s">
        <v>32</v>
      </c>
      <c r="AD3" s="139"/>
      <c r="AE3" s="140"/>
    </row>
    <row r="4" spans="1:31" ht="31.5">
      <c r="A4" s="63" t="s">
        <v>9</v>
      </c>
      <c r="B4" s="57" t="s">
        <v>10</v>
      </c>
      <c r="C4" s="58" t="s">
        <v>13</v>
      </c>
      <c r="D4" s="59" t="s">
        <v>16</v>
      </c>
      <c r="E4" s="31" t="s">
        <v>42</v>
      </c>
      <c r="F4" s="32" t="s">
        <v>43</v>
      </c>
      <c r="G4" s="33" t="s">
        <v>44</v>
      </c>
      <c r="H4" s="34" t="s">
        <v>46</v>
      </c>
      <c r="I4" s="35" t="s">
        <v>45</v>
      </c>
      <c r="J4" s="36" t="s">
        <v>51</v>
      </c>
      <c r="K4" s="65" t="s">
        <v>47</v>
      </c>
      <c r="L4" s="37" t="s">
        <v>48</v>
      </c>
      <c r="M4" s="32" t="s">
        <v>49</v>
      </c>
      <c r="N4" s="33" t="s">
        <v>50</v>
      </c>
      <c r="O4" s="34" t="s">
        <v>52</v>
      </c>
      <c r="P4" s="35" t="s">
        <v>53</v>
      </c>
      <c r="Q4" s="36" t="s">
        <v>54</v>
      </c>
      <c r="R4" s="65" t="s">
        <v>55</v>
      </c>
      <c r="S4" s="37" t="s">
        <v>56</v>
      </c>
      <c r="T4" s="32" t="s">
        <v>57</v>
      </c>
      <c r="U4" s="33" t="s">
        <v>58</v>
      </c>
      <c r="V4" s="34" t="s">
        <v>59</v>
      </c>
      <c r="W4" s="35" t="s">
        <v>60</v>
      </c>
      <c r="X4" s="36" t="s">
        <v>61</v>
      </c>
      <c r="Y4" s="65" t="s">
        <v>62</v>
      </c>
      <c r="Z4" s="37" t="s">
        <v>63</v>
      </c>
      <c r="AA4" s="32" t="s">
        <v>64</v>
      </c>
      <c r="AB4" s="33" t="s">
        <v>65</v>
      </c>
      <c r="AC4" s="34" t="s">
        <v>66</v>
      </c>
      <c r="AD4" s="35" t="s">
        <v>67</v>
      </c>
      <c r="AE4" s="38" t="s">
        <v>68</v>
      </c>
    </row>
    <row r="5" spans="1:31" ht="15">
      <c r="A5" s="72">
        <v>1</v>
      </c>
      <c r="B5" s="60" t="str">
        <f>IF('3A-A'!B3&lt;&gt;0,'3A-A'!B3,"")</f>
        <v/>
      </c>
      <c r="C5" s="61" t="str">
        <f>IF('3A-A'!C3&lt;&gt;0,'3A-A'!C3,"")</f>
        <v/>
      </c>
      <c r="D5" s="62" t="str">
        <f>IF('3A-A'!D3&lt;&gt;0,'3A-A'!D3,"")</f>
        <v/>
      </c>
      <c r="E5" s="43"/>
      <c r="F5" s="42"/>
      <c r="G5" s="28" t="e">
        <f t="shared" ref="G5:G29" si="0">ROUND((E5*100)/(E5+F5),0)/100</f>
        <v>#DIV/0!</v>
      </c>
      <c r="H5" s="39"/>
      <c r="I5" s="40"/>
      <c r="J5" s="29" t="e">
        <f t="shared" ref="J5:J29" si="1">ROUND((H5*100)/(H5+I5),0)/100</f>
        <v>#DIV/0!</v>
      </c>
      <c r="K5" s="87">
        <f>Tabela273681012141619[[#This Row],[Nº]]</f>
        <v>1</v>
      </c>
      <c r="L5" s="41"/>
      <c r="M5" s="42"/>
      <c r="N5" s="28" t="e">
        <f t="shared" ref="N5:N29" si="2">ROUND((L5*100)/(L5+M5),0)/100</f>
        <v>#DIV/0!</v>
      </c>
      <c r="O5" s="39"/>
      <c r="P5" s="40"/>
      <c r="Q5" s="29" t="e">
        <f t="shared" ref="Q5:Q29" si="3">ROUND((O5*100)/(O5+P5),0)/100</f>
        <v>#DIV/0!</v>
      </c>
      <c r="R5" s="87">
        <f>Tabela273681012141619[[#This Row],[Nº]]</f>
        <v>1</v>
      </c>
      <c r="S5" s="41"/>
      <c r="T5" s="42"/>
      <c r="U5" s="28" t="e">
        <f t="shared" ref="U5:U29" si="4">ROUND((S5*100)/(S5+T5),0)/100</f>
        <v>#DIV/0!</v>
      </c>
      <c r="V5" s="39"/>
      <c r="W5" s="40"/>
      <c r="X5" s="29" t="e">
        <f t="shared" ref="X5:X29" si="5">ROUND((V5*100)/(V5+W5),0)/100</f>
        <v>#DIV/0!</v>
      </c>
      <c r="Y5" s="87">
        <f>Tabela273681012141619[[#This Row],[Nº]]</f>
        <v>1</v>
      </c>
      <c r="Z5" s="41"/>
      <c r="AA5" s="42"/>
      <c r="AB5" s="28" t="e">
        <f t="shared" ref="AB5:AB29" si="6">ROUND((Z5*100)/(Z5+AA5),0)/100</f>
        <v>#DIV/0!</v>
      </c>
      <c r="AC5" s="39"/>
      <c r="AD5" s="40"/>
      <c r="AE5" s="30" t="e">
        <f t="shared" ref="AE5:AE29" si="7">ROUND((AC5*100)/(AC5+AD5),0)/100</f>
        <v>#DIV/0!</v>
      </c>
    </row>
    <row r="6" spans="1:31" ht="15">
      <c r="A6" s="72">
        <v>2</v>
      </c>
      <c r="B6" s="60" t="str">
        <f>IF('3A-A'!B4&lt;&gt;0,'3A-A'!B4,"")</f>
        <v/>
      </c>
      <c r="C6" s="61" t="str">
        <f>IF('3A-A'!C4&lt;&gt;0,'3A-A'!C4,"")</f>
        <v/>
      </c>
      <c r="D6" s="62" t="str">
        <f>IF('3A-A'!D4&lt;&gt;0,'3A-A'!D4,"")</f>
        <v/>
      </c>
      <c r="E6" s="43"/>
      <c r="F6" s="42"/>
      <c r="G6" s="28" t="e">
        <f t="shared" si="0"/>
        <v>#DIV/0!</v>
      </c>
      <c r="H6" s="39"/>
      <c r="I6" s="40"/>
      <c r="J6" s="29" t="e">
        <f t="shared" si="1"/>
        <v>#DIV/0!</v>
      </c>
      <c r="K6" s="87">
        <f>Tabela273681012141619[[#This Row],[Nº]]</f>
        <v>2</v>
      </c>
      <c r="L6" s="41"/>
      <c r="M6" s="42"/>
      <c r="N6" s="28" t="e">
        <f t="shared" si="2"/>
        <v>#DIV/0!</v>
      </c>
      <c r="O6" s="39"/>
      <c r="P6" s="40"/>
      <c r="Q6" s="29" t="e">
        <f t="shared" si="3"/>
        <v>#DIV/0!</v>
      </c>
      <c r="R6" s="87">
        <f>Tabela273681012141619[[#This Row],[Nº]]</f>
        <v>2</v>
      </c>
      <c r="S6" s="41"/>
      <c r="T6" s="42"/>
      <c r="U6" s="28" t="e">
        <f t="shared" si="4"/>
        <v>#DIV/0!</v>
      </c>
      <c r="V6" s="39"/>
      <c r="W6" s="40"/>
      <c r="X6" s="29" t="e">
        <f t="shared" si="5"/>
        <v>#DIV/0!</v>
      </c>
      <c r="Y6" s="87">
        <f>Tabela273681012141619[[#This Row],[Nº]]</f>
        <v>2</v>
      </c>
      <c r="Z6" s="41"/>
      <c r="AA6" s="42"/>
      <c r="AB6" s="28" t="e">
        <f t="shared" si="6"/>
        <v>#DIV/0!</v>
      </c>
      <c r="AC6" s="39"/>
      <c r="AD6" s="40"/>
      <c r="AE6" s="30" t="e">
        <f t="shared" si="7"/>
        <v>#DIV/0!</v>
      </c>
    </row>
    <row r="7" spans="1:31" ht="15">
      <c r="A7" s="72">
        <v>3</v>
      </c>
      <c r="B7" s="60" t="str">
        <f>IF('3A-A'!B5&lt;&gt;0,'3A-A'!B5,"")</f>
        <v/>
      </c>
      <c r="C7" s="61" t="str">
        <f>IF('3A-A'!C5&lt;&gt;0,'3A-A'!C5,"")</f>
        <v/>
      </c>
      <c r="D7" s="62" t="str">
        <f>IF('3A-A'!D5&lt;&gt;0,'3A-A'!D5,"")</f>
        <v/>
      </c>
      <c r="E7" s="43"/>
      <c r="F7" s="42"/>
      <c r="G7" s="28" t="e">
        <f t="shared" si="0"/>
        <v>#DIV/0!</v>
      </c>
      <c r="H7" s="39"/>
      <c r="I7" s="40"/>
      <c r="J7" s="29" t="e">
        <f t="shared" si="1"/>
        <v>#DIV/0!</v>
      </c>
      <c r="K7" s="87">
        <f>Tabela273681012141619[[#This Row],[Nº]]</f>
        <v>3</v>
      </c>
      <c r="L7" s="41"/>
      <c r="M7" s="42"/>
      <c r="N7" s="28" t="e">
        <f t="shared" si="2"/>
        <v>#DIV/0!</v>
      </c>
      <c r="O7" s="39"/>
      <c r="P7" s="40"/>
      <c r="Q7" s="29" t="e">
        <f t="shared" si="3"/>
        <v>#DIV/0!</v>
      </c>
      <c r="R7" s="87">
        <f>Tabela273681012141619[[#This Row],[Nº]]</f>
        <v>3</v>
      </c>
      <c r="S7" s="41"/>
      <c r="T7" s="42"/>
      <c r="U7" s="28" t="e">
        <f t="shared" si="4"/>
        <v>#DIV/0!</v>
      </c>
      <c r="V7" s="39"/>
      <c r="W7" s="40"/>
      <c r="X7" s="29" t="e">
        <f t="shared" si="5"/>
        <v>#DIV/0!</v>
      </c>
      <c r="Y7" s="87">
        <f>Tabela273681012141619[[#This Row],[Nº]]</f>
        <v>3</v>
      </c>
      <c r="Z7" s="41"/>
      <c r="AA7" s="42"/>
      <c r="AB7" s="28" t="e">
        <f t="shared" si="6"/>
        <v>#DIV/0!</v>
      </c>
      <c r="AC7" s="39"/>
      <c r="AD7" s="40"/>
      <c r="AE7" s="30" t="e">
        <f t="shared" si="7"/>
        <v>#DIV/0!</v>
      </c>
    </row>
    <row r="8" spans="1:31" ht="15">
      <c r="A8" s="72">
        <v>4</v>
      </c>
      <c r="B8" s="60" t="str">
        <f>IF('3A-A'!B6&lt;&gt;0,'3A-A'!B6,"")</f>
        <v/>
      </c>
      <c r="C8" s="61" t="str">
        <f>IF('3A-A'!C6&lt;&gt;0,'3A-A'!C6,"")</f>
        <v/>
      </c>
      <c r="D8" s="62" t="str">
        <f>IF('3A-A'!D6&lt;&gt;0,'3A-A'!D6,"")</f>
        <v/>
      </c>
      <c r="E8" s="43"/>
      <c r="F8" s="42"/>
      <c r="G8" s="28" t="e">
        <f t="shared" si="0"/>
        <v>#DIV/0!</v>
      </c>
      <c r="H8" s="39"/>
      <c r="I8" s="40"/>
      <c r="J8" s="29" t="e">
        <f t="shared" si="1"/>
        <v>#DIV/0!</v>
      </c>
      <c r="K8" s="87">
        <f>Tabela273681012141619[[#This Row],[Nº]]</f>
        <v>4</v>
      </c>
      <c r="L8" s="41"/>
      <c r="M8" s="42"/>
      <c r="N8" s="28" t="e">
        <f t="shared" si="2"/>
        <v>#DIV/0!</v>
      </c>
      <c r="O8" s="39"/>
      <c r="P8" s="40"/>
      <c r="Q8" s="29" t="e">
        <f t="shared" si="3"/>
        <v>#DIV/0!</v>
      </c>
      <c r="R8" s="87">
        <f>Tabela273681012141619[[#This Row],[Nº]]</f>
        <v>4</v>
      </c>
      <c r="S8" s="41"/>
      <c r="T8" s="42"/>
      <c r="U8" s="28" t="e">
        <f t="shared" si="4"/>
        <v>#DIV/0!</v>
      </c>
      <c r="V8" s="39"/>
      <c r="W8" s="40"/>
      <c r="X8" s="29" t="e">
        <f t="shared" si="5"/>
        <v>#DIV/0!</v>
      </c>
      <c r="Y8" s="87">
        <f>Tabela273681012141619[[#This Row],[Nº]]</f>
        <v>4</v>
      </c>
      <c r="Z8" s="41"/>
      <c r="AA8" s="42"/>
      <c r="AB8" s="28" t="e">
        <f t="shared" si="6"/>
        <v>#DIV/0!</v>
      </c>
      <c r="AC8" s="39"/>
      <c r="AD8" s="40"/>
      <c r="AE8" s="30" t="e">
        <f t="shared" si="7"/>
        <v>#DIV/0!</v>
      </c>
    </row>
    <row r="9" spans="1:31" ht="15">
      <c r="A9" s="72">
        <v>5</v>
      </c>
      <c r="B9" s="60" t="str">
        <f>IF('3A-A'!B7&lt;&gt;0,'3A-A'!B7,"")</f>
        <v/>
      </c>
      <c r="C9" s="61" t="str">
        <f>IF('3A-A'!C7&lt;&gt;0,'3A-A'!C7,"")</f>
        <v/>
      </c>
      <c r="D9" s="62" t="str">
        <f>IF('3A-A'!D7&lt;&gt;0,'3A-A'!D7,"")</f>
        <v/>
      </c>
      <c r="E9" s="43"/>
      <c r="F9" s="42"/>
      <c r="G9" s="28" t="e">
        <f t="shared" si="0"/>
        <v>#DIV/0!</v>
      </c>
      <c r="H9" s="39"/>
      <c r="I9" s="40"/>
      <c r="J9" s="29" t="e">
        <f t="shared" si="1"/>
        <v>#DIV/0!</v>
      </c>
      <c r="K9" s="87">
        <f>Tabela273681012141619[[#This Row],[Nº]]</f>
        <v>5</v>
      </c>
      <c r="L9" s="41"/>
      <c r="M9" s="42"/>
      <c r="N9" s="28" t="e">
        <f t="shared" si="2"/>
        <v>#DIV/0!</v>
      </c>
      <c r="O9" s="39"/>
      <c r="P9" s="40"/>
      <c r="Q9" s="29" t="e">
        <f t="shared" si="3"/>
        <v>#DIV/0!</v>
      </c>
      <c r="R9" s="87">
        <f>Tabela273681012141619[[#This Row],[Nº]]</f>
        <v>5</v>
      </c>
      <c r="S9" s="41"/>
      <c r="T9" s="42"/>
      <c r="U9" s="28" t="e">
        <f t="shared" si="4"/>
        <v>#DIV/0!</v>
      </c>
      <c r="V9" s="39"/>
      <c r="W9" s="40"/>
      <c r="X9" s="29" t="e">
        <f t="shared" si="5"/>
        <v>#DIV/0!</v>
      </c>
      <c r="Y9" s="87">
        <f>Tabela273681012141619[[#This Row],[Nº]]</f>
        <v>5</v>
      </c>
      <c r="Z9" s="41"/>
      <c r="AA9" s="42"/>
      <c r="AB9" s="28" t="e">
        <f t="shared" si="6"/>
        <v>#DIV/0!</v>
      </c>
      <c r="AC9" s="39"/>
      <c r="AD9" s="40"/>
      <c r="AE9" s="30" t="e">
        <f t="shared" si="7"/>
        <v>#DIV/0!</v>
      </c>
    </row>
    <row r="10" spans="1:31" ht="15">
      <c r="A10" s="72">
        <v>6</v>
      </c>
      <c r="B10" s="60" t="str">
        <f>IF('3A-A'!B8&lt;&gt;0,'3A-A'!B8,"")</f>
        <v/>
      </c>
      <c r="C10" s="61" t="str">
        <f>IF('3A-A'!C8&lt;&gt;0,'3A-A'!C8,"")</f>
        <v/>
      </c>
      <c r="D10" s="62" t="str">
        <f>IF('3A-A'!D8&lt;&gt;0,'3A-A'!D8,"")</f>
        <v/>
      </c>
      <c r="E10" s="43"/>
      <c r="F10" s="42"/>
      <c r="G10" s="28" t="e">
        <f t="shared" si="0"/>
        <v>#DIV/0!</v>
      </c>
      <c r="H10" s="39"/>
      <c r="I10" s="40"/>
      <c r="J10" s="29" t="e">
        <f t="shared" si="1"/>
        <v>#DIV/0!</v>
      </c>
      <c r="K10" s="87">
        <f>Tabela273681012141619[[#This Row],[Nº]]</f>
        <v>6</v>
      </c>
      <c r="L10" s="41"/>
      <c r="M10" s="42"/>
      <c r="N10" s="28" t="e">
        <f t="shared" si="2"/>
        <v>#DIV/0!</v>
      </c>
      <c r="O10" s="39"/>
      <c r="P10" s="40"/>
      <c r="Q10" s="29" t="e">
        <f t="shared" si="3"/>
        <v>#DIV/0!</v>
      </c>
      <c r="R10" s="87">
        <f>Tabela273681012141619[[#This Row],[Nº]]</f>
        <v>6</v>
      </c>
      <c r="S10" s="41"/>
      <c r="T10" s="42"/>
      <c r="U10" s="28" t="e">
        <f t="shared" si="4"/>
        <v>#DIV/0!</v>
      </c>
      <c r="V10" s="39"/>
      <c r="W10" s="40"/>
      <c r="X10" s="29" t="e">
        <f t="shared" si="5"/>
        <v>#DIV/0!</v>
      </c>
      <c r="Y10" s="87">
        <f>Tabela273681012141619[[#This Row],[Nº]]</f>
        <v>6</v>
      </c>
      <c r="Z10" s="41"/>
      <c r="AA10" s="42"/>
      <c r="AB10" s="28" t="e">
        <f t="shared" si="6"/>
        <v>#DIV/0!</v>
      </c>
      <c r="AC10" s="39"/>
      <c r="AD10" s="40"/>
      <c r="AE10" s="30" t="e">
        <f t="shared" si="7"/>
        <v>#DIV/0!</v>
      </c>
    </row>
    <row r="11" spans="1:31" ht="15">
      <c r="A11" s="72">
        <v>7</v>
      </c>
      <c r="B11" s="60" t="str">
        <f>IF('3A-A'!B9&lt;&gt;0,'3A-A'!B9,"")</f>
        <v/>
      </c>
      <c r="C11" s="61" t="str">
        <f>IF('3A-A'!C9&lt;&gt;0,'3A-A'!C9,"")</f>
        <v/>
      </c>
      <c r="D11" s="62" t="str">
        <f>IF('3A-A'!D9&lt;&gt;0,'3A-A'!D9,"")</f>
        <v/>
      </c>
      <c r="E11" s="43"/>
      <c r="F11" s="42"/>
      <c r="G11" s="28" t="e">
        <f t="shared" si="0"/>
        <v>#DIV/0!</v>
      </c>
      <c r="H11" s="39"/>
      <c r="I11" s="40"/>
      <c r="J11" s="29" t="e">
        <f t="shared" si="1"/>
        <v>#DIV/0!</v>
      </c>
      <c r="K11" s="87">
        <f>Tabela273681012141619[[#This Row],[Nº]]</f>
        <v>7</v>
      </c>
      <c r="L11" s="41"/>
      <c r="M11" s="42"/>
      <c r="N11" s="28" t="e">
        <f t="shared" si="2"/>
        <v>#DIV/0!</v>
      </c>
      <c r="O11" s="39"/>
      <c r="P11" s="40"/>
      <c r="Q11" s="29" t="e">
        <f t="shared" si="3"/>
        <v>#DIV/0!</v>
      </c>
      <c r="R11" s="87">
        <f>Tabela273681012141619[[#This Row],[Nº]]</f>
        <v>7</v>
      </c>
      <c r="S11" s="41"/>
      <c r="T11" s="42"/>
      <c r="U11" s="28" t="e">
        <f t="shared" si="4"/>
        <v>#DIV/0!</v>
      </c>
      <c r="V11" s="39"/>
      <c r="W11" s="40"/>
      <c r="X11" s="29" t="e">
        <f t="shared" si="5"/>
        <v>#DIV/0!</v>
      </c>
      <c r="Y11" s="87">
        <f>Tabela273681012141619[[#This Row],[Nº]]</f>
        <v>7</v>
      </c>
      <c r="Z11" s="41"/>
      <c r="AA11" s="42"/>
      <c r="AB11" s="28" t="e">
        <f t="shared" si="6"/>
        <v>#DIV/0!</v>
      </c>
      <c r="AC11" s="39"/>
      <c r="AD11" s="40"/>
      <c r="AE11" s="30" t="e">
        <f t="shared" si="7"/>
        <v>#DIV/0!</v>
      </c>
    </row>
    <row r="12" spans="1:31" ht="15">
      <c r="A12" s="72">
        <v>8</v>
      </c>
      <c r="B12" s="60" t="str">
        <f>IF('3A-A'!B10&lt;&gt;0,'3A-A'!B10,"")</f>
        <v/>
      </c>
      <c r="C12" s="61" t="str">
        <f>IF('3A-A'!C10&lt;&gt;0,'3A-A'!C10,"")</f>
        <v/>
      </c>
      <c r="D12" s="62" t="str">
        <f>IF('3A-A'!D10&lt;&gt;0,'3A-A'!D10,"")</f>
        <v/>
      </c>
      <c r="E12" s="43"/>
      <c r="F12" s="42"/>
      <c r="G12" s="28" t="e">
        <f t="shared" si="0"/>
        <v>#DIV/0!</v>
      </c>
      <c r="H12" s="39"/>
      <c r="I12" s="40"/>
      <c r="J12" s="29" t="e">
        <f t="shared" si="1"/>
        <v>#DIV/0!</v>
      </c>
      <c r="K12" s="87">
        <f>Tabela273681012141619[[#This Row],[Nº]]</f>
        <v>8</v>
      </c>
      <c r="L12" s="41"/>
      <c r="M12" s="42"/>
      <c r="N12" s="28" t="e">
        <f t="shared" si="2"/>
        <v>#DIV/0!</v>
      </c>
      <c r="O12" s="39"/>
      <c r="P12" s="40"/>
      <c r="Q12" s="29" t="e">
        <f t="shared" si="3"/>
        <v>#DIV/0!</v>
      </c>
      <c r="R12" s="87">
        <f>Tabela273681012141619[[#This Row],[Nº]]</f>
        <v>8</v>
      </c>
      <c r="S12" s="41"/>
      <c r="T12" s="42"/>
      <c r="U12" s="28" t="e">
        <f t="shared" si="4"/>
        <v>#DIV/0!</v>
      </c>
      <c r="V12" s="39"/>
      <c r="W12" s="40"/>
      <c r="X12" s="29" t="e">
        <f t="shared" si="5"/>
        <v>#DIV/0!</v>
      </c>
      <c r="Y12" s="87">
        <f>Tabela273681012141619[[#This Row],[Nº]]</f>
        <v>8</v>
      </c>
      <c r="Z12" s="41"/>
      <c r="AA12" s="42"/>
      <c r="AB12" s="28" t="e">
        <f t="shared" si="6"/>
        <v>#DIV/0!</v>
      </c>
      <c r="AC12" s="39"/>
      <c r="AD12" s="40"/>
      <c r="AE12" s="30" t="e">
        <f t="shared" si="7"/>
        <v>#DIV/0!</v>
      </c>
    </row>
    <row r="13" spans="1:31" ht="15">
      <c r="A13" s="72">
        <v>9</v>
      </c>
      <c r="B13" s="60" t="str">
        <f>IF('3A-A'!B11&lt;&gt;0,'3A-A'!B11,"")</f>
        <v/>
      </c>
      <c r="C13" s="61" t="str">
        <f>IF('3A-A'!C11&lt;&gt;0,'3A-A'!C11,"")</f>
        <v/>
      </c>
      <c r="D13" s="62" t="str">
        <f>IF('3A-A'!D11&lt;&gt;0,'3A-A'!D11,"")</f>
        <v/>
      </c>
      <c r="E13" s="43"/>
      <c r="F13" s="42"/>
      <c r="G13" s="28" t="e">
        <f t="shared" si="0"/>
        <v>#DIV/0!</v>
      </c>
      <c r="H13" s="39"/>
      <c r="I13" s="40"/>
      <c r="J13" s="29" t="e">
        <f t="shared" si="1"/>
        <v>#DIV/0!</v>
      </c>
      <c r="K13" s="87">
        <f>Tabela273681012141619[[#This Row],[Nº]]</f>
        <v>9</v>
      </c>
      <c r="L13" s="41"/>
      <c r="M13" s="42"/>
      <c r="N13" s="28" t="e">
        <f t="shared" si="2"/>
        <v>#DIV/0!</v>
      </c>
      <c r="O13" s="39"/>
      <c r="P13" s="40"/>
      <c r="Q13" s="29" t="e">
        <f t="shared" si="3"/>
        <v>#DIV/0!</v>
      </c>
      <c r="R13" s="87">
        <f>Tabela273681012141619[[#This Row],[Nº]]</f>
        <v>9</v>
      </c>
      <c r="S13" s="41"/>
      <c r="T13" s="42"/>
      <c r="U13" s="28" t="e">
        <f t="shared" si="4"/>
        <v>#DIV/0!</v>
      </c>
      <c r="V13" s="39"/>
      <c r="W13" s="40"/>
      <c r="X13" s="29" t="e">
        <f t="shared" si="5"/>
        <v>#DIV/0!</v>
      </c>
      <c r="Y13" s="87">
        <f>Tabela273681012141619[[#This Row],[Nº]]</f>
        <v>9</v>
      </c>
      <c r="Z13" s="41"/>
      <c r="AA13" s="42"/>
      <c r="AB13" s="28" t="e">
        <f t="shared" si="6"/>
        <v>#DIV/0!</v>
      </c>
      <c r="AC13" s="39"/>
      <c r="AD13" s="40"/>
      <c r="AE13" s="30" t="e">
        <f t="shared" si="7"/>
        <v>#DIV/0!</v>
      </c>
    </row>
    <row r="14" spans="1:31" ht="15">
      <c r="A14" s="72">
        <v>10</v>
      </c>
      <c r="B14" s="60" t="str">
        <f>IF('3A-A'!B12&lt;&gt;0,'3A-A'!B12,"")</f>
        <v/>
      </c>
      <c r="C14" s="61" t="str">
        <f>IF('3A-A'!C12&lt;&gt;0,'3A-A'!C12,"")</f>
        <v/>
      </c>
      <c r="D14" s="62" t="str">
        <f>IF('3A-A'!D12&lt;&gt;0,'3A-A'!D12,"")</f>
        <v/>
      </c>
      <c r="E14" s="43"/>
      <c r="F14" s="42"/>
      <c r="G14" s="28" t="e">
        <f t="shared" si="0"/>
        <v>#DIV/0!</v>
      </c>
      <c r="H14" s="39"/>
      <c r="I14" s="40"/>
      <c r="J14" s="29" t="e">
        <f t="shared" si="1"/>
        <v>#DIV/0!</v>
      </c>
      <c r="K14" s="87">
        <f>Tabela273681012141619[[#This Row],[Nº]]</f>
        <v>10</v>
      </c>
      <c r="L14" s="41"/>
      <c r="M14" s="42"/>
      <c r="N14" s="28" t="e">
        <f t="shared" si="2"/>
        <v>#DIV/0!</v>
      </c>
      <c r="O14" s="39"/>
      <c r="P14" s="40"/>
      <c r="Q14" s="29" t="e">
        <f t="shared" si="3"/>
        <v>#DIV/0!</v>
      </c>
      <c r="R14" s="87">
        <f>Tabela273681012141619[[#This Row],[Nº]]</f>
        <v>10</v>
      </c>
      <c r="S14" s="41"/>
      <c r="T14" s="42"/>
      <c r="U14" s="28" t="e">
        <f t="shared" si="4"/>
        <v>#DIV/0!</v>
      </c>
      <c r="V14" s="39"/>
      <c r="W14" s="40"/>
      <c r="X14" s="29" t="e">
        <f t="shared" si="5"/>
        <v>#DIV/0!</v>
      </c>
      <c r="Y14" s="87">
        <f>Tabela273681012141619[[#This Row],[Nº]]</f>
        <v>10</v>
      </c>
      <c r="Z14" s="41"/>
      <c r="AA14" s="42"/>
      <c r="AB14" s="28" t="e">
        <f t="shared" si="6"/>
        <v>#DIV/0!</v>
      </c>
      <c r="AC14" s="39"/>
      <c r="AD14" s="40"/>
      <c r="AE14" s="30" t="e">
        <f t="shared" si="7"/>
        <v>#DIV/0!</v>
      </c>
    </row>
    <row r="15" spans="1:31" ht="15">
      <c r="A15" s="72">
        <v>11</v>
      </c>
      <c r="B15" s="60" t="str">
        <f>IF('3A-A'!B13&lt;&gt;0,'3A-A'!B13,"")</f>
        <v/>
      </c>
      <c r="C15" s="61" t="str">
        <f>IF('3A-A'!C13&lt;&gt;0,'3A-A'!C13,"")</f>
        <v/>
      </c>
      <c r="D15" s="62" t="str">
        <f>IF('3A-A'!D13&lt;&gt;0,'3A-A'!D13,"")</f>
        <v/>
      </c>
      <c r="E15" s="43"/>
      <c r="F15" s="42"/>
      <c r="G15" s="28" t="e">
        <f t="shared" si="0"/>
        <v>#DIV/0!</v>
      </c>
      <c r="H15" s="39"/>
      <c r="I15" s="40"/>
      <c r="J15" s="29" t="e">
        <f t="shared" si="1"/>
        <v>#DIV/0!</v>
      </c>
      <c r="K15" s="87">
        <f>Tabela273681012141619[[#This Row],[Nº]]</f>
        <v>11</v>
      </c>
      <c r="L15" s="41"/>
      <c r="M15" s="42"/>
      <c r="N15" s="28" t="e">
        <f t="shared" si="2"/>
        <v>#DIV/0!</v>
      </c>
      <c r="O15" s="39"/>
      <c r="P15" s="40"/>
      <c r="Q15" s="29" t="e">
        <f t="shared" si="3"/>
        <v>#DIV/0!</v>
      </c>
      <c r="R15" s="87">
        <f>Tabela273681012141619[[#This Row],[Nº]]</f>
        <v>11</v>
      </c>
      <c r="S15" s="41"/>
      <c r="T15" s="42"/>
      <c r="U15" s="28" t="e">
        <f t="shared" si="4"/>
        <v>#DIV/0!</v>
      </c>
      <c r="V15" s="39"/>
      <c r="W15" s="40"/>
      <c r="X15" s="29" t="e">
        <f t="shared" si="5"/>
        <v>#DIV/0!</v>
      </c>
      <c r="Y15" s="87">
        <f>Tabela273681012141619[[#This Row],[Nº]]</f>
        <v>11</v>
      </c>
      <c r="Z15" s="41"/>
      <c r="AA15" s="42"/>
      <c r="AB15" s="28" t="e">
        <f t="shared" si="6"/>
        <v>#DIV/0!</v>
      </c>
      <c r="AC15" s="39"/>
      <c r="AD15" s="40"/>
      <c r="AE15" s="30" t="e">
        <f t="shared" si="7"/>
        <v>#DIV/0!</v>
      </c>
    </row>
    <row r="16" spans="1:31" ht="15">
      <c r="A16" s="72">
        <v>12</v>
      </c>
      <c r="B16" s="60" t="str">
        <f>IF('3A-A'!B14&lt;&gt;0,'3A-A'!B14,"")</f>
        <v/>
      </c>
      <c r="C16" s="61" t="str">
        <f>IF('3A-A'!C14&lt;&gt;0,'3A-A'!C14,"")</f>
        <v/>
      </c>
      <c r="D16" s="62" t="str">
        <f>IF('3A-A'!D14&lt;&gt;0,'3A-A'!D14,"")</f>
        <v/>
      </c>
      <c r="E16" s="43"/>
      <c r="F16" s="42"/>
      <c r="G16" s="28" t="e">
        <f t="shared" si="0"/>
        <v>#DIV/0!</v>
      </c>
      <c r="H16" s="39"/>
      <c r="I16" s="40"/>
      <c r="J16" s="29" t="e">
        <f t="shared" si="1"/>
        <v>#DIV/0!</v>
      </c>
      <c r="K16" s="87">
        <f>Tabela273681012141619[[#This Row],[Nº]]</f>
        <v>12</v>
      </c>
      <c r="L16" s="41"/>
      <c r="M16" s="42"/>
      <c r="N16" s="28" t="e">
        <f t="shared" si="2"/>
        <v>#DIV/0!</v>
      </c>
      <c r="O16" s="39"/>
      <c r="P16" s="40"/>
      <c r="Q16" s="29" t="e">
        <f t="shared" si="3"/>
        <v>#DIV/0!</v>
      </c>
      <c r="R16" s="87">
        <f>Tabela273681012141619[[#This Row],[Nº]]</f>
        <v>12</v>
      </c>
      <c r="S16" s="41"/>
      <c r="T16" s="42"/>
      <c r="U16" s="28" t="e">
        <f t="shared" si="4"/>
        <v>#DIV/0!</v>
      </c>
      <c r="V16" s="39"/>
      <c r="W16" s="40"/>
      <c r="X16" s="29" t="e">
        <f t="shared" si="5"/>
        <v>#DIV/0!</v>
      </c>
      <c r="Y16" s="87">
        <f>Tabela273681012141619[[#This Row],[Nº]]</f>
        <v>12</v>
      </c>
      <c r="Z16" s="41"/>
      <c r="AA16" s="42"/>
      <c r="AB16" s="28" t="e">
        <f t="shared" si="6"/>
        <v>#DIV/0!</v>
      </c>
      <c r="AC16" s="39"/>
      <c r="AD16" s="40"/>
      <c r="AE16" s="30" t="e">
        <f t="shared" si="7"/>
        <v>#DIV/0!</v>
      </c>
    </row>
    <row r="17" spans="1:31" ht="15">
      <c r="A17" s="72">
        <v>13</v>
      </c>
      <c r="B17" s="60" t="str">
        <f>IF('3A-A'!B15&lt;&gt;0,'3A-A'!B15,"")</f>
        <v/>
      </c>
      <c r="C17" s="61" t="str">
        <f>IF('3A-A'!C15&lt;&gt;0,'3A-A'!C15,"")</f>
        <v/>
      </c>
      <c r="D17" s="62" t="str">
        <f>IF('3A-A'!D15&lt;&gt;0,'3A-A'!D15,"")</f>
        <v/>
      </c>
      <c r="E17" s="43"/>
      <c r="F17" s="42"/>
      <c r="G17" s="28" t="e">
        <f t="shared" si="0"/>
        <v>#DIV/0!</v>
      </c>
      <c r="H17" s="39"/>
      <c r="I17" s="40"/>
      <c r="J17" s="29" t="e">
        <f t="shared" si="1"/>
        <v>#DIV/0!</v>
      </c>
      <c r="K17" s="87">
        <f>Tabela273681012141619[[#This Row],[Nº]]</f>
        <v>13</v>
      </c>
      <c r="L17" s="41"/>
      <c r="M17" s="42"/>
      <c r="N17" s="28" t="e">
        <f t="shared" si="2"/>
        <v>#DIV/0!</v>
      </c>
      <c r="O17" s="39"/>
      <c r="P17" s="40"/>
      <c r="Q17" s="29" t="e">
        <f t="shared" si="3"/>
        <v>#DIV/0!</v>
      </c>
      <c r="R17" s="87">
        <f>Tabela273681012141619[[#This Row],[Nº]]</f>
        <v>13</v>
      </c>
      <c r="S17" s="41"/>
      <c r="T17" s="42"/>
      <c r="U17" s="28" t="e">
        <f t="shared" si="4"/>
        <v>#DIV/0!</v>
      </c>
      <c r="V17" s="39"/>
      <c r="W17" s="40"/>
      <c r="X17" s="29" t="e">
        <f t="shared" si="5"/>
        <v>#DIV/0!</v>
      </c>
      <c r="Y17" s="87">
        <f>Tabela273681012141619[[#This Row],[Nº]]</f>
        <v>13</v>
      </c>
      <c r="Z17" s="41"/>
      <c r="AA17" s="42"/>
      <c r="AB17" s="28" t="e">
        <f t="shared" si="6"/>
        <v>#DIV/0!</v>
      </c>
      <c r="AC17" s="39"/>
      <c r="AD17" s="40"/>
      <c r="AE17" s="30" t="e">
        <f t="shared" si="7"/>
        <v>#DIV/0!</v>
      </c>
    </row>
    <row r="18" spans="1:31" ht="15">
      <c r="A18" s="72">
        <v>14</v>
      </c>
      <c r="B18" s="60" t="str">
        <f>IF('3A-A'!B16&lt;&gt;0,'3A-A'!B16,"")</f>
        <v/>
      </c>
      <c r="C18" s="61" t="str">
        <f>IF('3A-A'!C16&lt;&gt;0,'3A-A'!C16,"")</f>
        <v/>
      </c>
      <c r="D18" s="62" t="str">
        <f>IF('3A-A'!D16&lt;&gt;0,'3A-A'!D16,"")</f>
        <v/>
      </c>
      <c r="E18" s="43"/>
      <c r="F18" s="42"/>
      <c r="G18" s="28" t="e">
        <f t="shared" si="0"/>
        <v>#DIV/0!</v>
      </c>
      <c r="H18" s="39"/>
      <c r="I18" s="40"/>
      <c r="J18" s="29" t="e">
        <f t="shared" si="1"/>
        <v>#DIV/0!</v>
      </c>
      <c r="K18" s="87">
        <f>Tabela273681012141619[[#This Row],[Nº]]</f>
        <v>14</v>
      </c>
      <c r="L18" s="41"/>
      <c r="M18" s="42"/>
      <c r="N18" s="28" t="e">
        <f t="shared" si="2"/>
        <v>#DIV/0!</v>
      </c>
      <c r="O18" s="39"/>
      <c r="P18" s="40"/>
      <c r="Q18" s="29" t="e">
        <f t="shared" si="3"/>
        <v>#DIV/0!</v>
      </c>
      <c r="R18" s="87">
        <f>Tabela273681012141619[[#This Row],[Nº]]</f>
        <v>14</v>
      </c>
      <c r="S18" s="41"/>
      <c r="T18" s="42"/>
      <c r="U18" s="28" t="e">
        <f t="shared" si="4"/>
        <v>#DIV/0!</v>
      </c>
      <c r="V18" s="39"/>
      <c r="W18" s="40"/>
      <c r="X18" s="29" t="e">
        <f t="shared" si="5"/>
        <v>#DIV/0!</v>
      </c>
      <c r="Y18" s="87">
        <f>Tabela273681012141619[[#This Row],[Nº]]</f>
        <v>14</v>
      </c>
      <c r="Z18" s="41"/>
      <c r="AA18" s="42"/>
      <c r="AB18" s="28" t="e">
        <f t="shared" si="6"/>
        <v>#DIV/0!</v>
      </c>
      <c r="AC18" s="39"/>
      <c r="AD18" s="40"/>
      <c r="AE18" s="30" t="e">
        <f t="shared" si="7"/>
        <v>#DIV/0!</v>
      </c>
    </row>
    <row r="19" spans="1:31" ht="15">
      <c r="A19" s="72">
        <v>15</v>
      </c>
      <c r="B19" s="60" t="str">
        <f>IF('3A-A'!B17&lt;&gt;0,'3A-A'!B17,"")</f>
        <v/>
      </c>
      <c r="C19" s="61" t="str">
        <f>IF('3A-A'!C17&lt;&gt;0,'3A-A'!C17,"")</f>
        <v/>
      </c>
      <c r="D19" s="62" t="str">
        <f>IF('3A-A'!D17&lt;&gt;0,'3A-A'!D17,"")</f>
        <v/>
      </c>
      <c r="E19" s="43"/>
      <c r="F19" s="42"/>
      <c r="G19" s="28" t="e">
        <f t="shared" si="0"/>
        <v>#DIV/0!</v>
      </c>
      <c r="H19" s="39"/>
      <c r="I19" s="40"/>
      <c r="J19" s="29" t="e">
        <f t="shared" si="1"/>
        <v>#DIV/0!</v>
      </c>
      <c r="K19" s="87">
        <f>Tabela273681012141619[[#This Row],[Nº]]</f>
        <v>15</v>
      </c>
      <c r="L19" s="41"/>
      <c r="M19" s="42"/>
      <c r="N19" s="28" t="e">
        <f t="shared" si="2"/>
        <v>#DIV/0!</v>
      </c>
      <c r="O19" s="39"/>
      <c r="P19" s="40"/>
      <c r="Q19" s="29" t="e">
        <f t="shared" si="3"/>
        <v>#DIV/0!</v>
      </c>
      <c r="R19" s="87">
        <f>Tabela273681012141619[[#This Row],[Nº]]</f>
        <v>15</v>
      </c>
      <c r="S19" s="41"/>
      <c r="T19" s="42"/>
      <c r="U19" s="28" t="e">
        <f t="shared" si="4"/>
        <v>#DIV/0!</v>
      </c>
      <c r="V19" s="39"/>
      <c r="W19" s="40"/>
      <c r="X19" s="29" t="e">
        <f t="shared" si="5"/>
        <v>#DIV/0!</v>
      </c>
      <c r="Y19" s="87">
        <f>Tabela273681012141619[[#This Row],[Nº]]</f>
        <v>15</v>
      </c>
      <c r="Z19" s="41"/>
      <c r="AA19" s="42"/>
      <c r="AB19" s="28" t="e">
        <f t="shared" si="6"/>
        <v>#DIV/0!</v>
      </c>
      <c r="AC19" s="39"/>
      <c r="AD19" s="40"/>
      <c r="AE19" s="30" t="e">
        <f t="shared" si="7"/>
        <v>#DIV/0!</v>
      </c>
    </row>
    <row r="20" spans="1:31" ht="15">
      <c r="A20" s="72">
        <v>16</v>
      </c>
      <c r="B20" s="60" t="str">
        <f>IF('3A-A'!B18&lt;&gt;0,'3A-A'!B18,"")</f>
        <v/>
      </c>
      <c r="C20" s="61" t="str">
        <f>IF('3A-A'!C18&lt;&gt;0,'3A-A'!C18,"")</f>
        <v/>
      </c>
      <c r="D20" s="62" t="str">
        <f>IF('3A-A'!D18&lt;&gt;0,'3A-A'!D18,"")</f>
        <v/>
      </c>
      <c r="E20" s="43"/>
      <c r="F20" s="42"/>
      <c r="G20" s="28" t="e">
        <f t="shared" si="0"/>
        <v>#DIV/0!</v>
      </c>
      <c r="H20" s="39"/>
      <c r="I20" s="40"/>
      <c r="J20" s="29" t="e">
        <f t="shared" si="1"/>
        <v>#DIV/0!</v>
      </c>
      <c r="K20" s="87">
        <f>Tabela273681012141619[[#This Row],[Nº]]</f>
        <v>16</v>
      </c>
      <c r="L20" s="41"/>
      <c r="M20" s="42"/>
      <c r="N20" s="28" t="e">
        <f t="shared" si="2"/>
        <v>#DIV/0!</v>
      </c>
      <c r="O20" s="39"/>
      <c r="P20" s="40"/>
      <c r="Q20" s="29" t="e">
        <f t="shared" si="3"/>
        <v>#DIV/0!</v>
      </c>
      <c r="R20" s="87">
        <f>Tabela273681012141619[[#This Row],[Nº]]</f>
        <v>16</v>
      </c>
      <c r="S20" s="41"/>
      <c r="T20" s="42"/>
      <c r="U20" s="28" t="e">
        <f t="shared" si="4"/>
        <v>#DIV/0!</v>
      </c>
      <c r="V20" s="39"/>
      <c r="W20" s="40"/>
      <c r="X20" s="29" t="e">
        <f t="shared" si="5"/>
        <v>#DIV/0!</v>
      </c>
      <c r="Y20" s="87">
        <f>Tabela273681012141619[[#This Row],[Nº]]</f>
        <v>16</v>
      </c>
      <c r="Z20" s="41"/>
      <c r="AA20" s="42"/>
      <c r="AB20" s="28" t="e">
        <f t="shared" si="6"/>
        <v>#DIV/0!</v>
      </c>
      <c r="AC20" s="39"/>
      <c r="AD20" s="40"/>
      <c r="AE20" s="30" t="e">
        <f t="shared" si="7"/>
        <v>#DIV/0!</v>
      </c>
    </row>
    <row r="21" spans="1:31" ht="15">
      <c r="A21" s="72">
        <v>17</v>
      </c>
      <c r="B21" s="60" t="str">
        <f>IF('3A-A'!B19&lt;&gt;0,'3A-A'!B19,"")</f>
        <v/>
      </c>
      <c r="C21" s="61" t="str">
        <f>IF('3A-A'!C19&lt;&gt;0,'3A-A'!C19,"")</f>
        <v/>
      </c>
      <c r="D21" s="62" t="str">
        <f>IF('3A-A'!D19&lt;&gt;0,'3A-A'!D19,"")</f>
        <v/>
      </c>
      <c r="E21" s="43"/>
      <c r="F21" s="42"/>
      <c r="G21" s="28" t="e">
        <f t="shared" si="0"/>
        <v>#DIV/0!</v>
      </c>
      <c r="H21" s="39"/>
      <c r="I21" s="40"/>
      <c r="J21" s="29" t="e">
        <f t="shared" si="1"/>
        <v>#DIV/0!</v>
      </c>
      <c r="K21" s="87">
        <f>Tabela273681012141619[[#This Row],[Nº]]</f>
        <v>17</v>
      </c>
      <c r="L21" s="41"/>
      <c r="M21" s="42"/>
      <c r="N21" s="28" t="e">
        <f t="shared" si="2"/>
        <v>#DIV/0!</v>
      </c>
      <c r="O21" s="39"/>
      <c r="P21" s="40"/>
      <c r="Q21" s="29" t="e">
        <f t="shared" si="3"/>
        <v>#DIV/0!</v>
      </c>
      <c r="R21" s="87">
        <f>Tabela273681012141619[[#This Row],[Nº]]</f>
        <v>17</v>
      </c>
      <c r="S21" s="41"/>
      <c r="T21" s="42"/>
      <c r="U21" s="28" t="e">
        <f t="shared" si="4"/>
        <v>#DIV/0!</v>
      </c>
      <c r="V21" s="39"/>
      <c r="W21" s="40"/>
      <c r="X21" s="29" t="e">
        <f t="shared" si="5"/>
        <v>#DIV/0!</v>
      </c>
      <c r="Y21" s="87">
        <f>Tabela273681012141619[[#This Row],[Nº]]</f>
        <v>17</v>
      </c>
      <c r="Z21" s="41"/>
      <c r="AA21" s="42"/>
      <c r="AB21" s="28" t="e">
        <f t="shared" si="6"/>
        <v>#DIV/0!</v>
      </c>
      <c r="AC21" s="39"/>
      <c r="AD21" s="40"/>
      <c r="AE21" s="30" t="e">
        <f t="shared" si="7"/>
        <v>#DIV/0!</v>
      </c>
    </row>
    <row r="22" spans="1:31" ht="15">
      <c r="A22" s="72">
        <v>18</v>
      </c>
      <c r="B22" s="60" t="str">
        <f>IF('3A-A'!B20&lt;&gt;0,'3A-A'!B20,"")</f>
        <v/>
      </c>
      <c r="C22" s="61" t="str">
        <f>IF('3A-A'!C20&lt;&gt;0,'3A-A'!C20,"")</f>
        <v/>
      </c>
      <c r="D22" s="62" t="str">
        <f>IF('3A-A'!D20&lt;&gt;0,'3A-A'!D20,"")</f>
        <v/>
      </c>
      <c r="E22" s="43"/>
      <c r="F22" s="42"/>
      <c r="G22" s="28" t="e">
        <f t="shared" si="0"/>
        <v>#DIV/0!</v>
      </c>
      <c r="H22" s="39"/>
      <c r="I22" s="40"/>
      <c r="J22" s="29" t="e">
        <f t="shared" si="1"/>
        <v>#DIV/0!</v>
      </c>
      <c r="K22" s="87">
        <f>Tabela273681012141619[[#This Row],[Nº]]</f>
        <v>18</v>
      </c>
      <c r="L22" s="41"/>
      <c r="M22" s="42"/>
      <c r="N22" s="28" t="e">
        <f t="shared" si="2"/>
        <v>#DIV/0!</v>
      </c>
      <c r="O22" s="39"/>
      <c r="P22" s="40"/>
      <c r="Q22" s="29" t="e">
        <f t="shared" si="3"/>
        <v>#DIV/0!</v>
      </c>
      <c r="R22" s="87">
        <f>Tabela273681012141619[[#This Row],[Nº]]</f>
        <v>18</v>
      </c>
      <c r="S22" s="41"/>
      <c r="T22" s="42"/>
      <c r="U22" s="28" t="e">
        <f t="shared" si="4"/>
        <v>#DIV/0!</v>
      </c>
      <c r="V22" s="39"/>
      <c r="W22" s="40"/>
      <c r="X22" s="29" t="e">
        <f t="shared" si="5"/>
        <v>#DIV/0!</v>
      </c>
      <c r="Y22" s="87">
        <f>Tabela273681012141619[[#This Row],[Nº]]</f>
        <v>18</v>
      </c>
      <c r="Z22" s="41"/>
      <c r="AA22" s="42"/>
      <c r="AB22" s="28" t="e">
        <f t="shared" si="6"/>
        <v>#DIV/0!</v>
      </c>
      <c r="AC22" s="39"/>
      <c r="AD22" s="40"/>
      <c r="AE22" s="30" t="e">
        <f t="shared" si="7"/>
        <v>#DIV/0!</v>
      </c>
    </row>
    <row r="23" spans="1:31" ht="15">
      <c r="A23" s="72">
        <v>19</v>
      </c>
      <c r="B23" s="60" t="str">
        <f>IF('3A-A'!B21&lt;&gt;0,'3A-A'!B21,"")</f>
        <v/>
      </c>
      <c r="C23" s="61" t="str">
        <f>IF('3A-A'!C21&lt;&gt;0,'3A-A'!C21,"")</f>
        <v/>
      </c>
      <c r="D23" s="62" t="str">
        <f>IF('3A-A'!D21&lt;&gt;0,'3A-A'!D21,"")</f>
        <v/>
      </c>
      <c r="E23" s="43"/>
      <c r="F23" s="42"/>
      <c r="G23" s="28" t="e">
        <f t="shared" si="0"/>
        <v>#DIV/0!</v>
      </c>
      <c r="H23" s="39"/>
      <c r="I23" s="40"/>
      <c r="J23" s="29" t="e">
        <f t="shared" si="1"/>
        <v>#DIV/0!</v>
      </c>
      <c r="K23" s="87">
        <f>Tabela273681012141619[[#This Row],[Nº]]</f>
        <v>19</v>
      </c>
      <c r="L23" s="41"/>
      <c r="M23" s="42"/>
      <c r="N23" s="28" t="e">
        <f t="shared" si="2"/>
        <v>#DIV/0!</v>
      </c>
      <c r="O23" s="39"/>
      <c r="P23" s="40"/>
      <c r="Q23" s="29" t="e">
        <f t="shared" si="3"/>
        <v>#DIV/0!</v>
      </c>
      <c r="R23" s="87">
        <f>Tabela273681012141619[[#This Row],[Nº]]</f>
        <v>19</v>
      </c>
      <c r="S23" s="41"/>
      <c r="T23" s="42"/>
      <c r="U23" s="28" t="e">
        <f t="shared" si="4"/>
        <v>#DIV/0!</v>
      </c>
      <c r="V23" s="39"/>
      <c r="W23" s="40"/>
      <c r="X23" s="29" t="e">
        <f t="shared" si="5"/>
        <v>#DIV/0!</v>
      </c>
      <c r="Y23" s="87">
        <f>Tabela273681012141619[[#This Row],[Nº]]</f>
        <v>19</v>
      </c>
      <c r="Z23" s="41"/>
      <c r="AA23" s="42"/>
      <c r="AB23" s="28" t="e">
        <f t="shared" si="6"/>
        <v>#DIV/0!</v>
      </c>
      <c r="AC23" s="39"/>
      <c r="AD23" s="40"/>
      <c r="AE23" s="30" t="e">
        <f t="shared" si="7"/>
        <v>#DIV/0!</v>
      </c>
    </row>
    <row r="24" spans="1:31" ht="15">
      <c r="A24" s="72">
        <v>20</v>
      </c>
      <c r="B24" s="60" t="str">
        <f>IF('3A-A'!B22&lt;&gt;0,'3A-A'!B22,"")</f>
        <v/>
      </c>
      <c r="C24" s="61" t="str">
        <f>IF('3A-A'!C22&lt;&gt;0,'3A-A'!C22,"")</f>
        <v/>
      </c>
      <c r="D24" s="62" t="str">
        <f>IF('3A-A'!D22&lt;&gt;0,'3A-A'!D22,"")</f>
        <v/>
      </c>
      <c r="E24" s="43"/>
      <c r="F24" s="42"/>
      <c r="G24" s="28" t="e">
        <f t="shared" si="0"/>
        <v>#DIV/0!</v>
      </c>
      <c r="H24" s="39"/>
      <c r="I24" s="40"/>
      <c r="J24" s="29" t="e">
        <f t="shared" si="1"/>
        <v>#DIV/0!</v>
      </c>
      <c r="K24" s="87">
        <f>Tabela273681012141619[[#This Row],[Nº]]</f>
        <v>20</v>
      </c>
      <c r="L24" s="41"/>
      <c r="M24" s="42"/>
      <c r="N24" s="28" t="e">
        <f t="shared" si="2"/>
        <v>#DIV/0!</v>
      </c>
      <c r="O24" s="39"/>
      <c r="P24" s="40"/>
      <c r="Q24" s="29" t="e">
        <f t="shared" si="3"/>
        <v>#DIV/0!</v>
      </c>
      <c r="R24" s="87">
        <f>Tabela273681012141619[[#This Row],[Nº]]</f>
        <v>20</v>
      </c>
      <c r="S24" s="41"/>
      <c r="T24" s="42"/>
      <c r="U24" s="28" t="e">
        <f t="shared" si="4"/>
        <v>#DIV/0!</v>
      </c>
      <c r="V24" s="39"/>
      <c r="W24" s="40"/>
      <c r="X24" s="29" t="e">
        <f t="shared" si="5"/>
        <v>#DIV/0!</v>
      </c>
      <c r="Y24" s="87">
        <f>Tabela273681012141619[[#This Row],[Nº]]</f>
        <v>20</v>
      </c>
      <c r="Z24" s="41"/>
      <c r="AA24" s="42"/>
      <c r="AB24" s="28" t="e">
        <f t="shared" si="6"/>
        <v>#DIV/0!</v>
      </c>
      <c r="AC24" s="39"/>
      <c r="AD24" s="40"/>
      <c r="AE24" s="30" t="e">
        <f t="shared" si="7"/>
        <v>#DIV/0!</v>
      </c>
    </row>
    <row r="25" spans="1:31" ht="15">
      <c r="A25" s="72">
        <v>21</v>
      </c>
      <c r="B25" s="60" t="str">
        <f>IF('3A-A'!B23&lt;&gt;0,'3A-A'!B23,"")</f>
        <v/>
      </c>
      <c r="C25" s="61" t="str">
        <f>IF('3A-A'!C23&lt;&gt;0,'3A-A'!C23,"")</f>
        <v/>
      </c>
      <c r="D25" s="62" t="str">
        <f>IF('3A-A'!D23&lt;&gt;0,'3A-A'!D23,"")</f>
        <v/>
      </c>
      <c r="E25" s="43"/>
      <c r="F25" s="42"/>
      <c r="G25" s="28" t="e">
        <f t="shared" si="0"/>
        <v>#DIV/0!</v>
      </c>
      <c r="H25" s="39"/>
      <c r="I25" s="40"/>
      <c r="J25" s="29" t="e">
        <f t="shared" si="1"/>
        <v>#DIV/0!</v>
      </c>
      <c r="K25" s="87">
        <f>Tabela273681012141619[[#This Row],[Nº]]</f>
        <v>21</v>
      </c>
      <c r="L25" s="41"/>
      <c r="M25" s="42"/>
      <c r="N25" s="28" t="e">
        <f t="shared" si="2"/>
        <v>#DIV/0!</v>
      </c>
      <c r="O25" s="39"/>
      <c r="P25" s="40"/>
      <c r="Q25" s="29" t="e">
        <f t="shared" si="3"/>
        <v>#DIV/0!</v>
      </c>
      <c r="R25" s="87">
        <f>Tabela273681012141619[[#This Row],[Nº]]</f>
        <v>21</v>
      </c>
      <c r="S25" s="41"/>
      <c r="T25" s="42"/>
      <c r="U25" s="28" t="e">
        <f t="shared" si="4"/>
        <v>#DIV/0!</v>
      </c>
      <c r="V25" s="39"/>
      <c r="W25" s="40"/>
      <c r="X25" s="29" t="e">
        <f t="shared" si="5"/>
        <v>#DIV/0!</v>
      </c>
      <c r="Y25" s="87">
        <f>Tabela273681012141619[[#This Row],[Nº]]</f>
        <v>21</v>
      </c>
      <c r="Z25" s="41"/>
      <c r="AA25" s="42"/>
      <c r="AB25" s="28" t="e">
        <f t="shared" si="6"/>
        <v>#DIV/0!</v>
      </c>
      <c r="AC25" s="39"/>
      <c r="AD25" s="40"/>
      <c r="AE25" s="30" t="e">
        <f t="shared" si="7"/>
        <v>#DIV/0!</v>
      </c>
    </row>
    <row r="26" spans="1:31" ht="15">
      <c r="A26" s="72">
        <v>22</v>
      </c>
      <c r="B26" s="60" t="str">
        <f>IF('3A-A'!B24&lt;&gt;0,'3A-A'!B24,"")</f>
        <v/>
      </c>
      <c r="C26" s="61" t="str">
        <f>IF('3A-A'!C24&lt;&gt;0,'3A-A'!C24,"")</f>
        <v/>
      </c>
      <c r="D26" s="62" t="str">
        <f>IF('3A-A'!D24&lt;&gt;0,'3A-A'!D24,"")</f>
        <v/>
      </c>
      <c r="E26" s="43"/>
      <c r="F26" s="42"/>
      <c r="G26" s="28" t="e">
        <f t="shared" si="0"/>
        <v>#DIV/0!</v>
      </c>
      <c r="H26" s="39"/>
      <c r="I26" s="40"/>
      <c r="J26" s="29" t="e">
        <f t="shared" si="1"/>
        <v>#DIV/0!</v>
      </c>
      <c r="K26" s="87">
        <f>Tabela273681012141619[[#This Row],[Nº]]</f>
        <v>22</v>
      </c>
      <c r="L26" s="41"/>
      <c r="M26" s="42"/>
      <c r="N26" s="28" t="e">
        <f t="shared" si="2"/>
        <v>#DIV/0!</v>
      </c>
      <c r="O26" s="39"/>
      <c r="P26" s="40"/>
      <c r="Q26" s="29" t="e">
        <f t="shared" si="3"/>
        <v>#DIV/0!</v>
      </c>
      <c r="R26" s="87">
        <f>Tabela273681012141619[[#This Row],[Nº]]</f>
        <v>22</v>
      </c>
      <c r="S26" s="41"/>
      <c r="T26" s="42"/>
      <c r="U26" s="28" t="e">
        <f t="shared" si="4"/>
        <v>#DIV/0!</v>
      </c>
      <c r="V26" s="39"/>
      <c r="W26" s="40"/>
      <c r="X26" s="29" t="e">
        <f t="shared" si="5"/>
        <v>#DIV/0!</v>
      </c>
      <c r="Y26" s="87">
        <f>Tabela273681012141619[[#This Row],[Nº]]</f>
        <v>22</v>
      </c>
      <c r="Z26" s="41"/>
      <c r="AA26" s="42"/>
      <c r="AB26" s="28" t="e">
        <f t="shared" si="6"/>
        <v>#DIV/0!</v>
      </c>
      <c r="AC26" s="39"/>
      <c r="AD26" s="40"/>
      <c r="AE26" s="30" t="e">
        <f t="shared" si="7"/>
        <v>#DIV/0!</v>
      </c>
    </row>
    <row r="27" spans="1:31" ht="15">
      <c r="A27" s="72">
        <v>23</v>
      </c>
      <c r="B27" s="60" t="str">
        <f>IF('3A-A'!B25&lt;&gt;0,'3A-A'!B25,"")</f>
        <v/>
      </c>
      <c r="C27" s="61" t="str">
        <f>IF('3A-A'!C25&lt;&gt;0,'3A-A'!C25,"")</f>
        <v/>
      </c>
      <c r="D27" s="62" t="str">
        <f>IF('3A-A'!D25&lt;&gt;0,'3A-A'!D25,"")</f>
        <v/>
      </c>
      <c r="E27" s="43"/>
      <c r="F27" s="42"/>
      <c r="G27" s="28" t="e">
        <f t="shared" si="0"/>
        <v>#DIV/0!</v>
      </c>
      <c r="H27" s="39"/>
      <c r="I27" s="40"/>
      <c r="J27" s="29" t="e">
        <f t="shared" si="1"/>
        <v>#DIV/0!</v>
      </c>
      <c r="K27" s="87">
        <f>Tabela273681012141619[[#This Row],[Nº]]</f>
        <v>23</v>
      </c>
      <c r="L27" s="41"/>
      <c r="M27" s="42"/>
      <c r="N27" s="28" t="e">
        <f t="shared" si="2"/>
        <v>#DIV/0!</v>
      </c>
      <c r="O27" s="39"/>
      <c r="P27" s="40"/>
      <c r="Q27" s="29" t="e">
        <f t="shared" si="3"/>
        <v>#DIV/0!</v>
      </c>
      <c r="R27" s="87">
        <f>Tabela273681012141619[[#This Row],[Nº]]</f>
        <v>23</v>
      </c>
      <c r="S27" s="41"/>
      <c r="T27" s="42"/>
      <c r="U27" s="28" t="e">
        <f t="shared" si="4"/>
        <v>#DIV/0!</v>
      </c>
      <c r="V27" s="39"/>
      <c r="W27" s="40"/>
      <c r="X27" s="29" t="e">
        <f t="shared" si="5"/>
        <v>#DIV/0!</v>
      </c>
      <c r="Y27" s="87">
        <f>Tabela273681012141619[[#This Row],[Nº]]</f>
        <v>23</v>
      </c>
      <c r="Z27" s="41"/>
      <c r="AA27" s="42"/>
      <c r="AB27" s="28" t="e">
        <f t="shared" si="6"/>
        <v>#DIV/0!</v>
      </c>
      <c r="AC27" s="39"/>
      <c r="AD27" s="40"/>
      <c r="AE27" s="30" t="e">
        <f t="shared" si="7"/>
        <v>#DIV/0!</v>
      </c>
    </row>
    <row r="28" spans="1:31" ht="15">
      <c r="A28" s="72">
        <v>24</v>
      </c>
      <c r="B28" s="60" t="str">
        <f>IF('3A-A'!B26&lt;&gt;0,'3A-A'!B26,"")</f>
        <v/>
      </c>
      <c r="C28" s="61" t="str">
        <f>IF('3A-A'!C26&lt;&gt;0,'3A-A'!C26,"")</f>
        <v/>
      </c>
      <c r="D28" s="62" t="str">
        <f>IF('3A-A'!D26&lt;&gt;0,'3A-A'!D26,"")</f>
        <v/>
      </c>
      <c r="E28" s="43"/>
      <c r="F28" s="42"/>
      <c r="G28" s="28" t="e">
        <f t="shared" si="0"/>
        <v>#DIV/0!</v>
      </c>
      <c r="H28" s="39"/>
      <c r="I28" s="40"/>
      <c r="J28" s="29" t="e">
        <f t="shared" si="1"/>
        <v>#DIV/0!</v>
      </c>
      <c r="K28" s="87">
        <f>Tabela273681012141619[[#This Row],[Nº]]</f>
        <v>24</v>
      </c>
      <c r="L28" s="41"/>
      <c r="M28" s="42"/>
      <c r="N28" s="28" t="e">
        <f t="shared" si="2"/>
        <v>#DIV/0!</v>
      </c>
      <c r="O28" s="39"/>
      <c r="P28" s="40"/>
      <c r="Q28" s="29" t="e">
        <f t="shared" si="3"/>
        <v>#DIV/0!</v>
      </c>
      <c r="R28" s="87">
        <f>Tabela273681012141619[[#This Row],[Nº]]</f>
        <v>24</v>
      </c>
      <c r="S28" s="41"/>
      <c r="T28" s="42"/>
      <c r="U28" s="28" t="e">
        <f t="shared" si="4"/>
        <v>#DIV/0!</v>
      </c>
      <c r="V28" s="39"/>
      <c r="W28" s="40"/>
      <c r="X28" s="29" t="e">
        <f t="shared" si="5"/>
        <v>#DIV/0!</v>
      </c>
      <c r="Y28" s="87">
        <f>Tabela273681012141619[[#This Row],[Nº]]</f>
        <v>24</v>
      </c>
      <c r="Z28" s="41"/>
      <c r="AA28" s="42"/>
      <c r="AB28" s="28" t="e">
        <f t="shared" si="6"/>
        <v>#DIV/0!</v>
      </c>
      <c r="AC28" s="39"/>
      <c r="AD28" s="40"/>
      <c r="AE28" s="30" t="e">
        <f t="shared" si="7"/>
        <v>#DIV/0!</v>
      </c>
    </row>
    <row r="29" spans="1:31" ht="15">
      <c r="A29" s="72">
        <v>25</v>
      </c>
      <c r="B29" s="60" t="str">
        <f>IF('3A-A'!B27&lt;&gt;0,'3A-A'!B27,"")</f>
        <v/>
      </c>
      <c r="C29" s="61" t="str">
        <f>IF('3A-A'!C27&lt;&gt;0,'3A-A'!C27,"")</f>
        <v/>
      </c>
      <c r="D29" s="62" t="str">
        <f>IF('3A-A'!D27&lt;&gt;0,'3A-A'!D27,"")</f>
        <v/>
      </c>
      <c r="E29" s="43"/>
      <c r="F29" s="42"/>
      <c r="G29" s="28" t="e">
        <f t="shared" si="0"/>
        <v>#DIV/0!</v>
      </c>
      <c r="H29" s="39"/>
      <c r="I29" s="40"/>
      <c r="J29" s="29" t="e">
        <f t="shared" si="1"/>
        <v>#DIV/0!</v>
      </c>
      <c r="K29" s="87">
        <f>Tabela273681012141619[[#This Row],[Nº]]</f>
        <v>25</v>
      </c>
      <c r="L29" s="41"/>
      <c r="M29" s="42"/>
      <c r="N29" s="28" t="e">
        <f t="shared" si="2"/>
        <v>#DIV/0!</v>
      </c>
      <c r="O29" s="39"/>
      <c r="P29" s="40"/>
      <c r="Q29" s="29" t="e">
        <f t="shared" si="3"/>
        <v>#DIV/0!</v>
      </c>
      <c r="R29" s="87">
        <f>Tabela273681012141619[[#This Row],[Nº]]</f>
        <v>25</v>
      </c>
      <c r="S29" s="41"/>
      <c r="T29" s="42"/>
      <c r="U29" s="28" t="e">
        <f t="shared" si="4"/>
        <v>#DIV/0!</v>
      </c>
      <c r="V29" s="39"/>
      <c r="W29" s="40"/>
      <c r="X29" s="29" t="e">
        <f t="shared" si="5"/>
        <v>#DIV/0!</v>
      </c>
      <c r="Y29" s="87">
        <f>Tabela273681012141619[[#This Row],[Nº]]</f>
        <v>25</v>
      </c>
      <c r="Z29" s="41"/>
      <c r="AA29" s="42"/>
      <c r="AB29" s="28" t="e">
        <f t="shared" si="6"/>
        <v>#DIV/0!</v>
      </c>
      <c r="AC29" s="39"/>
      <c r="AD29" s="40"/>
      <c r="AE29" s="30" t="e">
        <f t="shared" si="7"/>
        <v>#DIV/0!</v>
      </c>
    </row>
  </sheetData>
  <sheetProtection algorithmName="SHA-512" hashValue="KKaPycnhJ3n9BPMAUVXzZhHGWGIl99XID+WybRMhI7wz4dSawbvvkn5PWdlKE66MeaN+KOOk+tetACEpKkV3ug==" saltValue="HgiimDwPToAHLIe+DZaoWA==" spinCount="100000" sheet="1" objects="1" scenarios="1" selectLockedCells="1"/>
  <mergeCells count="12">
    <mergeCell ref="Z3:AB3"/>
    <mergeCell ref="AC3:AE3"/>
    <mergeCell ref="A1:D3"/>
    <mergeCell ref="E1:AE1"/>
    <mergeCell ref="E2:Q2"/>
    <mergeCell ref="S2:AE2"/>
    <mergeCell ref="E3:G3"/>
    <mergeCell ref="H3:J3"/>
    <mergeCell ref="L3:N3"/>
    <mergeCell ref="O3:Q3"/>
    <mergeCell ref="S3:U3"/>
    <mergeCell ref="V3:X3"/>
  </mergeCells>
  <conditionalFormatting sqref="A5:D29">
    <cfRule type="expression" dxfId="180" priority="11">
      <formula>ROW()=CELL("LIN")</formula>
    </cfRule>
    <cfRule type="expression" dxfId="179" priority="12">
      <formula>IF($D5&lt;&gt;"",1,0)</formula>
    </cfRule>
  </conditionalFormatting>
  <conditionalFormatting sqref="G5:G29">
    <cfRule type="iconSet" priority="8">
      <iconSet iconSet="3Symbols">
        <cfvo type="percent" val="0"/>
        <cfvo type="num" val="0.75"/>
        <cfvo type="num" val="0.8"/>
      </iconSet>
    </cfRule>
  </conditionalFormatting>
  <conditionalFormatting sqref="J5:J29">
    <cfRule type="iconSet" priority="7">
      <iconSet iconSet="3Symbols">
        <cfvo type="percent" val="0"/>
        <cfvo type="num" val="0.75"/>
        <cfvo type="num" val="0.8"/>
      </iconSet>
    </cfRule>
  </conditionalFormatting>
  <conditionalFormatting sqref="N5:N29">
    <cfRule type="iconSet" priority="6">
      <iconSet iconSet="3Symbols">
        <cfvo type="percent" val="0"/>
        <cfvo type="num" val="0.75"/>
        <cfvo type="num" val="0.8"/>
      </iconSet>
    </cfRule>
  </conditionalFormatting>
  <conditionalFormatting sqref="Q5:Q29">
    <cfRule type="iconSet" priority="5">
      <iconSet iconSet="3Symbols">
        <cfvo type="percent" val="0"/>
        <cfvo type="num" val="0.75"/>
        <cfvo type="num" val="0.8"/>
      </iconSet>
    </cfRule>
  </conditionalFormatting>
  <conditionalFormatting sqref="U5:U29">
    <cfRule type="iconSet" priority="4">
      <iconSet iconSet="3Symbols">
        <cfvo type="percent" val="0"/>
        <cfvo type="num" val="0.75"/>
        <cfvo type="num" val="0.8"/>
      </iconSet>
    </cfRule>
  </conditionalFormatting>
  <conditionalFormatting sqref="X5:X29">
    <cfRule type="iconSet" priority="3">
      <iconSet iconSet="3Symbols">
        <cfvo type="percent" val="0"/>
        <cfvo type="num" val="0.75"/>
        <cfvo type="num" val="0.8"/>
      </iconSet>
    </cfRule>
  </conditionalFormatting>
  <conditionalFormatting sqref="AB5:AB29">
    <cfRule type="iconSet" priority="2">
      <iconSet iconSet="3Symbols">
        <cfvo type="percent" val="0"/>
        <cfvo type="num" val="0.75"/>
        <cfvo type="num" val="0.8"/>
      </iconSet>
    </cfRule>
  </conditionalFormatting>
  <conditionalFormatting sqref="AE5:AE29">
    <cfRule type="iconSet" priority="1">
      <iconSet iconSet="3Symbols">
        <cfvo type="percent" val="0"/>
        <cfvo type="num" val="0.75"/>
        <cfvo type="num" val="0.8"/>
      </iconSet>
    </cfRule>
  </conditionalFormatting>
  <conditionalFormatting sqref="E5:AE29">
    <cfRule type="expression" dxfId="178" priority="9">
      <formula>ROW()=CELL("LIN")</formula>
    </cfRule>
    <cfRule type="expression" dxfId="177" priority="10">
      <formula>IF($D5&lt;&gt;"",1,0)</formula>
    </cfRule>
  </conditionalFormatting>
  <pageMargins left="0.511811024" right="0.511811024" top="0.78740157499999996" bottom="0.78740157499999996" header="0.31496062000000002" footer="0.31496062000000002"/>
  <pageSetup paperSize="9" scale="54" orientation="landscape" r:id="rId1"/>
  <colBreaks count="2" manualBreakCount="2">
    <brk id="10" max="1048575" man="1"/>
    <brk id="24" max="1048575" man="1"/>
  </colBreaks>
  <drawing r:id="rId2"/>
  <tableParts count="1">
    <tablePart r:id="rId3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5B8FD-AA0C-448F-998F-D3668A671164}">
  <sheetPr codeName="Plan25">
    <pageSetUpPr fitToPage="1"/>
  </sheetPr>
  <dimension ref="A1:K48"/>
  <sheetViews>
    <sheetView showGridLines="0" showRowColHeaders="0" view="pageBreakPreview" zoomScaleNormal="60" zoomScaleSheetLayoutView="100" zoomScalePageLayoutView="91" workbookViewId="0">
      <selection activeCell="B5" sqref="B5:K5"/>
    </sheetView>
  </sheetViews>
  <sheetFormatPr defaultColWidth="9.140625" defaultRowHeight="15"/>
  <cols>
    <col min="1" max="1" width="19.85546875" style="17" customWidth="1"/>
    <col min="2" max="16384" width="9.140625" style="17"/>
  </cols>
  <sheetData>
    <row r="1" spans="1:11" ht="15.75">
      <c r="A1" s="73" t="s">
        <v>69</v>
      </c>
      <c r="B1" s="92" t="str">
        <f>MENU!C2</f>
        <v>E.M.E.I.E.F. Ficticio</v>
      </c>
      <c r="C1" s="92"/>
      <c r="D1" s="92"/>
      <c r="E1" s="92"/>
      <c r="F1" s="92"/>
      <c r="G1" s="92"/>
      <c r="H1" s="92"/>
      <c r="I1" s="92"/>
      <c r="J1" s="92"/>
      <c r="K1" s="93"/>
    </row>
    <row r="2" spans="1:11" ht="15.75">
      <c r="A2" s="74" t="s">
        <v>71</v>
      </c>
      <c r="B2" s="156" t="s">
        <v>121</v>
      </c>
      <c r="C2" s="95"/>
      <c r="D2" s="95"/>
      <c r="E2" s="95"/>
      <c r="F2" s="95"/>
      <c r="G2" s="95"/>
      <c r="H2" s="95"/>
      <c r="I2" s="95"/>
      <c r="J2" s="95"/>
      <c r="K2" s="96"/>
    </row>
    <row r="3" spans="1:11" ht="15.75">
      <c r="A3" s="74" t="s">
        <v>70</v>
      </c>
      <c r="B3" s="94" t="s">
        <v>8</v>
      </c>
      <c r="C3" s="95"/>
      <c r="D3" s="95"/>
      <c r="E3" s="95"/>
      <c r="F3" s="95"/>
      <c r="G3" s="95"/>
      <c r="H3" s="95"/>
      <c r="I3" s="95"/>
      <c r="J3" s="95"/>
      <c r="K3" s="96"/>
    </row>
    <row r="4" spans="1:11" ht="15.75">
      <c r="A4" s="74" t="s">
        <v>5</v>
      </c>
      <c r="B4" s="94" t="s">
        <v>122</v>
      </c>
      <c r="C4" s="95"/>
      <c r="D4" s="95"/>
      <c r="E4" s="95"/>
      <c r="F4" s="95"/>
      <c r="G4" s="95"/>
      <c r="H4" s="95"/>
      <c r="I4" s="95"/>
      <c r="J4" s="95"/>
      <c r="K4" s="96"/>
    </row>
    <row r="5" spans="1:11" ht="15.75">
      <c r="A5" s="74" t="s">
        <v>73</v>
      </c>
      <c r="B5" s="95"/>
      <c r="C5" s="95"/>
      <c r="D5" s="95"/>
      <c r="E5" s="95"/>
      <c r="F5" s="95"/>
      <c r="G5" s="95"/>
      <c r="H5" s="95"/>
      <c r="I5" s="95"/>
      <c r="J5" s="95"/>
      <c r="K5" s="96"/>
    </row>
    <row r="6" spans="1:11" ht="15.75">
      <c r="A6" s="99" t="s">
        <v>74</v>
      </c>
      <c r="B6" s="100"/>
      <c r="C6" s="100"/>
      <c r="D6" s="95"/>
      <c r="E6" s="95"/>
      <c r="F6" s="95"/>
      <c r="G6" s="95"/>
      <c r="H6" s="95"/>
      <c r="I6" s="95"/>
      <c r="J6" s="95"/>
      <c r="K6" s="96"/>
    </row>
    <row r="7" spans="1:11" ht="16.5" thickBot="1">
      <c r="A7" s="75" t="s">
        <v>72</v>
      </c>
      <c r="B7" s="97">
        <f>MENU!D10</f>
        <v>2022</v>
      </c>
      <c r="C7" s="97"/>
      <c r="D7" s="97"/>
      <c r="E7" s="97"/>
      <c r="F7" s="97"/>
      <c r="G7" s="97"/>
      <c r="H7" s="97"/>
      <c r="I7" s="97"/>
      <c r="J7" s="97"/>
      <c r="K7" s="98"/>
    </row>
    <row r="8" spans="1:11" ht="15.75" thickBot="1"/>
    <row r="9" spans="1:11">
      <c r="A9" s="107" t="s">
        <v>77</v>
      </c>
      <c r="B9" s="108"/>
      <c r="C9" s="108"/>
      <c r="D9" s="108"/>
      <c r="E9" s="108"/>
      <c r="F9" s="108"/>
      <c r="G9" s="108"/>
      <c r="H9" s="108"/>
      <c r="I9" s="108"/>
      <c r="J9" s="108"/>
      <c r="K9" s="109"/>
    </row>
    <row r="10" spans="1:11" ht="15.75" thickBot="1">
      <c r="A10" s="110"/>
      <c r="B10" s="111"/>
      <c r="C10" s="111"/>
      <c r="D10" s="111"/>
      <c r="E10" s="111"/>
      <c r="F10" s="111"/>
      <c r="G10" s="111"/>
      <c r="H10" s="111"/>
      <c r="I10" s="111"/>
      <c r="J10" s="111"/>
      <c r="K10" s="112"/>
    </row>
    <row r="11" spans="1:11" ht="15.75">
      <c r="A11" s="79" t="s">
        <v>9</v>
      </c>
      <c r="B11" s="107" t="s">
        <v>78</v>
      </c>
      <c r="C11" s="108"/>
      <c r="D11" s="108"/>
      <c r="E11" s="109"/>
      <c r="F11" s="107" t="s">
        <v>79</v>
      </c>
      <c r="G11" s="109"/>
      <c r="H11" s="107" t="s">
        <v>80</v>
      </c>
      <c r="I11" s="109"/>
      <c r="J11" s="107" t="s">
        <v>99</v>
      </c>
      <c r="K11" s="109"/>
    </row>
    <row r="12" spans="1:11">
      <c r="A12" s="78">
        <f>IF('3A-B'!A3&lt;&gt;0,'3A-B'!A3,"")</f>
        <v>1</v>
      </c>
      <c r="B12" s="149" t="str">
        <f>IF('3A-B'!B3&lt;&gt;0,'3A-B'!B3,"")</f>
        <v/>
      </c>
      <c r="C12" s="150"/>
      <c r="D12" s="150"/>
      <c r="E12" s="151"/>
      <c r="F12" s="152" t="str">
        <f>IF('3A-B'!G3&lt;&gt;0,'3A-B'!G3,"")</f>
        <v/>
      </c>
      <c r="G12" s="153"/>
      <c r="H12" s="159" t="str">
        <f>IF('3A-B'!C3&lt;&gt;0,'3A-B'!C3,"")</f>
        <v/>
      </c>
      <c r="I12" s="160"/>
      <c r="J12" s="152" t="str">
        <f>IF('3A-B'!D3&lt;&gt;0,'3A-B'!D3,"")</f>
        <v/>
      </c>
      <c r="K12" s="155"/>
    </row>
    <row r="13" spans="1:11">
      <c r="A13" s="78">
        <f>IF('3A-B'!A4&lt;&gt;0,'3A-B'!A4,"")</f>
        <v>2</v>
      </c>
      <c r="B13" s="149" t="str">
        <f>IF('3A-B'!B4&lt;&gt;0,'3A-B'!B4,"")</f>
        <v/>
      </c>
      <c r="C13" s="150"/>
      <c r="D13" s="150"/>
      <c r="E13" s="151"/>
      <c r="F13" s="152" t="str">
        <f>IF('3A-B'!G4&lt;&gt;0,'3A-B'!G4,"")</f>
        <v/>
      </c>
      <c r="G13" s="153"/>
      <c r="H13" s="159" t="str">
        <f>IF('3A-B'!C4&lt;&gt;0,'3A-B'!C4,"")</f>
        <v/>
      </c>
      <c r="I13" s="160"/>
      <c r="J13" s="152" t="str">
        <f>IF('3A-B'!D4&lt;&gt;0,'3A-B'!D4,"")</f>
        <v/>
      </c>
      <c r="K13" s="155"/>
    </row>
    <row r="14" spans="1:11">
      <c r="A14" s="78">
        <f>IF('3A-B'!A5&lt;&gt;0,'3A-B'!A5,"")</f>
        <v>3</v>
      </c>
      <c r="B14" s="149" t="str">
        <f>IF('3A-B'!B5&lt;&gt;0,'3A-B'!B5,"")</f>
        <v/>
      </c>
      <c r="C14" s="150"/>
      <c r="D14" s="150"/>
      <c r="E14" s="151"/>
      <c r="F14" s="152" t="str">
        <f>IF('3A-B'!G5&lt;&gt;0,'3A-B'!G5,"")</f>
        <v/>
      </c>
      <c r="G14" s="153"/>
      <c r="H14" s="159" t="str">
        <f>IF('3A-B'!C5&lt;&gt;0,'3A-B'!C5,"")</f>
        <v/>
      </c>
      <c r="I14" s="160"/>
      <c r="J14" s="152" t="str">
        <f>IF('3A-B'!D5&lt;&gt;0,'3A-B'!D5,"")</f>
        <v/>
      </c>
      <c r="K14" s="155"/>
    </row>
    <row r="15" spans="1:11">
      <c r="A15" s="78">
        <f>IF('3A-B'!A6&lt;&gt;0,'3A-B'!A6,"")</f>
        <v>4</v>
      </c>
      <c r="B15" s="149" t="str">
        <f>IF('3A-B'!B6&lt;&gt;0,'3A-B'!B6,"")</f>
        <v/>
      </c>
      <c r="C15" s="150"/>
      <c r="D15" s="150"/>
      <c r="E15" s="151"/>
      <c r="F15" s="152" t="str">
        <f>IF('3A-B'!G6&lt;&gt;0,'3A-B'!G6,"")</f>
        <v/>
      </c>
      <c r="G15" s="153"/>
      <c r="H15" s="159" t="str">
        <f>IF('3A-B'!C6&lt;&gt;0,'3A-B'!C6,"")</f>
        <v/>
      </c>
      <c r="I15" s="160"/>
      <c r="J15" s="152" t="str">
        <f>IF('3A-B'!D6&lt;&gt;0,'3A-B'!D6,"")</f>
        <v/>
      </c>
      <c r="K15" s="155"/>
    </row>
    <row r="16" spans="1:11">
      <c r="A16" s="78">
        <f>IF('3A-B'!A7&lt;&gt;0,'3A-B'!A7,"")</f>
        <v>5</v>
      </c>
      <c r="B16" s="149" t="str">
        <f>IF('3A-B'!B7&lt;&gt;0,'3A-B'!B7,"")</f>
        <v/>
      </c>
      <c r="C16" s="150"/>
      <c r="D16" s="150"/>
      <c r="E16" s="151"/>
      <c r="F16" s="152" t="str">
        <f>IF('3A-B'!G7&lt;&gt;0,'3A-B'!G7,"")</f>
        <v/>
      </c>
      <c r="G16" s="153"/>
      <c r="H16" s="159" t="str">
        <f>IF('3A-B'!C7&lt;&gt;0,'3A-B'!C7,"")</f>
        <v/>
      </c>
      <c r="I16" s="160"/>
      <c r="J16" s="152" t="str">
        <f>IF('3A-B'!D7&lt;&gt;0,'3A-B'!D7,"")</f>
        <v/>
      </c>
      <c r="K16" s="155"/>
    </row>
    <row r="17" spans="1:11">
      <c r="A17" s="78">
        <f>IF('3A-B'!A8&lt;&gt;0,'3A-B'!A8,"")</f>
        <v>6</v>
      </c>
      <c r="B17" s="149" t="str">
        <f>IF('3A-B'!B8&lt;&gt;0,'3A-B'!B8,"")</f>
        <v/>
      </c>
      <c r="C17" s="150"/>
      <c r="D17" s="150"/>
      <c r="E17" s="151"/>
      <c r="F17" s="152" t="str">
        <f>IF('3A-B'!G8&lt;&gt;0,'3A-B'!G8,"")</f>
        <v/>
      </c>
      <c r="G17" s="153"/>
      <c r="H17" s="159" t="str">
        <f>IF('3A-B'!C8&lt;&gt;0,'3A-B'!C8,"")</f>
        <v/>
      </c>
      <c r="I17" s="160"/>
      <c r="J17" s="152" t="str">
        <f>IF('3A-B'!D8&lt;&gt;0,'3A-B'!D8,"")</f>
        <v/>
      </c>
      <c r="K17" s="155"/>
    </row>
    <row r="18" spans="1:11">
      <c r="A18" s="78">
        <f>IF('3A-B'!A9&lt;&gt;0,'3A-B'!A9,"")</f>
        <v>7</v>
      </c>
      <c r="B18" s="149" t="str">
        <f>IF('3A-B'!B9&lt;&gt;0,'3A-B'!B9,"")</f>
        <v/>
      </c>
      <c r="C18" s="150"/>
      <c r="D18" s="150"/>
      <c r="E18" s="151"/>
      <c r="F18" s="152" t="str">
        <f>IF('3A-B'!G9&lt;&gt;0,'3A-B'!G9,"")</f>
        <v/>
      </c>
      <c r="G18" s="153"/>
      <c r="H18" s="159" t="str">
        <f>IF('3A-B'!C9&lt;&gt;0,'3A-B'!C9,"")</f>
        <v/>
      </c>
      <c r="I18" s="160"/>
      <c r="J18" s="152" t="str">
        <f>IF('3A-B'!D9&lt;&gt;0,'3A-B'!D9,"")</f>
        <v/>
      </c>
      <c r="K18" s="155"/>
    </row>
    <row r="19" spans="1:11">
      <c r="A19" s="78">
        <f>IF('3A-B'!A10&lt;&gt;0,'3A-B'!A10,"")</f>
        <v>8</v>
      </c>
      <c r="B19" s="149" t="str">
        <f>IF('3A-B'!B10&lt;&gt;0,'3A-B'!B10,"")</f>
        <v/>
      </c>
      <c r="C19" s="150"/>
      <c r="D19" s="150"/>
      <c r="E19" s="151"/>
      <c r="F19" s="152" t="str">
        <f>IF('3A-B'!G10&lt;&gt;0,'3A-B'!G10,"")</f>
        <v/>
      </c>
      <c r="G19" s="153"/>
      <c r="H19" s="159" t="str">
        <f>IF('3A-B'!C10&lt;&gt;0,'3A-B'!C10,"")</f>
        <v/>
      </c>
      <c r="I19" s="160"/>
      <c r="J19" s="152" t="str">
        <f>IF('3A-B'!D10&lt;&gt;0,'3A-B'!D10,"")</f>
        <v/>
      </c>
      <c r="K19" s="155"/>
    </row>
    <row r="20" spans="1:11">
      <c r="A20" s="78">
        <f>IF('3A-B'!A11&lt;&gt;0,'3A-B'!A11,"")</f>
        <v>9</v>
      </c>
      <c r="B20" s="149" t="str">
        <f>IF('3A-B'!B11&lt;&gt;0,'3A-B'!B11,"")</f>
        <v/>
      </c>
      <c r="C20" s="150"/>
      <c r="D20" s="150"/>
      <c r="E20" s="151"/>
      <c r="F20" s="152" t="str">
        <f>IF('3A-B'!G11&lt;&gt;0,'3A-B'!G11,"")</f>
        <v/>
      </c>
      <c r="G20" s="153"/>
      <c r="H20" s="159" t="str">
        <f>IF('3A-B'!C11&lt;&gt;0,'3A-B'!C11,"")</f>
        <v/>
      </c>
      <c r="I20" s="160"/>
      <c r="J20" s="152" t="str">
        <f>IF('3A-B'!D11&lt;&gt;0,'3A-B'!D11,"")</f>
        <v/>
      </c>
      <c r="K20" s="155"/>
    </row>
    <row r="21" spans="1:11">
      <c r="A21" s="78">
        <f>IF('3A-B'!A12&lt;&gt;0,'3A-B'!A12,"")</f>
        <v>10</v>
      </c>
      <c r="B21" s="149" t="str">
        <f>IF('3A-B'!B12&lt;&gt;0,'3A-B'!B12,"")</f>
        <v/>
      </c>
      <c r="C21" s="150"/>
      <c r="D21" s="150"/>
      <c r="E21" s="151"/>
      <c r="F21" s="152" t="str">
        <f>IF('3A-B'!G12&lt;&gt;0,'3A-B'!G12,"")</f>
        <v/>
      </c>
      <c r="G21" s="153"/>
      <c r="H21" s="159" t="str">
        <f>IF('3A-B'!C12&lt;&gt;0,'3A-B'!C12,"")</f>
        <v/>
      </c>
      <c r="I21" s="160"/>
      <c r="J21" s="152" t="str">
        <f>IF('3A-B'!D12&lt;&gt;0,'3A-B'!D12,"")</f>
        <v/>
      </c>
      <c r="K21" s="155"/>
    </row>
    <row r="22" spans="1:11">
      <c r="A22" s="78">
        <f>IF('3A-B'!A13&lt;&gt;0,'3A-B'!A13,"")</f>
        <v>11</v>
      </c>
      <c r="B22" s="149" t="str">
        <f>IF('3A-B'!B13&lt;&gt;0,'3A-B'!B13,"")</f>
        <v/>
      </c>
      <c r="C22" s="150"/>
      <c r="D22" s="150"/>
      <c r="E22" s="151"/>
      <c r="F22" s="152" t="str">
        <f>IF('3A-B'!G13&lt;&gt;0,'3A-B'!G13,"")</f>
        <v/>
      </c>
      <c r="G22" s="153"/>
      <c r="H22" s="159" t="str">
        <f>IF('3A-B'!C13&lt;&gt;0,'3A-B'!C13,"")</f>
        <v/>
      </c>
      <c r="I22" s="160"/>
      <c r="J22" s="152" t="str">
        <f>IF('3A-B'!D13&lt;&gt;0,'3A-B'!D13,"")</f>
        <v/>
      </c>
      <c r="K22" s="155"/>
    </row>
    <row r="23" spans="1:11">
      <c r="A23" s="78">
        <f>IF('3A-B'!A14&lt;&gt;0,'3A-B'!A14,"")</f>
        <v>12</v>
      </c>
      <c r="B23" s="149" t="str">
        <f>IF('3A-B'!B14&lt;&gt;0,'3A-B'!B14,"")</f>
        <v/>
      </c>
      <c r="C23" s="150"/>
      <c r="D23" s="150"/>
      <c r="E23" s="151"/>
      <c r="F23" s="152" t="str">
        <f>IF('3A-B'!G14&lt;&gt;0,'3A-B'!G14,"")</f>
        <v/>
      </c>
      <c r="G23" s="153"/>
      <c r="H23" s="159" t="str">
        <f>IF('3A-B'!C14&lt;&gt;0,'3A-B'!C14,"")</f>
        <v/>
      </c>
      <c r="I23" s="160"/>
      <c r="J23" s="152" t="str">
        <f>IF('3A-B'!D14&lt;&gt;0,'3A-B'!D14,"")</f>
        <v/>
      </c>
      <c r="K23" s="155"/>
    </row>
    <row r="24" spans="1:11">
      <c r="A24" s="78">
        <f>IF('3A-B'!A15&lt;&gt;0,'3A-B'!A15,"")</f>
        <v>13</v>
      </c>
      <c r="B24" s="149" t="str">
        <f>IF('3A-B'!B15&lt;&gt;0,'3A-B'!B15,"")</f>
        <v/>
      </c>
      <c r="C24" s="150"/>
      <c r="D24" s="150"/>
      <c r="E24" s="151"/>
      <c r="F24" s="152" t="str">
        <f>IF('3A-B'!G15&lt;&gt;0,'3A-B'!G15,"")</f>
        <v/>
      </c>
      <c r="G24" s="153"/>
      <c r="H24" s="159" t="str">
        <f>IF('3A-B'!C15&lt;&gt;0,'3A-B'!C15,"")</f>
        <v/>
      </c>
      <c r="I24" s="160"/>
      <c r="J24" s="152" t="str">
        <f>IF('3A-B'!D15&lt;&gt;0,'3A-B'!D15,"")</f>
        <v/>
      </c>
      <c r="K24" s="155"/>
    </row>
    <row r="25" spans="1:11">
      <c r="A25" s="78">
        <f>IF('3A-B'!A16&lt;&gt;0,'3A-B'!A16,"")</f>
        <v>14</v>
      </c>
      <c r="B25" s="149" t="str">
        <f>IF('3A-B'!B16&lt;&gt;0,'3A-B'!B16,"")</f>
        <v/>
      </c>
      <c r="C25" s="150"/>
      <c r="D25" s="150"/>
      <c r="E25" s="151"/>
      <c r="F25" s="152" t="str">
        <f>IF('3A-B'!G16&lt;&gt;0,'3A-B'!G16,"")</f>
        <v/>
      </c>
      <c r="G25" s="153"/>
      <c r="H25" s="159" t="str">
        <f>IF('3A-B'!C16&lt;&gt;0,'3A-B'!C16,"")</f>
        <v/>
      </c>
      <c r="I25" s="160"/>
      <c r="J25" s="152" t="str">
        <f>IF('3A-B'!D16&lt;&gt;0,'3A-B'!D16,"")</f>
        <v/>
      </c>
      <c r="K25" s="155"/>
    </row>
    <row r="26" spans="1:11">
      <c r="A26" s="78">
        <f>IF('3A-B'!A17&lt;&gt;0,'3A-B'!A17,"")</f>
        <v>15</v>
      </c>
      <c r="B26" s="149" t="str">
        <f>IF('3A-B'!B17&lt;&gt;0,'3A-B'!B17,"")</f>
        <v/>
      </c>
      <c r="C26" s="150"/>
      <c r="D26" s="150"/>
      <c r="E26" s="151"/>
      <c r="F26" s="152" t="str">
        <f>IF('3A-B'!G17&lt;&gt;0,'3A-B'!G17,"")</f>
        <v/>
      </c>
      <c r="G26" s="153"/>
      <c r="H26" s="159" t="str">
        <f>IF('3A-B'!C17&lt;&gt;0,'3A-B'!C17,"")</f>
        <v/>
      </c>
      <c r="I26" s="160"/>
      <c r="J26" s="152" t="str">
        <f>IF('3A-B'!D17&lt;&gt;0,'3A-B'!D17,"")</f>
        <v/>
      </c>
      <c r="K26" s="155"/>
    </row>
    <row r="27" spans="1:11">
      <c r="A27" s="78">
        <f>IF('3A-B'!A18&lt;&gt;0,'3A-B'!A18,"")</f>
        <v>16</v>
      </c>
      <c r="B27" s="149" t="str">
        <f>IF('3A-B'!B18&lt;&gt;0,'3A-B'!B18,"")</f>
        <v/>
      </c>
      <c r="C27" s="150"/>
      <c r="D27" s="150"/>
      <c r="E27" s="151"/>
      <c r="F27" s="152" t="str">
        <f>IF('3A-B'!G18&lt;&gt;0,'3A-B'!G18,"")</f>
        <v/>
      </c>
      <c r="G27" s="153"/>
      <c r="H27" s="159" t="str">
        <f>IF('3A-B'!C18&lt;&gt;0,'3A-B'!C18,"")</f>
        <v/>
      </c>
      <c r="I27" s="160"/>
      <c r="J27" s="152" t="str">
        <f>IF('3A-B'!D18&lt;&gt;0,'3A-B'!D18,"")</f>
        <v/>
      </c>
      <c r="K27" s="155"/>
    </row>
    <row r="28" spans="1:11">
      <c r="A28" s="78">
        <f>IF('3A-B'!A19&lt;&gt;0,'3A-B'!A19,"")</f>
        <v>17</v>
      </c>
      <c r="B28" s="149" t="str">
        <f>IF('3A-B'!B19&lt;&gt;0,'3A-B'!B19,"")</f>
        <v/>
      </c>
      <c r="C28" s="150"/>
      <c r="D28" s="150"/>
      <c r="E28" s="151"/>
      <c r="F28" s="152" t="str">
        <f>IF('3A-B'!G19&lt;&gt;0,'3A-B'!G19,"")</f>
        <v/>
      </c>
      <c r="G28" s="153"/>
      <c r="H28" s="159" t="str">
        <f>IF('3A-B'!C19&lt;&gt;0,'3A-B'!C19,"")</f>
        <v/>
      </c>
      <c r="I28" s="160"/>
      <c r="J28" s="152" t="str">
        <f>IF('3A-B'!D19&lt;&gt;0,'3A-B'!D19,"")</f>
        <v/>
      </c>
      <c r="K28" s="155"/>
    </row>
    <row r="29" spans="1:11">
      <c r="A29" s="78">
        <f>IF('3A-B'!A20&lt;&gt;0,'3A-B'!A20,"")</f>
        <v>18</v>
      </c>
      <c r="B29" s="149" t="str">
        <f>IF('3A-B'!B20&lt;&gt;0,'3A-B'!B20,"")</f>
        <v/>
      </c>
      <c r="C29" s="150"/>
      <c r="D29" s="150"/>
      <c r="E29" s="151"/>
      <c r="F29" s="152" t="str">
        <f>IF('3A-B'!G20&lt;&gt;0,'3A-B'!G20,"")</f>
        <v/>
      </c>
      <c r="G29" s="153"/>
      <c r="H29" s="159" t="str">
        <f>IF('3A-B'!C20&lt;&gt;0,'3A-B'!C20,"")</f>
        <v/>
      </c>
      <c r="I29" s="160"/>
      <c r="J29" s="152" t="str">
        <f>IF('3A-B'!D20&lt;&gt;0,'3A-B'!D20,"")</f>
        <v/>
      </c>
      <c r="K29" s="155"/>
    </row>
    <row r="30" spans="1:11">
      <c r="A30" s="78">
        <f>IF('3A-B'!A21&lt;&gt;0,'3A-B'!A21,"")</f>
        <v>19</v>
      </c>
      <c r="B30" s="149" t="str">
        <f>IF('3A-B'!B21&lt;&gt;0,'3A-B'!B21,"")</f>
        <v/>
      </c>
      <c r="C30" s="150"/>
      <c r="D30" s="150"/>
      <c r="E30" s="151"/>
      <c r="F30" s="152" t="str">
        <f>IF('3A-B'!G21&lt;&gt;0,'3A-B'!G21,"")</f>
        <v/>
      </c>
      <c r="G30" s="153"/>
      <c r="H30" s="159" t="str">
        <f>IF('3A-B'!C21&lt;&gt;0,'3A-B'!C21,"")</f>
        <v/>
      </c>
      <c r="I30" s="160"/>
      <c r="J30" s="152" t="str">
        <f>IF('3A-B'!D21&lt;&gt;0,'3A-B'!D21,"")</f>
        <v/>
      </c>
      <c r="K30" s="155"/>
    </row>
    <row r="31" spans="1:11">
      <c r="A31" s="78">
        <f>IF('3A-B'!A22&lt;&gt;0,'3A-B'!A22,"")</f>
        <v>20</v>
      </c>
      <c r="B31" s="149" t="str">
        <f>IF('3A-B'!B22&lt;&gt;0,'3A-B'!B22,"")</f>
        <v/>
      </c>
      <c r="C31" s="150"/>
      <c r="D31" s="150"/>
      <c r="E31" s="151"/>
      <c r="F31" s="152" t="str">
        <f>IF('3A-B'!G22&lt;&gt;0,'3A-B'!G22,"")</f>
        <v/>
      </c>
      <c r="G31" s="153"/>
      <c r="H31" s="159" t="str">
        <f>IF('3A-B'!C22&lt;&gt;0,'3A-B'!C22,"")</f>
        <v/>
      </c>
      <c r="I31" s="160"/>
      <c r="J31" s="152" t="str">
        <f>IF('3A-B'!D22&lt;&gt;0,'3A-B'!D22,"")</f>
        <v/>
      </c>
      <c r="K31" s="155"/>
    </row>
    <row r="32" spans="1:11">
      <c r="A32" s="78">
        <f>IF('3A-B'!A23&lt;&gt;0,'3A-B'!A23,"")</f>
        <v>21</v>
      </c>
      <c r="B32" s="149" t="str">
        <f>IF('3A-B'!B23&lt;&gt;0,'3A-B'!B23,"")</f>
        <v/>
      </c>
      <c r="C32" s="150"/>
      <c r="D32" s="150"/>
      <c r="E32" s="151"/>
      <c r="F32" s="152" t="str">
        <f>IF('3A-B'!G23&lt;&gt;0,'3A-B'!G23,"")</f>
        <v/>
      </c>
      <c r="G32" s="153"/>
      <c r="H32" s="159" t="str">
        <f>IF('3A-B'!C23&lt;&gt;0,'3A-B'!C23,"")</f>
        <v/>
      </c>
      <c r="I32" s="160"/>
      <c r="J32" s="152" t="str">
        <f>IF('3A-B'!D23&lt;&gt;0,'3A-B'!D23,"")</f>
        <v/>
      </c>
      <c r="K32" s="155"/>
    </row>
    <row r="33" spans="1:11">
      <c r="A33" s="78">
        <f>IF('3A-B'!A24&lt;&gt;0,'3A-B'!A24,"")</f>
        <v>22</v>
      </c>
      <c r="B33" s="149" t="str">
        <f>IF('3A-B'!B24&lt;&gt;0,'3A-B'!B24,"")</f>
        <v/>
      </c>
      <c r="C33" s="150"/>
      <c r="D33" s="150"/>
      <c r="E33" s="151"/>
      <c r="F33" s="152" t="str">
        <f>IF('3A-B'!G24&lt;&gt;0,'3A-B'!G24,"")</f>
        <v/>
      </c>
      <c r="G33" s="153"/>
      <c r="H33" s="159" t="str">
        <f>IF('3A-B'!C24&lt;&gt;0,'3A-B'!C24,"")</f>
        <v/>
      </c>
      <c r="I33" s="160"/>
      <c r="J33" s="152" t="str">
        <f>IF('3A-B'!D24&lt;&gt;0,'3A-B'!D24,"")</f>
        <v/>
      </c>
      <c r="K33" s="155"/>
    </row>
    <row r="34" spans="1:11">
      <c r="A34" s="78">
        <f>IF('3A-B'!A25&lt;&gt;0,'3A-B'!A25,"")</f>
        <v>23</v>
      </c>
      <c r="B34" s="149" t="str">
        <f>IF('3A-B'!B25&lt;&gt;0,'3A-B'!B25,"")</f>
        <v/>
      </c>
      <c r="C34" s="150"/>
      <c r="D34" s="150"/>
      <c r="E34" s="151"/>
      <c r="F34" s="152" t="str">
        <f>IF('3A-B'!G25&lt;&gt;0,'3A-B'!G25,"")</f>
        <v/>
      </c>
      <c r="G34" s="153"/>
      <c r="H34" s="159" t="str">
        <f>IF('3A-B'!C25&lt;&gt;0,'3A-B'!C25,"")</f>
        <v/>
      </c>
      <c r="I34" s="160"/>
      <c r="J34" s="152" t="str">
        <f>IF('3A-B'!D25&lt;&gt;0,'3A-B'!D25,"")</f>
        <v/>
      </c>
      <c r="K34" s="155"/>
    </row>
    <row r="35" spans="1:11">
      <c r="A35" s="78">
        <f>IF('3A-B'!A26&lt;&gt;0,'3A-B'!A26,"")</f>
        <v>24</v>
      </c>
      <c r="B35" s="149" t="str">
        <f>IF('3A-B'!B26&lt;&gt;0,'3A-B'!B26,"")</f>
        <v/>
      </c>
      <c r="C35" s="150"/>
      <c r="D35" s="150"/>
      <c r="E35" s="151"/>
      <c r="F35" s="152" t="str">
        <f>IF('3A-B'!G26&lt;&gt;0,'3A-B'!G26,"")</f>
        <v/>
      </c>
      <c r="G35" s="153"/>
      <c r="H35" s="159" t="str">
        <f>IF('3A-B'!C26&lt;&gt;0,'3A-B'!C26,"")</f>
        <v/>
      </c>
      <c r="I35" s="160"/>
      <c r="J35" s="152" t="str">
        <f>IF('3A-B'!D26&lt;&gt;0,'3A-B'!D26,"")</f>
        <v/>
      </c>
      <c r="K35" s="155"/>
    </row>
    <row r="36" spans="1:11" ht="15.75" thickBot="1">
      <c r="A36" s="80">
        <f>IF('3A-B'!A27&lt;&gt;0,'3A-B'!A27,"")</f>
        <v>25</v>
      </c>
      <c r="B36" s="142" t="str">
        <f>IF('3A-B'!B27&lt;&gt;0,'3A-B'!B27,"")</f>
        <v/>
      </c>
      <c r="C36" s="143"/>
      <c r="D36" s="143"/>
      <c r="E36" s="144"/>
      <c r="F36" s="145" t="str">
        <f>IF('3A-B'!G27&lt;&gt;0,'3A-B'!G27,"")</f>
        <v/>
      </c>
      <c r="G36" s="146"/>
      <c r="H36" s="157" t="str">
        <f>IF('3A-B'!C27&lt;&gt;0,'3A-B'!C27,"")</f>
        <v/>
      </c>
      <c r="I36" s="158"/>
      <c r="J36" s="145" t="str">
        <f>IF('3A-B'!D27&lt;&gt;0,'3A-B'!D27,"")</f>
        <v/>
      </c>
      <c r="K36" s="148"/>
    </row>
    <row r="38" spans="1:11" ht="15.75">
      <c r="A38" s="119" t="s">
        <v>81</v>
      </c>
      <c r="B38" s="119"/>
      <c r="C38" s="119"/>
      <c r="D38" s="119"/>
      <c r="E38" s="120">
        <f>'3A-B'!U4</f>
        <v>0</v>
      </c>
      <c r="F38" s="120"/>
    </row>
    <row r="39" spans="1:11">
      <c r="A39" s="66" t="s">
        <v>117</v>
      </c>
      <c r="E39" s="122">
        <f ca="1">'3A-B'!Q3</f>
        <v>0</v>
      </c>
      <c r="F39" s="122"/>
    </row>
    <row r="40" spans="1:11">
      <c r="A40" s="66" t="s">
        <v>118</v>
      </c>
      <c r="E40" s="122">
        <f ca="1">'3A-B'!R3</f>
        <v>0</v>
      </c>
      <c r="F40" s="122"/>
    </row>
    <row r="48" spans="1:11">
      <c r="A48" s="66" t="s">
        <v>84</v>
      </c>
      <c r="C48" s="121">
        <f ca="1">TODAY()</f>
        <v>44871</v>
      </c>
      <c r="D48" s="122"/>
      <c r="E48" s="122"/>
    </row>
  </sheetData>
  <sheetProtection algorithmName="SHA-512" hashValue="1YIWUANgVsFrC6ihBHOllgo+l2RkTYow9rf0CAD9KmNHdKt2diQjYmu7bzUUZX0WtBxYm6ssZ6Hp5P+B9HtZmA==" saltValue="lrmsSYg58/Crt5paYT66IQ==" spinCount="100000" sheet="1" objects="1" scenarios="1" selectLockedCells="1"/>
  <mergeCells count="118">
    <mergeCell ref="E39:F39"/>
    <mergeCell ref="E40:F40"/>
    <mergeCell ref="C48:E48"/>
    <mergeCell ref="B36:E36"/>
    <mergeCell ref="F36:G36"/>
    <mergeCell ref="H36:I36"/>
    <mergeCell ref="J36:K36"/>
    <mergeCell ref="A38:D38"/>
    <mergeCell ref="E38:F38"/>
    <mergeCell ref="B34:E34"/>
    <mergeCell ref="F34:G34"/>
    <mergeCell ref="H34:I34"/>
    <mergeCell ref="J34:K34"/>
    <mergeCell ref="B35:E35"/>
    <mergeCell ref="F35:G35"/>
    <mergeCell ref="H35:I35"/>
    <mergeCell ref="J35:K35"/>
    <mergeCell ref="B32:E32"/>
    <mergeCell ref="F32:G32"/>
    <mergeCell ref="H32:I32"/>
    <mergeCell ref="J32:K32"/>
    <mergeCell ref="B33:E33"/>
    <mergeCell ref="F33:G33"/>
    <mergeCell ref="H33:I33"/>
    <mergeCell ref="J33:K33"/>
    <mergeCell ref="B30:E30"/>
    <mergeCell ref="F30:G30"/>
    <mergeCell ref="H30:I30"/>
    <mergeCell ref="J30:K30"/>
    <mergeCell ref="B31:E31"/>
    <mergeCell ref="F31:G31"/>
    <mergeCell ref="H31:I31"/>
    <mergeCell ref="J31:K31"/>
    <mergeCell ref="B28:E28"/>
    <mergeCell ref="F28:G28"/>
    <mergeCell ref="H28:I28"/>
    <mergeCell ref="J28:K28"/>
    <mergeCell ref="B29:E29"/>
    <mergeCell ref="F29:G29"/>
    <mergeCell ref="H29:I29"/>
    <mergeCell ref="J29:K29"/>
    <mergeCell ref="B26:E26"/>
    <mergeCell ref="F26:G26"/>
    <mergeCell ref="H26:I26"/>
    <mergeCell ref="J26:K26"/>
    <mergeCell ref="B27:E27"/>
    <mergeCell ref="F27:G27"/>
    <mergeCell ref="H27:I27"/>
    <mergeCell ref="J27:K27"/>
    <mergeCell ref="B24:E24"/>
    <mergeCell ref="F24:G24"/>
    <mergeCell ref="H24:I24"/>
    <mergeCell ref="J24:K24"/>
    <mergeCell ref="B25:E25"/>
    <mergeCell ref="F25:G25"/>
    <mergeCell ref="H25:I25"/>
    <mergeCell ref="J25:K25"/>
    <mergeCell ref="B22:E22"/>
    <mergeCell ref="F22:G22"/>
    <mergeCell ref="H22:I22"/>
    <mergeCell ref="J22:K22"/>
    <mergeCell ref="B23:E23"/>
    <mergeCell ref="F23:G23"/>
    <mergeCell ref="H23:I23"/>
    <mergeCell ref="J23:K23"/>
    <mergeCell ref="B20:E20"/>
    <mergeCell ref="F20:G20"/>
    <mergeCell ref="H20:I20"/>
    <mergeCell ref="J20:K20"/>
    <mergeCell ref="B21:E21"/>
    <mergeCell ref="F21:G21"/>
    <mergeCell ref="H21:I21"/>
    <mergeCell ref="J21:K21"/>
    <mergeCell ref="B18:E18"/>
    <mergeCell ref="F18:G18"/>
    <mergeCell ref="H18:I18"/>
    <mergeCell ref="J18:K18"/>
    <mergeCell ref="B19:E19"/>
    <mergeCell ref="F19:G19"/>
    <mergeCell ref="H19:I19"/>
    <mergeCell ref="J19:K19"/>
    <mergeCell ref="B16:E16"/>
    <mergeCell ref="F16:G16"/>
    <mergeCell ref="H16:I16"/>
    <mergeCell ref="J16:K16"/>
    <mergeCell ref="B17:E17"/>
    <mergeCell ref="F17:G17"/>
    <mergeCell ref="H17:I17"/>
    <mergeCell ref="J17:K17"/>
    <mergeCell ref="B14:E14"/>
    <mergeCell ref="F14:G14"/>
    <mergeCell ref="H14:I14"/>
    <mergeCell ref="J14:K14"/>
    <mergeCell ref="B15:E15"/>
    <mergeCell ref="F15:G15"/>
    <mergeCell ref="H15:I15"/>
    <mergeCell ref="J15:K15"/>
    <mergeCell ref="B12:E12"/>
    <mergeCell ref="F12:G12"/>
    <mergeCell ref="H12:I12"/>
    <mergeCell ref="J12:K12"/>
    <mergeCell ref="B13:E13"/>
    <mergeCell ref="F13:G13"/>
    <mergeCell ref="H13:I13"/>
    <mergeCell ref="J13:K13"/>
    <mergeCell ref="B7:K7"/>
    <mergeCell ref="A9:K10"/>
    <mergeCell ref="B11:E11"/>
    <mergeCell ref="F11:G11"/>
    <mergeCell ref="H11:I11"/>
    <mergeCell ref="J11:K11"/>
    <mergeCell ref="B1:K1"/>
    <mergeCell ref="B2:K2"/>
    <mergeCell ref="B3:K3"/>
    <mergeCell ref="B4:K4"/>
    <mergeCell ref="B5:K5"/>
    <mergeCell ref="A6:C6"/>
    <mergeCell ref="D6:K6"/>
  </mergeCells>
  <conditionalFormatting sqref="A12:K36">
    <cfRule type="expression" dxfId="176" priority="1">
      <formula>IF($J12&lt;&gt;"",1,0)</formula>
    </cfRule>
  </conditionalFormatting>
  <conditionalFormatting sqref="B2:B5 D6">
    <cfRule type="expression" dxfId="175" priority="2">
      <formula>ROW()=CELL("LIN")</formula>
    </cfRule>
  </conditionalFormatting>
  <pageMargins left="0.39370078740157483" right="0.3543307086614173" top="1.1417322834645669" bottom="0.39370078740157483" header="0.31496062992125984" footer="0.31496062992125984"/>
  <pageSetup paperSize="9" scale="96" fitToHeight="0" orientation="portrait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4E9EED-3ABE-4FB0-A4ED-03CCC0051F21}">
  <sheetPr codeName="Plan10">
    <pageSetUpPr fitToPage="1"/>
  </sheetPr>
  <dimension ref="A1:U27"/>
  <sheetViews>
    <sheetView showGridLines="0" showRowColHeaders="0" view="pageBreakPreview" zoomScale="60" zoomScaleNormal="60" zoomScalePageLayoutView="40" workbookViewId="0">
      <pane ySplit="1" topLeftCell="A2" activePane="bottomLeft" state="frozen"/>
      <selection pane="bottomLeft" activeCell="A4" sqref="A4"/>
    </sheetView>
  </sheetViews>
  <sheetFormatPr defaultColWidth="9.140625" defaultRowHeight="15"/>
  <cols>
    <col min="1" max="1" width="8.5703125" style="17" customWidth="1"/>
    <col min="2" max="2" width="42" style="17" customWidth="1"/>
    <col min="3" max="3" width="17" style="18" bestFit="1" customWidth="1"/>
    <col min="4" max="4" width="23.85546875" style="19" customWidth="1"/>
    <col min="5" max="5" width="28.5703125" style="17" customWidth="1"/>
    <col min="6" max="6" width="30.5703125" style="27" bestFit="1" customWidth="1"/>
    <col min="7" max="7" width="25.7109375" style="27" customWidth="1"/>
    <col min="8" max="8" width="21.140625" style="17" customWidth="1"/>
    <col min="9" max="9" width="17.5703125" style="17" customWidth="1"/>
    <col min="10" max="10" width="44.42578125" style="17" customWidth="1"/>
    <col min="11" max="11" width="9.7109375" style="17" customWidth="1"/>
    <col min="12" max="12" width="9.28515625" style="17" customWidth="1"/>
    <col min="13" max="13" width="9.140625" style="17"/>
    <col min="14" max="14" width="16.140625" style="17" customWidth="1"/>
    <col min="15" max="15" width="12.7109375" style="17" customWidth="1"/>
    <col min="16" max="16384" width="9.140625" style="17"/>
  </cols>
  <sheetData>
    <row r="1" spans="1:21" ht="75" customHeight="1"/>
    <row r="2" spans="1:21" ht="60">
      <c r="A2" s="20" t="s">
        <v>9</v>
      </c>
      <c r="B2" s="21" t="s">
        <v>10</v>
      </c>
      <c r="C2" s="22" t="s">
        <v>13</v>
      </c>
      <c r="D2" s="23" t="s">
        <v>16</v>
      </c>
      <c r="E2" s="22" t="s">
        <v>11</v>
      </c>
      <c r="F2" s="22" t="s">
        <v>12</v>
      </c>
      <c r="G2" s="22" t="s">
        <v>14</v>
      </c>
      <c r="H2" s="22" t="s">
        <v>15</v>
      </c>
      <c r="I2" s="22" t="s">
        <v>17</v>
      </c>
      <c r="J2" s="21" t="s">
        <v>18</v>
      </c>
      <c r="K2" s="26" t="s">
        <v>19</v>
      </c>
      <c r="L2" s="67"/>
      <c r="M2" s="68"/>
      <c r="N2" s="68"/>
      <c r="O2" s="68"/>
      <c r="P2" s="69" t="s">
        <v>0</v>
      </c>
      <c r="Q2" s="70" t="s">
        <v>119</v>
      </c>
      <c r="R2" s="70" t="s">
        <v>120</v>
      </c>
      <c r="S2" s="71" t="s">
        <v>3</v>
      </c>
      <c r="T2" s="70" t="s">
        <v>4</v>
      </c>
      <c r="U2" s="68"/>
    </row>
    <row r="3" spans="1:21">
      <c r="A3" s="81">
        <v>1</v>
      </c>
      <c r="B3" s="44"/>
      <c r="C3" s="45"/>
      <c r="D3" s="47"/>
      <c r="E3" s="46">
        <v>0</v>
      </c>
      <c r="F3" s="51"/>
      <c r="G3" s="52"/>
      <c r="H3" s="52"/>
      <c r="I3" s="47"/>
      <c r="J3" s="44"/>
      <c r="K3" s="24">
        <f t="shared" ref="K3:K27" ca="1" si="0">QUOTIENT(IF(DATEDIF(C3,TODAY(),"y")&gt;90,0,DATEDIF(C3,TODAY(),"m")),12)</f>
        <v>0</v>
      </c>
      <c r="L3" s="68">
        <f t="shared" ref="L3:L27" ca="1" si="1">IF($K3=0,0,IF($K3&lt;($P$3),1,0))</f>
        <v>0</v>
      </c>
      <c r="M3" s="68">
        <f t="shared" ref="M3:M27" ca="1" si="2">IF($K3&gt;($P$3),1,0)</f>
        <v>0</v>
      </c>
      <c r="N3" s="68" t="b">
        <f ca="1">IF(IF(DATEDIF(C3,TODAY(),"y")&gt;90,0,DATEDIF(C3,TODAY(),"m"))&gt;0,CONCATENATE(QUOTIENT(IF(DATEDIF(C3,TODAY(),"y")&gt;90,0,DATEDIF(C3,TODAY(),"m")),12)," anos e ",MOD(IF(DATEDIF(C3,TODAY(),"y")&gt;90,0,DATEDIF(C3,TODAY(),"m")),12)," mês"))</f>
        <v>0</v>
      </c>
      <c r="O3" s="68" t="str">
        <f ca="1">IF(C3="","",DATEDIF($C3,TODAY(),"m"))</f>
        <v/>
      </c>
      <c r="P3" s="68">
        <v>8</v>
      </c>
      <c r="Q3" s="68">
        <f ca="1">SUM(L3:L27)</f>
        <v>0</v>
      </c>
      <c r="R3" s="68">
        <f ca="1">SUM(M3:M27)</f>
        <v>0</v>
      </c>
      <c r="S3" s="71" t="s">
        <v>7</v>
      </c>
      <c r="T3" s="68">
        <f>($P$3*12)</f>
        <v>96</v>
      </c>
      <c r="U3" s="68"/>
    </row>
    <row r="4" spans="1:21" ht="15.75">
      <c r="A4" s="81">
        <v>2</v>
      </c>
      <c r="B4" s="44"/>
      <c r="C4" s="45"/>
      <c r="D4" s="47"/>
      <c r="E4" s="46">
        <v>0</v>
      </c>
      <c r="F4" s="51"/>
      <c r="G4" s="52"/>
      <c r="H4" s="52"/>
      <c r="I4" s="47"/>
      <c r="J4" s="44"/>
      <c r="K4" s="24">
        <f t="shared" ca="1" si="0"/>
        <v>0</v>
      </c>
      <c r="L4" s="68">
        <f t="shared" ca="1" si="1"/>
        <v>0</v>
      </c>
      <c r="M4" s="68">
        <f t="shared" ca="1" si="2"/>
        <v>0</v>
      </c>
      <c r="N4" s="68" t="b">
        <f t="shared" ref="N4:N27" ca="1" si="3">IF(IF(DATEDIF(C4,TODAY(),"y")&gt;90,0,DATEDIF(C4,TODAY(),"m"))&gt;0,CONCATENATE(QUOTIENT(IF(DATEDIF(C4,TODAY(),"y")&gt;90,0,DATEDIF(C4,TODAY(),"m")),12)," anos e ",MOD(IF(DATEDIF(C4,TODAY(),"y")&gt;90,0,DATEDIF(C4,TODAY(),"m")),12)," mês"))</f>
        <v>0</v>
      </c>
      <c r="O4" s="68" t="str">
        <f ca="1">IF(C4="","",DATEDIF($C4,TODAY(),"m"))</f>
        <v/>
      </c>
      <c r="P4" s="123" t="s">
        <v>6</v>
      </c>
      <c r="Q4" s="123"/>
      <c r="R4" s="123"/>
      <c r="S4" s="123"/>
      <c r="T4" s="123"/>
      <c r="U4" s="68">
        <f>COUNTA(B3:B27)-COUNTA(D3:D27)</f>
        <v>0</v>
      </c>
    </row>
    <row r="5" spans="1:21">
      <c r="A5" s="81">
        <v>3</v>
      </c>
      <c r="B5" s="44"/>
      <c r="C5" s="45"/>
      <c r="D5" s="47"/>
      <c r="E5" s="46">
        <v>0</v>
      </c>
      <c r="F5" s="51"/>
      <c r="G5" s="52"/>
      <c r="H5" s="52"/>
      <c r="I5" s="47"/>
      <c r="J5" s="44"/>
      <c r="K5" s="24">
        <f t="shared" ca="1" si="0"/>
        <v>0</v>
      </c>
      <c r="L5" s="68">
        <f t="shared" ca="1" si="1"/>
        <v>0</v>
      </c>
      <c r="M5" s="68">
        <f t="shared" ca="1" si="2"/>
        <v>0</v>
      </c>
      <c r="N5" s="68" t="b">
        <f t="shared" ca="1" si="3"/>
        <v>0</v>
      </c>
      <c r="O5" s="68" t="str">
        <f ca="1">IF(C5="","",DATEDIF($C5,TODAY(),"m"))</f>
        <v/>
      </c>
      <c r="P5" s="68"/>
      <c r="Q5" s="68"/>
      <c r="R5" s="68"/>
      <c r="S5" s="68"/>
      <c r="T5" s="68"/>
      <c r="U5" s="68"/>
    </row>
    <row r="6" spans="1:21">
      <c r="A6" s="81">
        <v>4</v>
      </c>
      <c r="B6" s="44"/>
      <c r="C6" s="45"/>
      <c r="D6" s="47"/>
      <c r="E6" s="46">
        <v>0</v>
      </c>
      <c r="F6" s="51"/>
      <c r="G6" s="52"/>
      <c r="H6" s="52"/>
      <c r="I6" s="47"/>
      <c r="J6" s="44"/>
      <c r="K6" s="24">
        <f t="shared" ca="1" si="0"/>
        <v>0</v>
      </c>
      <c r="L6" s="68">
        <f t="shared" ca="1" si="1"/>
        <v>0</v>
      </c>
      <c r="M6" s="68">
        <f t="shared" ca="1" si="2"/>
        <v>0</v>
      </c>
      <c r="N6" s="68" t="b">
        <f t="shared" ca="1" si="3"/>
        <v>0</v>
      </c>
      <c r="O6" s="68" t="str">
        <f t="shared" ref="O6:O26" ca="1" si="4">IF(C5="","",DATEDIF($C5,TODAY(),"m"))</f>
        <v/>
      </c>
      <c r="P6" s="68"/>
      <c r="Q6" s="68"/>
      <c r="R6" s="68"/>
      <c r="S6" s="68"/>
      <c r="T6" s="68"/>
      <c r="U6" s="68"/>
    </row>
    <row r="7" spans="1:21">
      <c r="A7" s="81">
        <v>5</v>
      </c>
      <c r="B7" s="44"/>
      <c r="C7" s="45"/>
      <c r="D7" s="47"/>
      <c r="E7" s="46">
        <v>0</v>
      </c>
      <c r="F7" s="51"/>
      <c r="G7" s="52"/>
      <c r="H7" s="52"/>
      <c r="I7" s="47"/>
      <c r="J7" s="44"/>
      <c r="K7" s="24">
        <f t="shared" ca="1" si="0"/>
        <v>0</v>
      </c>
      <c r="L7" s="68">
        <f t="shared" ca="1" si="1"/>
        <v>0</v>
      </c>
      <c r="M7" s="68">
        <f t="shared" ca="1" si="2"/>
        <v>0</v>
      </c>
      <c r="N7" s="68" t="b">
        <f t="shared" ca="1" si="3"/>
        <v>0</v>
      </c>
      <c r="O7" s="68" t="str">
        <f t="shared" ca="1" si="4"/>
        <v/>
      </c>
      <c r="P7" s="68"/>
      <c r="Q7" s="68"/>
      <c r="R7" s="68"/>
      <c r="S7" s="68"/>
      <c r="T7" s="68"/>
      <c r="U7" s="68"/>
    </row>
    <row r="8" spans="1:21">
      <c r="A8" s="81">
        <v>6</v>
      </c>
      <c r="B8" s="44"/>
      <c r="C8" s="45"/>
      <c r="D8" s="47"/>
      <c r="E8" s="46">
        <v>0</v>
      </c>
      <c r="F8" s="51"/>
      <c r="G8" s="52"/>
      <c r="H8" s="52"/>
      <c r="I8" s="47"/>
      <c r="J8" s="44"/>
      <c r="K8" s="24">
        <f t="shared" ca="1" si="0"/>
        <v>0</v>
      </c>
      <c r="L8" s="68">
        <f t="shared" ca="1" si="1"/>
        <v>0</v>
      </c>
      <c r="M8" s="68">
        <f t="shared" ca="1" si="2"/>
        <v>0</v>
      </c>
      <c r="N8" s="68" t="b">
        <f t="shared" ca="1" si="3"/>
        <v>0</v>
      </c>
      <c r="O8" s="68" t="str">
        <f t="shared" ca="1" si="4"/>
        <v/>
      </c>
      <c r="P8" s="68"/>
      <c r="Q8" s="68"/>
      <c r="R8" s="68"/>
      <c r="S8" s="68"/>
      <c r="T8" s="68"/>
      <c r="U8" s="68"/>
    </row>
    <row r="9" spans="1:21">
      <c r="A9" s="81">
        <v>7</v>
      </c>
      <c r="B9" s="44"/>
      <c r="C9" s="45"/>
      <c r="D9" s="47"/>
      <c r="E9" s="46">
        <v>0</v>
      </c>
      <c r="F9" s="51"/>
      <c r="G9" s="52"/>
      <c r="H9" s="52"/>
      <c r="I9" s="47"/>
      <c r="J9" s="44"/>
      <c r="K9" s="24">
        <f t="shared" ca="1" si="0"/>
        <v>0</v>
      </c>
      <c r="L9" s="68">
        <f t="shared" ca="1" si="1"/>
        <v>0</v>
      </c>
      <c r="M9" s="68">
        <f t="shared" ca="1" si="2"/>
        <v>0</v>
      </c>
      <c r="N9" s="68" t="b">
        <f t="shared" ca="1" si="3"/>
        <v>0</v>
      </c>
      <c r="O9" s="68" t="str">
        <f t="shared" ca="1" si="4"/>
        <v/>
      </c>
      <c r="P9" s="68"/>
      <c r="Q9" s="68"/>
      <c r="R9" s="68"/>
      <c r="S9" s="68"/>
      <c r="T9" s="68"/>
      <c r="U9" s="68"/>
    </row>
    <row r="10" spans="1:21">
      <c r="A10" s="81">
        <v>8</v>
      </c>
      <c r="B10" s="44"/>
      <c r="C10" s="45"/>
      <c r="D10" s="47"/>
      <c r="E10" s="46">
        <v>0</v>
      </c>
      <c r="F10" s="51"/>
      <c r="G10" s="52"/>
      <c r="H10" s="52"/>
      <c r="I10" s="47"/>
      <c r="J10" s="44"/>
      <c r="K10" s="24">
        <f t="shared" ca="1" si="0"/>
        <v>0</v>
      </c>
      <c r="L10" s="68">
        <f t="shared" ca="1" si="1"/>
        <v>0</v>
      </c>
      <c r="M10" s="68">
        <f t="shared" ca="1" si="2"/>
        <v>0</v>
      </c>
      <c r="N10" s="68" t="b">
        <f t="shared" ca="1" si="3"/>
        <v>0</v>
      </c>
      <c r="O10" s="68" t="str">
        <f t="shared" ca="1" si="4"/>
        <v/>
      </c>
      <c r="P10" s="68"/>
      <c r="Q10" s="68"/>
      <c r="R10" s="68"/>
      <c r="S10" s="68"/>
      <c r="T10" s="68"/>
      <c r="U10" s="68"/>
    </row>
    <row r="11" spans="1:21">
      <c r="A11" s="81">
        <v>9</v>
      </c>
      <c r="B11" s="44"/>
      <c r="C11" s="45"/>
      <c r="D11" s="47"/>
      <c r="E11" s="46">
        <v>0</v>
      </c>
      <c r="F11" s="51"/>
      <c r="G11" s="52"/>
      <c r="H11" s="52"/>
      <c r="I11" s="47"/>
      <c r="J11" s="44"/>
      <c r="K11" s="24">
        <f t="shared" ca="1" si="0"/>
        <v>0</v>
      </c>
      <c r="L11" s="68">
        <f t="shared" ca="1" si="1"/>
        <v>0</v>
      </c>
      <c r="M11" s="68">
        <f t="shared" ca="1" si="2"/>
        <v>0</v>
      </c>
      <c r="N11" s="68" t="b">
        <f t="shared" ca="1" si="3"/>
        <v>0</v>
      </c>
      <c r="O11" s="68" t="str">
        <f t="shared" ca="1" si="4"/>
        <v/>
      </c>
      <c r="P11" s="68"/>
      <c r="Q11" s="68"/>
      <c r="R11" s="68"/>
      <c r="S11" s="68"/>
      <c r="T11" s="68"/>
      <c r="U11" s="68"/>
    </row>
    <row r="12" spans="1:21">
      <c r="A12" s="81">
        <v>10</v>
      </c>
      <c r="B12" s="44"/>
      <c r="C12" s="45"/>
      <c r="D12" s="47"/>
      <c r="E12" s="46">
        <v>0</v>
      </c>
      <c r="F12" s="51"/>
      <c r="G12" s="52"/>
      <c r="H12" s="52"/>
      <c r="I12" s="47"/>
      <c r="J12" s="44"/>
      <c r="K12" s="24">
        <f t="shared" ca="1" si="0"/>
        <v>0</v>
      </c>
      <c r="L12" s="68">
        <f t="shared" ca="1" si="1"/>
        <v>0</v>
      </c>
      <c r="M12" s="68">
        <f t="shared" ca="1" si="2"/>
        <v>0</v>
      </c>
      <c r="N12" s="68" t="b">
        <f t="shared" ca="1" si="3"/>
        <v>0</v>
      </c>
      <c r="O12" s="68" t="str">
        <f t="shared" ca="1" si="4"/>
        <v/>
      </c>
      <c r="P12" s="68"/>
      <c r="Q12" s="68"/>
      <c r="R12" s="68"/>
      <c r="S12" s="68"/>
      <c r="T12" s="68"/>
      <c r="U12" s="68"/>
    </row>
    <row r="13" spans="1:21">
      <c r="A13" s="81">
        <v>11</v>
      </c>
      <c r="B13" s="44"/>
      <c r="C13" s="45"/>
      <c r="D13" s="47"/>
      <c r="E13" s="46">
        <v>0</v>
      </c>
      <c r="F13" s="51"/>
      <c r="G13" s="52"/>
      <c r="H13" s="52"/>
      <c r="I13" s="47"/>
      <c r="J13" s="44"/>
      <c r="K13" s="24">
        <f t="shared" ca="1" si="0"/>
        <v>0</v>
      </c>
      <c r="L13" s="68">
        <f t="shared" ca="1" si="1"/>
        <v>0</v>
      </c>
      <c r="M13" s="68">
        <f t="shared" ca="1" si="2"/>
        <v>0</v>
      </c>
      <c r="N13" s="68" t="b">
        <f t="shared" ca="1" si="3"/>
        <v>0</v>
      </c>
      <c r="O13" s="68" t="str">
        <f t="shared" ca="1" si="4"/>
        <v/>
      </c>
      <c r="P13" s="68"/>
      <c r="Q13" s="68"/>
      <c r="R13" s="68"/>
      <c r="S13" s="68"/>
      <c r="T13" s="68"/>
      <c r="U13" s="68"/>
    </row>
    <row r="14" spans="1:21">
      <c r="A14" s="81">
        <v>12</v>
      </c>
      <c r="B14" s="44"/>
      <c r="C14" s="45"/>
      <c r="D14" s="47"/>
      <c r="E14" s="46">
        <v>0</v>
      </c>
      <c r="F14" s="51"/>
      <c r="G14" s="52"/>
      <c r="H14" s="52"/>
      <c r="I14" s="47"/>
      <c r="J14" s="44"/>
      <c r="K14" s="24">
        <f t="shared" ca="1" si="0"/>
        <v>0</v>
      </c>
      <c r="L14" s="68">
        <f t="shared" ca="1" si="1"/>
        <v>0</v>
      </c>
      <c r="M14" s="68">
        <f t="shared" ca="1" si="2"/>
        <v>0</v>
      </c>
      <c r="N14" s="68" t="b">
        <f t="shared" ca="1" si="3"/>
        <v>0</v>
      </c>
      <c r="O14" s="68" t="str">
        <f t="shared" ca="1" si="4"/>
        <v/>
      </c>
      <c r="P14" s="68"/>
      <c r="Q14" s="68"/>
      <c r="R14" s="68"/>
      <c r="S14" s="68"/>
      <c r="T14" s="68"/>
      <c r="U14" s="68"/>
    </row>
    <row r="15" spans="1:21">
      <c r="A15" s="81">
        <v>13</v>
      </c>
      <c r="B15" s="44"/>
      <c r="C15" s="45"/>
      <c r="D15" s="47"/>
      <c r="E15" s="46">
        <v>0</v>
      </c>
      <c r="F15" s="51"/>
      <c r="G15" s="52"/>
      <c r="H15" s="52"/>
      <c r="I15" s="47"/>
      <c r="J15" s="44"/>
      <c r="K15" s="24">
        <f t="shared" ca="1" si="0"/>
        <v>0</v>
      </c>
      <c r="L15" s="68">
        <f t="shared" ca="1" si="1"/>
        <v>0</v>
      </c>
      <c r="M15" s="68">
        <f t="shared" ca="1" si="2"/>
        <v>0</v>
      </c>
      <c r="N15" s="68" t="b">
        <f t="shared" ca="1" si="3"/>
        <v>0</v>
      </c>
      <c r="O15" s="68" t="str">
        <f t="shared" ca="1" si="4"/>
        <v/>
      </c>
      <c r="P15" s="68"/>
      <c r="Q15" s="68"/>
      <c r="R15" s="68"/>
      <c r="S15" s="68"/>
      <c r="T15" s="68"/>
      <c r="U15" s="68"/>
    </row>
    <row r="16" spans="1:21">
      <c r="A16" s="81">
        <v>14</v>
      </c>
      <c r="B16" s="44"/>
      <c r="C16" s="45"/>
      <c r="D16" s="47"/>
      <c r="E16" s="46">
        <v>0</v>
      </c>
      <c r="F16" s="51"/>
      <c r="G16" s="52"/>
      <c r="H16" s="52"/>
      <c r="I16" s="47"/>
      <c r="J16" s="44"/>
      <c r="K16" s="24">
        <f t="shared" ca="1" si="0"/>
        <v>0</v>
      </c>
      <c r="L16" s="68">
        <f t="shared" ca="1" si="1"/>
        <v>0</v>
      </c>
      <c r="M16" s="68">
        <f t="shared" ca="1" si="2"/>
        <v>0</v>
      </c>
      <c r="N16" s="68" t="b">
        <f t="shared" ca="1" si="3"/>
        <v>0</v>
      </c>
      <c r="O16" s="68" t="str">
        <f t="shared" ca="1" si="4"/>
        <v/>
      </c>
      <c r="P16" s="68"/>
      <c r="Q16" s="68"/>
      <c r="R16" s="68"/>
      <c r="S16" s="68"/>
      <c r="T16" s="68"/>
      <c r="U16" s="68"/>
    </row>
    <row r="17" spans="1:21">
      <c r="A17" s="81">
        <v>15</v>
      </c>
      <c r="B17" s="44"/>
      <c r="C17" s="45"/>
      <c r="D17" s="47"/>
      <c r="E17" s="46">
        <v>0</v>
      </c>
      <c r="F17" s="51"/>
      <c r="G17" s="52"/>
      <c r="H17" s="52"/>
      <c r="I17" s="53"/>
      <c r="J17" s="44"/>
      <c r="K17" s="24">
        <f t="shared" ca="1" si="0"/>
        <v>0</v>
      </c>
      <c r="L17" s="68">
        <f t="shared" ca="1" si="1"/>
        <v>0</v>
      </c>
      <c r="M17" s="68">
        <f t="shared" ca="1" si="2"/>
        <v>0</v>
      </c>
      <c r="N17" s="68" t="b">
        <f t="shared" ca="1" si="3"/>
        <v>0</v>
      </c>
      <c r="O17" s="68" t="str">
        <f t="shared" ca="1" si="4"/>
        <v/>
      </c>
      <c r="P17" s="68"/>
      <c r="Q17" s="68"/>
      <c r="R17" s="68"/>
      <c r="S17" s="68"/>
      <c r="T17" s="68"/>
      <c r="U17" s="68"/>
    </row>
    <row r="18" spans="1:21">
      <c r="A18" s="81">
        <v>16</v>
      </c>
      <c r="B18" s="44"/>
      <c r="C18" s="45"/>
      <c r="D18" s="47"/>
      <c r="E18" s="46">
        <v>0</v>
      </c>
      <c r="F18" s="51"/>
      <c r="G18" s="52"/>
      <c r="H18" s="52"/>
      <c r="I18" s="47"/>
      <c r="J18" s="44"/>
      <c r="K18" s="24">
        <f t="shared" ca="1" si="0"/>
        <v>0</v>
      </c>
      <c r="L18" s="68">
        <f t="shared" ca="1" si="1"/>
        <v>0</v>
      </c>
      <c r="M18" s="68">
        <f t="shared" ca="1" si="2"/>
        <v>0</v>
      </c>
      <c r="N18" s="68" t="b">
        <f t="shared" ca="1" si="3"/>
        <v>0</v>
      </c>
      <c r="O18" s="68" t="str">
        <f t="shared" ca="1" si="4"/>
        <v/>
      </c>
      <c r="P18" s="68"/>
      <c r="Q18" s="68"/>
      <c r="R18" s="68"/>
      <c r="S18" s="68"/>
      <c r="T18" s="68"/>
      <c r="U18" s="68"/>
    </row>
    <row r="19" spans="1:21">
      <c r="A19" s="81">
        <v>17</v>
      </c>
      <c r="B19" s="44"/>
      <c r="C19" s="45"/>
      <c r="D19" s="47"/>
      <c r="E19" s="46">
        <v>0</v>
      </c>
      <c r="F19" s="51"/>
      <c r="G19" s="52"/>
      <c r="H19" s="52"/>
      <c r="I19" s="53"/>
      <c r="J19" s="44"/>
      <c r="K19" s="24">
        <f t="shared" ca="1" si="0"/>
        <v>0</v>
      </c>
      <c r="L19" s="68">
        <f t="shared" ca="1" si="1"/>
        <v>0</v>
      </c>
      <c r="M19" s="68">
        <f t="shared" ca="1" si="2"/>
        <v>0</v>
      </c>
      <c r="N19" s="68" t="b">
        <f t="shared" ca="1" si="3"/>
        <v>0</v>
      </c>
      <c r="O19" s="68" t="str">
        <f t="shared" ca="1" si="4"/>
        <v/>
      </c>
      <c r="P19" s="68"/>
      <c r="Q19" s="68"/>
      <c r="R19" s="68"/>
      <c r="S19" s="68"/>
      <c r="T19" s="68"/>
      <c r="U19" s="68"/>
    </row>
    <row r="20" spans="1:21">
      <c r="A20" s="81">
        <v>18</v>
      </c>
      <c r="B20" s="44"/>
      <c r="C20" s="45"/>
      <c r="D20" s="47"/>
      <c r="E20" s="46">
        <v>0</v>
      </c>
      <c r="F20" s="51"/>
      <c r="G20" s="52"/>
      <c r="H20" s="52"/>
      <c r="I20" s="47"/>
      <c r="J20" s="44"/>
      <c r="K20" s="24">
        <f t="shared" ca="1" si="0"/>
        <v>0</v>
      </c>
      <c r="L20" s="68">
        <f t="shared" ca="1" si="1"/>
        <v>0</v>
      </c>
      <c r="M20" s="68">
        <f t="shared" ca="1" si="2"/>
        <v>0</v>
      </c>
      <c r="N20" s="68" t="b">
        <f t="shared" ca="1" si="3"/>
        <v>0</v>
      </c>
      <c r="O20" s="68" t="str">
        <f t="shared" ca="1" si="4"/>
        <v/>
      </c>
      <c r="P20" s="68"/>
      <c r="Q20" s="68"/>
      <c r="R20" s="68"/>
      <c r="S20" s="68"/>
      <c r="T20" s="68"/>
      <c r="U20" s="68"/>
    </row>
    <row r="21" spans="1:21">
      <c r="A21" s="81">
        <v>19</v>
      </c>
      <c r="B21" s="44"/>
      <c r="C21" s="45"/>
      <c r="D21" s="47"/>
      <c r="E21" s="46">
        <v>0</v>
      </c>
      <c r="F21" s="51"/>
      <c r="G21" s="52"/>
      <c r="H21" s="52"/>
      <c r="I21" s="47"/>
      <c r="J21" s="44"/>
      <c r="K21" s="24">
        <f t="shared" ca="1" si="0"/>
        <v>0</v>
      </c>
      <c r="L21" s="68">
        <f t="shared" ca="1" si="1"/>
        <v>0</v>
      </c>
      <c r="M21" s="68">
        <f t="shared" ca="1" si="2"/>
        <v>0</v>
      </c>
      <c r="N21" s="68" t="b">
        <f t="shared" ca="1" si="3"/>
        <v>0</v>
      </c>
      <c r="O21" s="68" t="str">
        <f t="shared" ca="1" si="4"/>
        <v/>
      </c>
      <c r="P21" s="68"/>
      <c r="Q21" s="68"/>
      <c r="R21" s="68"/>
      <c r="S21" s="68"/>
      <c r="T21" s="68"/>
      <c r="U21" s="68"/>
    </row>
    <row r="22" spans="1:21">
      <c r="A22" s="81">
        <v>20</v>
      </c>
      <c r="B22" s="44"/>
      <c r="C22" s="45"/>
      <c r="D22" s="47"/>
      <c r="E22" s="46">
        <v>0</v>
      </c>
      <c r="F22" s="51"/>
      <c r="G22" s="52"/>
      <c r="H22" s="52"/>
      <c r="I22" s="47"/>
      <c r="J22" s="44"/>
      <c r="K22" s="24">
        <f t="shared" ca="1" si="0"/>
        <v>0</v>
      </c>
      <c r="L22" s="68">
        <f t="shared" ca="1" si="1"/>
        <v>0</v>
      </c>
      <c r="M22" s="68">
        <f t="shared" ca="1" si="2"/>
        <v>0</v>
      </c>
      <c r="N22" s="68" t="b">
        <f t="shared" ca="1" si="3"/>
        <v>0</v>
      </c>
      <c r="O22" s="68" t="str">
        <f t="shared" ca="1" si="4"/>
        <v/>
      </c>
      <c r="P22" s="68"/>
      <c r="Q22" s="68"/>
      <c r="R22" s="68"/>
      <c r="S22" s="68"/>
      <c r="T22" s="68"/>
      <c r="U22" s="68"/>
    </row>
    <row r="23" spans="1:21" ht="15.75">
      <c r="A23" s="82">
        <v>21</v>
      </c>
      <c r="B23" s="44"/>
      <c r="C23" s="45"/>
      <c r="D23" s="47"/>
      <c r="E23" s="46">
        <v>0</v>
      </c>
      <c r="F23" s="51"/>
      <c r="G23" s="52"/>
      <c r="H23" s="52"/>
      <c r="I23" s="47"/>
      <c r="J23" s="44"/>
      <c r="K23" s="24">
        <f t="shared" ca="1" si="0"/>
        <v>0</v>
      </c>
      <c r="L23" s="68">
        <f t="shared" ca="1" si="1"/>
        <v>0</v>
      </c>
      <c r="M23" s="68">
        <f t="shared" ca="1" si="2"/>
        <v>0</v>
      </c>
      <c r="N23" s="68" t="b">
        <f t="shared" ca="1" si="3"/>
        <v>0</v>
      </c>
      <c r="O23" s="68" t="str">
        <f t="shared" ca="1" si="4"/>
        <v/>
      </c>
      <c r="P23" s="68"/>
      <c r="Q23" s="68"/>
      <c r="R23" s="68"/>
      <c r="S23" s="68"/>
      <c r="T23" s="68"/>
      <c r="U23" s="68"/>
    </row>
    <row r="24" spans="1:21" ht="15.75">
      <c r="A24" s="82">
        <v>22</v>
      </c>
      <c r="B24" s="44"/>
      <c r="C24" s="45"/>
      <c r="D24" s="47"/>
      <c r="E24" s="46">
        <v>0</v>
      </c>
      <c r="F24" s="51"/>
      <c r="G24" s="52"/>
      <c r="H24" s="52"/>
      <c r="I24" s="47"/>
      <c r="J24" s="44"/>
      <c r="K24" s="24">
        <f t="shared" ca="1" si="0"/>
        <v>0</v>
      </c>
      <c r="L24" s="68">
        <f t="shared" ca="1" si="1"/>
        <v>0</v>
      </c>
      <c r="M24" s="68">
        <f t="shared" ca="1" si="2"/>
        <v>0</v>
      </c>
      <c r="N24" s="68" t="b">
        <f t="shared" ca="1" si="3"/>
        <v>0</v>
      </c>
      <c r="O24" s="68" t="str">
        <f t="shared" ca="1" si="4"/>
        <v/>
      </c>
      <c r="P24" s="68"/>
      <c r="Q24" s="68"/>
      <c r="R24" s="68"/>
      <c r="S24" s="68"/>
      <c r="T24" s="68"/>
      <c r="U24" s="68"/>
    </row>
    <row r="25" spans="1:21" ht="15.75">
      <c r="A25" s="82">
        <v>23</v>
      </c>
      <c r="B25" s="44"/>
      <c r="C25" s="45"/>
      <c r="D25" s="47"/>
      <c r="E25" s="46">
        <v>0</v>
      </c>
      <c r="F25" s="51"/>
      <c r="G25" s="52"/>
      <c r="H25" s="52"/>
      <c r="I25" s="47"/>
      <c r="J25" s="44"/>
      <c r="K25" s="24">
        <f t="shared" ca="1" si="0"/>
        <v>0</v>
      </c>
      <c r="L25" s="68">
        <f t="shared" ca="1" si="1"/>
        <v>0</v>
      </c>
      <c r="M25" s="68">
        <f t="shared" ca="1" si="2"/>
        <v>0</v>
      </c>
      <c r="N25" s="68" t="b">
        <f t="shared" ca="1" si="3"/>
        <v>0</v>
      </c>
      <c r="O25" s="68" t="str">
        <f t="shared" ca="1" si="4"/>
        <v/>
      </c>
      <c r="P25" s="68"/>
      <c r="Q25" s="68"/>
      <c r="R25" s="68"/>
      <c r="S25" s="68"/>
      <c r="T25" s="68"/>
      <c r="U25" s="68"/>
    </row>
    <row r="26" spans="1:21" ht="15.75">
      <c r="A26" s="82">
        <v>24</v>
      </c>
      <c r="B26" s="44"/>
      <c r="C26" s="45"/>
      <c r="D26" s="54"/>
      <c r="E26" s="46">
        <v>0</v>
      </c>
      <c r="F26" s="51"/>
      <c r="G26" s="52"/>
      <c r="H26" s="52"/>
      <c r="I26" s="47"/>
      <c r="J26" s="44"/>
      <c r="K26" s="24">
        <f t="shared" ca="1" si="0"/>
        <v>0</v>
      </c>
      <c r="L26" s="68">
        <f t="shared" ca="1" si="1"/>
        <v>0</v>
      </c>
      <c r="M26" s="68">
        <f t="shared" ca="1" si="2"/>
        <v>0</v>
      </c>
      <c r="N26" s="68" t="b">
        <f t="shared" ca="1" si="3"/>
        <v>0</v>
      </c>
      <c r="O26" s="68" t="str">
        <f t="shared" ca="1" si="4"/>
        <v/>
      </c>
      <c r="P26" s="68"/>
      <c r="Q26" s="68"/>
      <c r="R26" s="68"/>
      <c r="S26" s="68"/>
      <c r="T26" s="68"/>
      <c r="U26" s="68"/>
    </row>
    <row r="27" spans="1:21" ht="15.75">
      <c r="A27" s="83">
        <v>25</v>
      </c>
      <c r="B27" s="48"/>
      <c r="C27" s="49"/>
      <c r="D27" s="50"/>
      <c r="E27" s="46">
        <v>0</v>
      </c>
      <c r="F27" s="55"/>
      <c r="G27" s="56"/>
      <c r="H27" s="56"/>
      <c r="I27" s="50"/>
      <c r="J27" s="48"/>
      <c r="K27" s="25">
        <f t="shared" ca="1" si="0"/>
        <v>0</v>
      </c>
      <c r="L27" s="68">
        <f t="shared" ca="1" si="1"/>
        <v>0</v>
      </c>
      <c r="M27" s="68">
        <f t="shared" ca="1" si="2"/>
        <v>0</v>
      </c>
      <c r="N27" s="68" t="b">
        <f t="shared" ca="1" si="3"/>
        <v>0</v>
      </c>
      <c r="O27" s="68" t="str">
        <f ca="1">IF(C27="","",DATEDIF($C27,TODAY(),"m"))</f>
        <v/>
      </c>
      <c r="P27" s="68"/>
      <c r="Q27" s="68"/>
      <c r="R27" s="68"/>
      <c r="S27" s="68"/>
      <c r="T27" s="68"/>
      <c r="U27" s="68"/>
    </row>
  </sheetData>
  <sheetProtection algorithmName="SHA-512" hashValue="T0124ZIcdBFPyF6o/9kCCV/zGcB6A3cg/4feIv4pWM35H8v6qTe4OP31UVBTNouaeRydD2V9EBEgPka5qN7MQg==" saltValue="DPjUQDx+GF1BVeH3aoDTTA==" spinCount="100000" sheet="1" objects="1" scenarios="1" selectLockedCells="1"/>
  <mergeCells count="1">
    <mergeCell ref="P4:T4"/>
  </mergeCells>
  <conditionalFormatting sqref="A3:K27">
    <cfRule type="expression" dxfId="174" priority="1">
      <formula>ROW()=CELL("LIN")</formula>
    </cfRule>
    <cfRule type="expression" dxfId="173" priority="2">
      <formula>IF($D3&lt;&gt;"",1,0)</formula>
    </cfRule>
  </conditionalFormatting>
  <conditionalFormatting sqref="O3:O27">
    <cfRule type="cellIs" dxfId="172" priority="3" operator="lessThan">
      <formula>$T$3</formula>
    </cfRule>
  </conditionalFormatting>
  <pageMargins left="1" right="1" top="1" bottom="1" header="0.5" footer="0.5"/>
  <pageSetup paperSize="9" scale="51" fitToHeight="0" orientation="landscape" horizontalDpi="300" verticalDpi="300" r:id="rId1"/>
  <drawing r:id="rId2"/>
  <tableParts count="1">
    <tablePart r:id="rId3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15E07-8349-4C69-8A60-56C11A9438E4}">
  <sheetPr codeName="Planilha11"/>
  <dimension ref="A1:AE29"/>
  <sheetViews>
    <sheetView showGridLines="0" showRowColHeaders="0" view="pageBreakPreview" zoomScale="60" zoomScaleNormal="70" workbookViewId="0">
      <pane xSplit="4" topLeftCell="E1" activePane="topRight" state="frozen"/>
      <selection sqref="A1:D3"/>
      <selection pane="topRight" activeCell="E6" sqref="E6"/>
    </sheetView>
  </sheetViews>
  <sheetFormatPr defaultRowHeight="12.75"/>
  <cols>
    <col min="2" max="2" width="39.28515625" bestFit="1" customWidth="1"/>
    <col min="3" max="3" width="14.28515625" customWidth="1"/>
    <col min="4" max="4" width="40.140625" customWidth="1"/>
    <col min="5" max="5" width="15.28515625" customWidth="1"/>
    <col min="6" max="6" width="16.28515625" customWidth="1"/>
    <col min="7" max="7" width="24.7109375" customWidth="1"/>
    <col min="8" max="8" width="15.140625" customWidth="1"/>
    <col min="9" max="9" width="14.5703125" customWidth="1"/>
    <col min="10" max="10" width="24.5703125" customWidth="1"/>
    <col min="12" max="12" width="14.140625" customWidth="1"/>
    <col min="13" max="13" width="15.140625" customWidth="1"/>
    <col min="14" max="14" width="23.5703125" customWidth="1"/>
    <col min="15" max="15" width="14.85546875" customWidth="1"/>
    <col min="16" max="16" width="15.85546875" customWidth="1"/>
    <col min="17" max="17" width="24.28515625" customWidth="1"/>
    <col min="19" max="19" width="15.140625" customWidth="1"/>
    <col min="20" max="20" width="16.140625" customWidth="1"/>
    <col min="21" max="21" width="24.5703125" customWidth="1"/>
    <col min="22" max="22" width="14.7109375" customWidth="1"/>
    <col min="23" max="23" width="15.7109375" customWidth="1"/>
    <col min="24" max="24" width="24.140625" customWidth="1"/>
    <col min="26" max="26" width="15" customWidth="1"/>
    <col min="27" max="27" width="16" customWidth="1"/>
    <col min="28" max="28" width="24.42578125" customWidth="1"/>
    <col min="29" max="29" width="15.140625" customWidth="1"/>
    <col min="30" max="30" width="16.140625" customWidth="1"/>
    <col min="31" max="31" width="24.5703125" customWidth="1"/>
  </cols>
  <sheetData>
    <row r="1" spans="1:31" ht="30" customHeight="1" thickBot="1">
      <c r="A1" s="124" t="str">
        <f>CONCATENATE('3A-B-Turma'!B2&amp;" - ",'3A-B-Turma'!B3)</f>
        <v>3º Ano - B - Tarde</v>
      </c>
      <c r="B1" s="124"/>
      <c r="C1" s="124"/>
      <c r="D1" s="125"/>
      <c r="E1" s="128" t="s">
        <v>41</v>
      </c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  <c r="V1" s="129"/>
      <c r="W1" s="129"/>
      <c r="X1" s="129"/>
      <c r="Y1" s="129"/>
      <c r="Z1" s="129"/>
      <c r="AA1" s="129"/>
      <c r="AB1" s="129"/>
      <c r="AC1" s="129"/>
      <c r="AD1" s="129"/>
      <c r="AE1" s="130"/>
    </row>
    <row r="2" spans="1:31" ht="16.5" thickBot="1">
      <c r="A2" s="124"/>
      <c r="B2" s="124"/>
      <c r="C2" s="124"/>
      <c r="D2" s="125"/>
      <c r="E2" s="131" t="s">
        <v>37</v>
      </c>
      <c r="F2" s="132"/>
      <c r="G2" s="132"/>
      <c r="H2" s="132"/>
      <c r="I2" s="132"/>
      <c r="J2" s="132"/>
      <c r="K2" s="132"/>
      <c r="L2" s="132"/>
      <c r="M2" s="132"/>
      <c r="N2" s="132"/>
      <c r="O2" s="132"/>
      <c r="P2" s="132"/>
      <c r="Q2" s="133"/>
      <c r="R2" s="64"/>
      <c r="S2" s="131" t="s">
        <v>38</v>
      </c>
      <c r="T2" s="132"/>
      <c r="U2" s="132"/>
      <c r="V2" s="132"/>
      <c r="W2" s="132"/>
      <c r="X2" s="132"/>
      <c r="Y2" s="132"/>
      <c r="Z2" s="132"/>
      <c r="AA2" s="132"/>
      <c r="AB2" s="132"/>
      <c r="AC2" s="132"/>
      <c r="AD2" s="132"/>
      <c r="AE2" s="133"/>
    </row>
    <row r="3" spans="1:31" ht="15">
      <c r="A3" s="126"/>
      <c r="B3" s="126"/>
      <c r="C3" s="126"/>
      <c r="D3" s="127"/>
      <c r="E3" s="134" t="s">
        <v>33</v>
      </c>
      <c r="F3" s="135"/>
      <c r="G3" s="136"/>
      <c r="H3" s="138" t="s">
        <v>34</v>
      </c>
      <c r="I3" s="139"/>
      <c r="J3" s="140"/>
      <c r="K3" s="64"/>
      <c r="L3" s="134" t="s">
        <v>35</v>
      </c>
      <c r="M3" s="135"/>
      <c r="N3" s="136"/>
      <c r="O3" s="138" t="s">
        <v>36</v>
      </c>
      <c r="P3" s="139"/>
      <c r="Q3" s="140"/>
      <c r="R3" s="64"/>
      <c r="S3" s="137" t="s">
        <v>39</v>
      </c>
      <c r="T3" s="135"/>
      <c r="U3" s="136"/>
      <c r="V3" s="141" t="s">
        <v>40</v>
      </c>
      <c r="W3" s="139"/>
      <c r="X3" s="140"/>
      <c r="Y3" s="64"/>
      <c r="Z3" s="134" t="s">
        <v>31</v>
      </c>
      <c r="AA3" s="135"/>
      <c r="AB3" s="136"/>
      <c r="AC3" s="138" t="s">
        <v>32</v>
      </c>
      <c r="AD3" s="139"/>
      <c r="AE3" s="140"/>
    </row>
    <row r="4" spans="1:31" ht="15.75">
      <c r="A4" s="63" t="s">
        <v>9</v>
      </c>
      <c r="B4" s="57" t="s">
        <v>10</v>
      </c>
      <c r="C4" s="58" t="s">
        <v>13</v>
      </c>
      <c r="D4" s="59" t="s">
        <v>16</v>
      </c>
      <c r="E4" s="31" t="s">
        <v>42</v>
      </c>
      <c r="F4" s="32" t="s">
        <v>43</v>
      </c>
      <c r="G4" s="33" t="s">
        <v>44</v>
      </c>
      <c r="H4" s="34" t="s">
        <v>46</v>
      </c>
      <c r="I4" s="35" t="s">
        <v>45</v>
      </c>
      <c r="J4" s="36" t="s">
        <v>51</v>
      </c>
      <c r="K4" s="65" t="s">
        <v>47</v>
      </c>
      <c r="L4" s="37" t="s">
        <v>48</v>
      </c>
      <c r="M4" s="32" t="s">
        <v>49</v>
      </c>
      <c r="N4" s="33" t="s">
        <v>50</v>
      </c>
      <c r="O4" s="34" t="s">
        <v>52</v>
      </c>
      <c r="P4" s="35" t="s">
        <v>53</v>
      </c>
      <c r="Q4" s="36" t="s">
        <v>54</v>
      </c>
      <c r="R4" s="65" t="s">
        <v>55</v>
      </c>
      <c r="S4" s="37" t="s">
        <v>56</v>
      </c>
      <c r="T4" s="32" t="s">
        <v>57</v>
      </c>
      <c r="U4" s="33" t="s">
        <v>58</v>
      </c>
      <c r="V4" s="34" t="s">
        <v>59</v>
      </c>
      <c r="W4" s="35" t="s">
        <v>60</v>
      </c>
      <c r="X4" s="36" t="s">
        <v>61</v>
      </c>
      <c r="Y4" s="65" t="s">
        <v>62</v>
      </c>
      <c r="Z4" s="37" t="s">
        <v>63</v>
      </c>
      <c r="AA4" s="32" t="s">
        <v>64</v>
      </c>
      <c r="AB4" s="33" t="s">
        <v>65</v>
      </c>
      <c r="AC4" s="34" t="s">
        <v>66</v>
      </c>
      <c r="AD4" s="35" t="s">
        <v>67</v>
      </c>
      <c r="AE4" s="38" t="s">
        <v>68</v>
      </c>
    </row>
    <row r="5" spans="1:31" ht="15">
      <c r="A5" s="72">
        <v>1</v>
      </c>
      <c r="B5" s="60" t="str">
        <f>IF('3A-B'!B3&lt;&gt;0,'3A-B'!B3,"")</f>
        <v/>
      </c>
      <c r="C5" s="61" t="str">
        <f>IF('3A-B'!C3&lt;&gt;0,'3A-B'!C3,"")</f>
        <v/>
      </c>
      <c r="D5" s="62" t="str">
        <f>IF('3A-B'!D3&lt;&gt;0,'3A-B'!D3,"")</f>
        <v/>
      </c>
      <c r="E5" s="43"/>
      <c r="F5" s="42"/>
      <c r="G5" s="28" t="e">
        <f t="shared" ref="G5:G29" si="0">ROUND((E5*100)/(E5+F5),0)/100</f>
        <v>#DIV/0!</v>
      </c>
      <c r="H5" s="39"/>
      <c r="I5" s="40"/>
      <c r="J5" s="29" t="e">
        <f t="shared" ref="J5:J29" si="1">ROUND((H5*100)/(H5+I5),0)/100</f>
        <v>#DIV/0!</v>
      </c>
      <c r="K5" s="87">
        <f>Tabela27368101214161921[[#This Row],[Nº]]</f>
        <v>1</v>
      </c>
      <c r="L5" s="41"/>
      <c r="M5" s="42"/>
      <c r="N5" s="28" t="e">
        <f t="shared" ref="N5:N29" si="2">ROUND((L5*100)/(L5+M5),0)/100</f>
        <v>#DIV/0!</v>
      </c>
      <c r="O5" s="39"/>
      <c r="P5" s="40"/>
      <c r="Q5" s="29" t="e">
        <f t="shared" ref="Q5:Q29" si="3">ROUND((O5*100)/(O5+P5),0)/100</f>
        <v>#DIV/0!</v>
      </c>
      <c r="R5" s="87">
        <f>Tabela27368101214161921[[#This Row],[Nº]]</f>
        <v>1</v>
      </c>
      <c r="S5" s="41"/>
      <c r="T5" s="42"/>
      <c r="U5" s="28" t="e">
        <f t="shared" ref="U5:U29" si="4">ROUND((S5*100)/(S5+T5),0)/100</f>
        <v>#DIV/0!</v>
      </c>
      <c r="V5" s="39"/>
      <c r="W5" s="40"/>
      <c r="X5" s="29" t="e">
        <f t="shared" ref="X5:X29" si="5">ROUND((V5*100)/(V5+W5),0)/100</f>
        <v>#DIV/0!</v>
      </c>
      <c r="Y5" s="87">
        <f>Tabela27368101214161921[[#This Row],[Nº]]</f>
        <v>1</v>
      </c>
      <c r="Z5" s="41"/>
      <c r="AA5" s="42"/>
      <c r="AB5" s="28" t="e">
        <f t="shared" ref="AB5:AB29" si="6">ROUND((Z5*100)/(Z5+AA5),0)/100</f>
        <v>#DIV/0!</v>
      </c>
      <c r="AC5" s="39"/>
      <c r="AD5" s="40"/>
      <c r="AE5" s="30" t="e">
        <f t="shared" ref="AE5:AE29" si="7">ROUND((AC5*100)/(AC5+AD5),0)/100</f>
        <v>#DIV/0!</v>
      </c>
    </row>
    <row r="6" spans="1:31" ht="15">
      <c r="A6" s="72">
        <v>2</v>
      </c>
      <c r="B6" s="60" t="str">
        <f>IF('3A-B'!B4&lt;&gt;0,'3A-B'!B4,"")</f>
        <v/>
      </c>
      <c r="C6" s="61" t="str">
        <f>IF('3A-B'!C4&lt;&gt;0,'3A-B'!C4,"")</f>
        <v/>
      </c>
      <c r="D6" s="62" t="str">
        <f>IF('3A-B'!D4&lt;&gt;0,'3A-B'!D4,"")</f>
        <v/>
      </c>
      <c r="E6" s="43"/>
      <c r="F6" s="42"/>
      <c r="G6" s="28" t="e">
        <f t="shared" si="0"/>
        <v>#DIV/0!</v>
      </c>
      <c r="H6" s="39"/>
      <c r="I6" s="40"/>
      <c r="J6" s="29" t="e">
        <f t="shared" si="1"/>
        <v>#DIV/0!</v>
      </c>
      <c r="K6" s="87">
        <f>Tabela27368101214161921[[#This Row],[Nº]]</f>
        <v>2</v>
      </c>
      <c r="L6" s="41"/>
      <c r="M6" s="42"/>
      <c r="N6" s="28" t="e">
        <f t="shared" si="2"/>
        <v>#DIV/0!</v>
      </c>
      <c r="O6" s="39"/>
      <c r="P6" s="40"/>
      <c r="Q6" s="29" t="e">
        <f t="shared" si="3"/>
        <v>#DIV/0!</v>
      </c>
      <c r="R6" s="87">
        <f>Tabela27368101214161921[[#This Row],[Nº]]</f>
        <v>2</v>
      </c>
      <c r="S6" s="41"/>
      <c r="T6" s="42"/>
      <c r="U6" s="28" t="e">
        <f t="shared" si="4"/>
        <v>#DIV/0!</v>
      </c>
      <c r="V6" s="39"/>
      <c r="W6" s="40"/>
      <c r="X6" s="29" t="e">
        <f t="shared" si="5"/>
        <v>#DIV/0!</v>
      </c>
      <c r="Y6" s="87">
        <f>Tabela27368101214161921[[#This Row],[Nº]]</f>
        <v>2</v>
      </c>
      <c r="Z6" s="41"/>
      <c r="AA6" s="42"/>
      <c r="AB6" s="28" t="e">
        <f t="shared" si="6"/>
        <v>#DIV/0!</v>
      </c>
      <c r="AC6" s="39"/>
      <c r="AD6" s="40"/>
      <c r="AE6" s="30" t="e">
        <f t="shared" si="7"/>
        <v>#DIV/0!</v>
      </c>
    </row>
    <row r="7" spans="1:31" ht="15">
      <c r="A7" s="72">
        <v>3</v>
      </c>
      <c r="B7" s="60" t="str">
        <f>IF('3A-B'!B5&lt;&gt;0,'3A-B'!B5,"")</f>
        <v/>
      </c>
      <c r="C7" s="61" t="str">
        <f>IF('3A-B'!C5&lt;&gt;0,'3A-B'!C5,"")</f>
        <v/>
      </c>
      <c r="D7" s="62" t="str">
        <f>IF('3A-B'!D5&lt;&gt;0,'3A-B'!D5,"")</f>
        <v/>
      </c>
      <c r="E7" s="43"/>
      <c r="F7" s="42"/>
      <c r="G7" s="28" t="e">
        <f t="shared" si="0"/>
        <v>#DIV/0!</v>
      </c>
      <c r="H7" s="39"/>
      <c r="I7" s="40"/>
      <c r="J7" s="29" t="e">
        <f t="shared" si="1"/>
        <v>#DIV/0!</v>
      </c>
      <c r="K7" s="87">
        <f>Tabela27368101214161921[[#This Row],[Nº]]</f>
        <v>3</v>
      </c>
      <c r="L7" s="41"/>
      <c r="M7" s="42"/>
      <c r="N7" s="28" t="e">
        <f t="shared" si="2"/>
        <v>#DIV/0!</v>
      </c>
      <c r="O7" s="39"/>
      <c r="P7" s="40"/>
      <c r="Q7" s="29" t="e">
        <f t="shared" si="3"/>
        <v>#DIV/0!</v>
      </c>
      <c r="R7" s="87">
        <f>Tabela27368101214161921[[#This Row],[Nº]]</f>
        <v>3</v>
      </c>
      <c r="S7" s="41"/>
      <c r="T7" s="42"/>
      <c r="U7" s="28" t="e">
        <f t="shared" si="4"/>
        <v>#DIV/0!</v>
      </c>
      <c r="V7" s="39"/>
      <c r="W7" s="40"/>
      <c r="X7" s="29" t="e">
        <f t="shared" si="5"/>
        <v>#DIV/0!</v>
      </c>
      <c r="Y7" s="87">
        <f>Tabela27368101214161921[[#This Row],[Nº]]</f>
        <v>3</v>
      </c>
      <c r="Z7" s="41"/>
      <c r="AA7" s="42"/>
      <c r="AB7" s="28" t="e">
        <f t="shared" si="6"/>
        <v>#DIV/0!</v>
      </c>
      <c r="AC7" s="39"/>
      <c r="AD7" s="40"/>
      <c r="AE7" s="30" t="e">
        <f t="shared" si="7"/>
        <v>#DIV/0!</v>
      </c>
    </row>
    <row r="8" spans="1:31" ht="15">
      <c r="A8" s="72">
        <v>4</v>
      </c>
      <c r="B8" s="60" t="str">
        <f>IF('3A-B'!B6&lt;&gt;0,'3A-B'!B6,"")</f>
        <v/>
      </c>
      <c r="C8" s="61" t="str">
        <f>IF('3A-B'!C6&lt;&gt;0,'3A-B'!C6,"")</f>
        <v/>
      </c>
      <c r="D8" s="62" t="str">
        <f>IF('3A-B'!D6&lt;&gt;0,'3A-B'!D6,"")</f>
        <v/>
      </c>
      <c r="E8" s="43"/>
      <c r="F8" s="42"/>
      <c r="G8" s="28" t="e">
        <f t="shared" si="0"/>
        <v>#DIV/0!</v>
      </c>
      <c r="H8" s="39"/>
      <c r="I8" s="40"/>
      <c r="J8" s="29" t="e">
        <f t="shared" si="1"/>
        <v>#DIV/0!</v>
      </c>
      <c r="K8" s="87">
        <f>Tabela27368101214161921[[#This Row],[Nº]]</f>
        <v>4</v>
      </c>
      <c r="L8" s="41"/>
      <c r="M8" s="42"/>
      <c r="N8" s="28" t="e">
        <f t="shared" si="2"/>
        <v>#DIV/0!</v>
      </c>
      <c r="O8" s="39"/>
      <c r="P8" s="40"/>
      <c r="Q8" s="29" t="e">
        <f t="shared" si="3"/>
        <v>#DIV/0!</v>
      </c>
      <c r="R8" s="87">
        <f>Tabela27368101214161921[[#This Row],[Nº]]</f>
        <v>4</v>
      </c>
      <c r="S8" s="41"/>
      <c r="T8" s="42"/>
      <c r="U8" s="28" t="e">
        <f t="shared" si="4"/>
        <v>#DIV/0!</v>
      </c>
      <c r="V8" s="39"/>
      <c r="W8" s="40"/>
      <c r="X8" s="29" t="e">
        <f t="shared" si="5"/>
        <v>#DIV/0!</v>
      </c>
      <c r="Y8" s="87">
        <f>Tabela27368101214161921[[#This Row],[Nº]]</f>
        <v>4</v>
      </c>
      <c r="Z8" s="41"/>
      <c r="AA8" s="42"/>
      <c r="AB8" s="28" t="e">
        <f t="shared" si="6"/>
        <v>#DIV/0!</v>
      </c>
      <c r="AC8" s="39"/>
      <c r="AD8" s="40"/>
      <c r="AE8" s="30" t="e">
        <f t="shared" si="7"/>
        <v>#DIV/0!</v>
      </c>
    </row>
    <row r="9" spans="1:31" ht="15">
      <c r="A9" s="72">
        <v>5</v>
      </c>
      <c r="B9" s="60" t="str">
        <f>IF('3A-B'!B7&lt;&gt;0,'3A-B'!B7,"")</f>
        <v/>
      </c>
      <c r="C9" s="61" t="str">
        <f>IF('3A-B'!C7&lt;&gt;0,'3A-B'!C7,"")</f>
        <v/>
      </c>
      <c r="D9" s="62" t="str">
        <f>IF('3A-B'!D7&lt;&gt;0,'3A-B'!D7,"")</f>
        <v/>
      </c>
      <c r="E9" s="43"/>
      <c r="F9" s="42"/>
      <c r="G9" s="28" t="e">
        <f t="shared" si="0"/>
        <v>#DIV/0!</v>
      </c>
      <c r="H9" s="39"/>
      <c r="I9" s="40"/>
      <c r="J9" s="29" t="e">
        <f t="shared" si="1"/>
        <v>#DIV/0!</v>
      </c>
      <c r="K9" s="87">
        <f>Tabela27368101214161921[[#This Row],[Nº]]</f>
        <v>5</v>
      </c>
      <c r="L9" s="41"/>
      <c r="M9" s="42"/>
      <c r="N9" s="28" t="e">
        <f t="shared" si="2"/>
        <v>#DIV/0!</v>
      </c>
      <c r="O9" s="39"/>
      <c r="P9" s="40"/>
      <c r="Q9" s="29" t="e">
        <f t="shared" si="3"/>
        <v>#DIV/0!</v>
      </c>
      <c r="R9" s="87">
        <f>Tabela27368101214161921[[#This Row],[Nº]]</f>
        <v>5</v>
      </c>
      <c r="S9" s="41"/>
      <c r="T9" s="42"/>
      <c r="U9" s="28" t="e">
        <f t="shared" si="4"/>
        <v>#DIV/0!</v>
      </c>
      <c r="V9" s="39"/>
      <c r="W9" s="40"/>
      <c r="X9" s="29" t="e">
        <f t="shared" si="5"/>
        <v>#DIV/0!</v>
      </c>
      <c r="Y9" s="87">
        <f>Tabela27368101214161921[[#This Row],[Nº]]</f>
        <v>5</v>
      </c>
      <c r="Z9" s="41"/>
      <c r="AA9" s="42"/>
      <c r="AB9" s="28" t="e">
        <f t="shared" si="6"/>
        <v>#DIV/0!</v>
      </c>
      <c r="AC9" s="39"/>
      <c r="AD9" s="40"/>
      <c r="AE9" s="30" t="e">
        <f t="shared" si="7"/>
        <v>#DIV/0!</v>
      </c>
    </row>
    <row r="10" spans="1:31" ht="15">
      <c r="A10" s="72">
        <v>6</v>
      </c>
      <c r="B10" s="60" t="str">
        <f>IF('3A-B'!B8&lt;&gt;0,'3A-B'!B8,"")</f>
        <v/>
      </c>
      <c r="C10" s="61" t="str">
        <f>IF('3A-B'!C8&lt;&gt;0,'3A-B'!C8,"")</f>
        <v/>
      </c>
      <c r="D10" s="62" t="str">
        <f>IF('3A-B'!D8&lt;&gt;0,'3A-B'!D8,"")</f>
        <v/>
      </c>
      <c r="E10" s="43"/>
      <c r="F10" s="42"/>
      <c r="G10" s="28" t="e">
        <f t="shared" si="0"/>
        <v>#DIV/0!</v>
      </c>
      <c r="H10" s="39"/>
      <c r="I10" s="40"/>
      <c r="J10" s="29" t="e">
        <f t="shared" si="1"/>
        <v>#DIV/0!</v>
      </c>
      <c r="K10" s="87">
        <f>Tabela27368101214161921[[#This Row],[Nº]]</f>
        <v>6</v>
      </c>
      <c r="L10" s="41"/>
      <c r="M10" s="42"/>
      <c r="N10" s="28" t="e">
        <f t="shared" si="2"/>
        <v>#DIV/0!</v>
      </c>
      <c r="O10" s="39"/>
      <c r="P10" s="40"/>
      <c r="Q10" s="29" t="e">
        <f t="shared" si="3"/>
        <v>#DIV/0!</v>
      </c>
      <c r="R10" s="87">
        <f>Tabela27368101214161921[[#This Row],[Nº]]</f>
        <v>6</v>
      </c>
      <c r="S10" s="41"/>
      <c r="T10" s="42"/>
      <c r="U10" s="28" t="e">
        <f t="shared" si="4"/>
        <v>#DIV/0!</v>
      </c>
      <c r="V10" s="39"/>
      <c r="W10" s="40"/>
      <c r="X10" s="29" t="e">
        <f t="shared" si="5"/>
        <v>#DIV/0!</v>
      </c>
      <c r="Y10" s="87">
        <f>Tabela27368101214161921[[#This Row],[Nº]]</f>
        <v>6</v>
      </c>
      <c r="Z10" s="41"/>
      <c r="AA10" s="42"/>
      <c r="AB10" s="28" t="e">
        <f t="shared" si="6"/>
        <v>#DIV/0!</v>
      </c>
      <c r="AC10" s="39"/>
      <c r="AD10" s="40"/>
      <c r="AE10" s="30" t="e">
        <f t="shared" si="7"/>
        <v>#DIV/0!</v>
      </c>
    </row>
    <row r="11" spans="1:31" ht="15">
      <c r="A11" s="72">
        <v>7</v>
      </c>
      <c r="B11" s="60" t="str">
        <f>IF('3A-B'!B9&lt;&gt;0,'3A-B'!B9,"")</f>
        <v/>
      </c>
      <c r="C11" s="61" t="str">
        <f>IF('3A-B'!C9&lt;&gt;0,'3A-B'!C9,"")</f>
        <v/>
      </c>
      <c r="D11" s="62" t="str">
        <f>IF('3A-B'!D9&lt;&gt;0,'3A-B'!D9,"")</f>
        <v/>
      </c>
      <c r="E11" s="43"/>
      <c r="F11" s="42"/>
      <c r="G11" s="28" t="e">
        <f t="shared" si="0"/>
        <v>#DIV/0!</v>
      </c>
      <c r="H11" s="39"/>
      <c r="I11" s="40"/>
      <c r="J11" s="29" t="e">
        <f t="shared" si="1"/>
        <v>#DIV/0!</v>
      </c>
      <c r="K11" s="87">
        <f>Tabela27368101214161921[[#This Row],[Nº]]</f>
        <v>7</v>
      </c>
      <c r="L11" s="41"/>
      <c r="M11" s="42"/>
      <c r="N11" s="28" t="e">
        <f t="shared" si="2"/>
        <v>#DIV/0!</v>
      </c>
      <c r="O11" s="39"/>
      <c r="P11" s="40"/>
      <c r="Q11" s="29" t="e">
        <f t="shared" si="3"/>
        <v>#DIV/0!</v>
      </c>
      <c r="R11" s="87">
        <f>Tabela27368101214161921[[#This Row],[Nº]]</f>
        <v>7</v>
      </c>
      <c r="S11" s="41"/>
      <c r="T11" s="42"/>
      <c r="U11" s="28" t="e">
        <f t="shared" si="4"/>
        <v>#DIV/0!</v>
      </c>
      <c r="V11" s="39"/>
      <c r="W11" s="40"/>
      <c r="X11" s="29" t="e">
        <f t="shared" si="5"/>
        <v>#DIV/0!</v>
      </c>
      <c r="Y11" s="87">
        <f>Tabela27368101214161921[[#This Row],[Nº]]</f>
        <v>7</v>
      </c>
      <c r="Z11" s="41"/>
      <c r="AA11" s="42"/>
      <c r="AB11" s="28" t="e">
        <f t="shared" si="6"/>
        <v>#DIV/0!</v>
      </c>
      <c r="AC11" s="39"/>
      <c r="AD11" s="40"/>
      <c r="AE11" s="30" t="e">
        <f t="shared" si="7"/>
        <v>#DIV/0!</v>
      </c>
    </row>
    <row r="12" spans="1:31" ht="15">
      <c r="A12" s="72">
        <v>8</v>
      </c>
      <c r="B12" s="60" t="str">
        <f>IF('3A-B'!B10&lt;&gt;0,'3A-B'!B10,"")</f>
        <v/>
      </c>
      <c r="C12" s="61" t="str">
        <f>IF('3A-B'!C10&lt;&gt;0,'3A-B'!C10,"")</f>
        <v/>
      </c>
      <c r="D12" s="62" t="str">
        <f>IF('3A-B'!D10&lt;&gt;0,'3A-B'!D10,"")</f>
        <v/>
      </c>
      <c r="E12" s="43"/>
      <c r="F12" s="42"/>
      <c r="G12" s="28" t="e">
        <f t="shared" si="0"/>
        <v>#DIV/0!</v>
      </c>
      <c r="H12" s="39"/>
      <c r="I12" s="40"/>
      <c r="J12" s="29" t="e">
        <f t="shared" si="1"/>
        <v>#DIV/0!</v>
      </c>
      <c r="K12" s="87">
        <f>Tabela27368101214161921[[#This Row],[Nº]]</f>
        <v>8</v>
      </c>
      <c r="L12" s="41"/>
      <c r="M12" s="42"/>
      <c r="N12" s="28" t="e">
        <f t="shared" si="2"/>
        <v>#DIV/0!</v>
      </c>
      <c r="O12" s="39"/>
      <c r="P12" s="40"/>
      <c r="Q12" s="29" t="e">
        <f t="shared" si="3"/>
        <v>#DIV/0!</v>
      </c>
      <c r="R12" s="87">
        <f>Tabela27368101214161921[[#This Row],[Nº]]</f>
        <v>8</v>
      </c>
      <c r="S12" s="41"/>
      <c r="T12" s="42"/>
      <c r="U12" s="28" t="e">
        <f t="shared" si="4"/>
        <v>#DIV/0!</v>
      </c>
      <c r="V12" s="39"/>
      <c r="W12" s="40"/>
      <c r="X12" s="29" t="e">
        <f t="shared" si="5"/>
        <v>#DIV/0!</v>
      </c>
      <c r="Y12" s="87">
        <f>Tabela27368101214161921[[#This Row],[Nº]]</f>
        <v>8</v>
      </c>
      <c r="Z12" s="41"/>
      <c r="AA12" s="42"/>
      <c r="AB12" s="28" t="e">
        <f t="shared" si="6"/>
        <v>#DIV/0!</v>
      </c>
      <c r="AC12" s="39"/>
      <c r="AD12" s="40"/>
      <c r="AE12" s="30" t="e">
        <f t="shared" si="7"/>
        <v>#DIV/0!</v>
      </c>
    </row>
    <row r="13" spans="1:31" ht="15">
      <c r="A13" s="72">
        <v>9</v>
      </c>
      <c r="B13" s="60" t="str">
        <f>IF('3A-B'!B11&lt;&gt;0,'3A-B'!B11,"")</f>
        <v/>
      </c>
      <c r="C13" s="61" t="str">
        <f>IF('3A-B'!C11&lt;&gt;0,'3A-B'!C11,"")</f>
        <v/>
      </c>
      <c r="D13" s="62" t="str">
        <f>IF('3A-B'!D11&lt;&gt;0,'3A-B'!D11,"")</f>
        <v/>
      </c>
      <c r="E13" s="43"/>
      <c r="F13" s="42"/>
      <c r="G13" s="28" t="e">
        <f t="shared" si="0"/>
        <v>#DIV/0!</v>
      </c>
      <c r="H13" s="39"/>
      <c r="I13" s="40"/>
      <c r="J13" s="29" t="e">
        <f t="shared" si="1"/>
        <v>#DIV/0!</v>
      </c>
      <c r="K13" s="87">
        <f>Tabela27368101214161921[[#This Row],[Nº]]</f>
        <v>9</v>
      </c>
      <c r="L13" s="41"/>
      <c r="M13" s="42"/>
      <c r="N13" s="28" t="e">
        <f t="shared" si="2"/>
        <v>#DIV/0!</v>
      </c>
      <c r="O13" s="39"/>
      <c r="P13" s="40"/>
      <c r="Q13" s="29" t="e">
        <f t="shared" si="3"/>
        <v>#DIV/0!</v>
      </c>
      <c r="R13" s="87">
        <f>Tabela27368101214161921[[#This Row],[Nº]]</f>
        <v>9</v>
      </c>
      <c r="S13" s="41"/>
      <c r="T13" s="42"/>
      <c r="U13" s="28" t="e">
        <f t="shared" si="4"/>
        <v>#DIV/0!</v>
      </c>
      <c r="V13" s="39"/>
      <c r="W13" s="40"/>
      <c r="X13" s="29" t="e">
        <f t="shared" si="5"/>
        <v>#DIV/0!</v>
      </c>
      <c r="Y13" s="87">
        <f>Tabela27368101214161921[[#This Row],[Nº]]</f>
        <v>9</v>
      </c>
      <c r="Z13" s="41"/>
      <c r="AA13" s="42"/>
      <c r="AB13" s="28" t="e">
        <f t="shared" si="6"/>
        <v>#DIV/0!</v>
      </c>
      <c r="AC13" s="39"/>
      <c r="AD13" s="40"/>
      <c r="AE13" s="30" t="e">
        <f t="shared" si="7"/>
        <v>#DIV/0!</v>
      </c>
    </row>
    <row r="14" spans="1:31" ht="15">
      <c r="A14" s="72">
        <v>10</v>
      </c>
      <c r="B14" s="60" t="str">
        <f>IF('3A-B'!B12&lt;&gt;0,'3A-B'!B12,"")</f>
        <v/>
      </c>
      <c r="C14" s="61" t="str">
        <f>IF('3A-B'!C12&lt;&gt;0,'3A-B'!C12,"")</f>
        <v/>
      </c>
      <c r="D14" s="62" t="str">
        <f>IF('3A-B'!D12&lt;&gt;0,'3A-B'!D12,"")</f>
        <v/>
      </c>
      <c r="E14" s="43"/>
      <c r="F14" s="42"/>
      <c r="G14" s="28" t="e">
        <f t="shared" si="0"/>
        <v>#DIV/0!</v>
      </c>
      <c r="H14" s="39"/>
      <c r="I14" s="40"/>
      <c r="J14" s="29" t="e">
        <f t="shared" si="1"/>
        <v>#DIV/0!</v>
      </c>
      <c r="K14" s="87">
        <f>Tabela27368101214161921[[#This Row],[Nº]]</f>
        <v>10</v>
      </c>
      <c r="L14" s="41"/>
      <c r="M14" s="42"/>
      <c r="N14" s="28" t="e">
        <f t="shared" si="2"/>
        <v>#DIV/0!</v>
      </c>
      <c r="O14" s="39"/>
      <c r="P14" s="40"/>
      <c r="Q14" s="29" t="e">
        <f t="shared" si="3"/>
        <v>#DIV/0!</v>
      </c>
      <c r="R14" s="87">
        <f>Tabela27368101214161921[[#This Row],[Nº]]</f>
        <v>10</v>
      </c>
      <c r="S14" s="41"/>
      <c r="T14" s="42"/>
      <c r="U14" s="28" t="e">
        <f t="shared" si="4"/>
        <v>#DIV/0!</v>
      </c>
      <c r="V14" s="39"/>
      <c r="W14" s="40"/>
      <c r="X14" s="29" t="e">
        <f t="shared" si="5"/>
        <v>#DIV/0!</v>
      </c>
      <c r="Y14" s="87">
        <f>Tabela27368101214161921[[#This Row],[Nº]]</f>
        <v>10</v>
      </c>
      <c r="Z14" s="41"/>
      <c r="AA14" s="42"/>
      <c r="AB14" s="28" t="e">
        <f t="shared" si="6"/>
        <v>#DIV/0!</v>
      </c>
      <c r="AC14" s="39"/>
      <c r="AD14" s="40"/>
      <c r="AE14" s="30" t="e">
        <f t="shared" si="7"/>
        <v>#DIV/0!</v>
      </c>
    </row>
    <row r="15" spans="1:31" ht="15">
      <c r="A15" s="72">
        <v>11</v>
      </c>
      <c r="B15" s="60" t="str">
        <f>IF('3A-B'!B13&lt;&gt;0,'3A-B'!B13,"")</f>
        <v/>
      </c>
      <c r="C15" s="61" t="str">
        <f>IF('3A-B'!C13&lt;&gt;0,'3A-B'!C13,"")</f>
        <v/>
      </c>
      <c r="D15" s="62" t="str">
        <f>IF('3A-B'!D13&lt;&gt;0,'3A-B'!D13,"")</f>
        <v/>
      </c>
      <c r="E15" s="43"/>
      <c r="F15" s="42"/>
      <c r="G15" s="28" t="e">
        <f t="shared" si="0"/>
        <v>#DIV/0!</v>
      </c>
      <c r="H15" s="39"/>
      <c r="I15" s="40"/>
      <c r="J15" s="29" t="e">
        <f t="shared" si="1"/>
        <v>#DIV/0!</v>
      </c>
      <c r="K15" s="87">
        <f>Tabela27368101214161921[[#This Row],[Nº]]</f>
        <v>11</v>
      </c>
      <c r="L15" s="41"/>
      <c r="M15" s="42"/>
      <c r="N15" s="28" t="e">
        <f t="shared" si="2"/>
        <v>#DIV/0!</v>
      </c>
      <c r="O15" s="39"/>
      <c r="P15" s="40"/>
      <c r="Q15" s="29" t="e">
        <f t="shared" si="3"/>
        <v>#DIV/0!</v>
      </c>
      <c r="R15" s="87">
        <f>Tabela27368101214161921[[#This Row],[Nº]]</f>
        <v>11</v>
      </c>
      <c r="S15" s="41"/>
      <c r="T15" s="42"/>
      <c r="U15" s="28" t="e">
        <f t="shared" si="4"/>
        <v>#DIV/0!</v>
      </c>
      <c r="V15" s="39"/>
      <c r="W15" s="40"/>
      <c r="X15" s="29" t="e">
        <f t="shared" si="5"/>
        <v>#DIV/0!</v>
      </c>
      <c r="Y15" s="87">
        <f>Tabela27368101214161921[[#This Row],[Nº]]</f>
        <v>11</v>
      </c>
      <c r="Z15" s="41"/>
      <c r="AA15" s="42"/>
      <c r="AB15" s="28" t="e">
        <f t="shared" si="6"/>
        <v>#DIV/0!</v>
      </c>
      <c r="AC15" s="39"/>
      <c r="AD15" s="40"/>
      <c r="AE15" s="30" t="e">
        <f t="shared" si="7"/>
        <v>#DIV/0!</v>
      </c>
    </row>
    <row r="16" spans="1:31" ht="15">
      <c r="A16" s="72">
        <v>12</v>
      </c>
      <c r="B16" s="60" t="str">
        <f>IF('3A-B'!B14&lt;&gt;0,'3A-B'!B14,"")</f>
        <v/>
      </c>
      <c r="C16" s="61" t="str">
        <f>IF('3A-B'!C14&lt;&gt;0,'3A-B'!C14,"")</f>
        <v/>
      </c>
      <c r="D16" s="62" t="str">
        <f>IF('3A-B'!D14&lt;&gt;0,'3A-B'!D14,"")</f>
        <v/>
      </c>
      <c r="E16" s="43"/>
      <c r="F16" s="42"/>
      <c r="G16" s="28" t="e">
        <f t="shared" si="0"/>
        <v>#DIV/0!</v>
      </c>
      <c r="H16" s="39"/>
      <c r="I16" s="40"/>
      <c r="J16" s="29" t="e">
        <f t="shared" si="1"/>
        <v>#DIV/0!</v>
      </c>
      <c r="K16" s="87">
        <f>Tabela27368101214161921[[#This Row],[Nº]]</f>
        <v>12</v>
      </c>
      <c r="L16" s="41"/>
      <c r="M16" s="42"/>
      <c r="N16" s="28" t="e">
        <f t="shared" si="2"/>
        <v>#DIV/0!</v>
      </c>
      <c r="O16" s="39"/>
      <c r="P16" s="40"/>
      <c r="Q16" s="29" t="e">
        <f t="shared" si="3"/>
        <v>#DIV/0!</v>
      </c>
      <c r="R16" s="87">
        <f>Tabela27368101214161921[[#This Row],[Nº]]</f>
        <v>12</v>
      </c>
      <c r="S16" s="41"/>
      <c r="T16" s="42"/>
      <c r="U16" s="28" t="e">
        <f t="shared" si="4"/>
        <v>#DIV/0!</v>
      </c>
      <c r="V16" s="39"/>
      <c r="W16" s="40"/>
      <c r="X16" s="29" t="e">
        <f t="shared" si="5"/>
        <v>#DIV/0!</v>
      </c>
      <c r="Y16" s="87">
        <f>Tabela27368101214161921[[#This Row],[Nº]]</f>
        <v>12</v>
      </c>
      <c r="Z16" s="41"/>
      <c r="AA16" s="42"/>
      <c r="AB16" s="28" t="e">
        <f t="shared" si="6"/>
        <v>#DIV/0!</v>
      </c>
      <c r="AC16" s="39"/>
      <c r="AD16" s="40"/>
      <c r="AE16" s="30" t="e">
        <f t="shared" si="7"/>
        <v>#DIV/0!</v>
      </c>
    </row>
    <row r="17" spans="1:31" ht="15">
      <c r="A17" s="72">
        <v>13</v>
      </c>
      <c r="B17" s="60" t="str">
        <f>IF('3A-B'!B15&lt;&gt;0,'3A-B'!B15,"")</f>
        <v/>
      </c>
      <c r="C17" s="61" t="str">
        <f>IF('3A-B'!C15&lt;&gt;0,'3A-B'!C15,"")</f>
        <v/>
      </c>
      <c r="D17" s="62" t="str">
        <f>IF('3A-B'!D15&lt;&gt;0,'3A-B'!D15,"")</f>
        <v/>
      </c>
      <c r="E17" s="43"/>
      <c r="F17" s="42"/>
      <c r="G17" s="28" t="e">
        <f t="shared" si="0"/>
        <v>#DIV/0!</v>
      </c>
      <c r="H17" s="39"/>
      <c r="I17" s="40"/>
      <c r="J17" s="29" t="e">
        <f t="shared" si="1"/>
        <v>#DIV/0!</v>
      </c>
      <c r="K17" s="87">
        <f>Tabela27368101214161921[[#This Row],[Nº]]</f>
        <v>13</v>
      </c>
      <c r="L17" s="41"/>
      <c r="M17" s="42"/>
      <c r="N17" s="28" t="e">
        <f t="shared" si="2"/>
        <v>#DIV/0!</v>
      </c>
      <c r="O17" s="39"/>
      <c r="P17" s="40"/>
      <c r="Q17" s="29" t="e">
        <f t="shared" si="3"/>
        <v>#DIV/0!</v>
      </c>
      <c r="R17" s="87">
        <f>Tabela27368101214161921[[#This Row],[Nº]]</f>
        <v>13</v>
      </c>
      <c r="S17" s="41"/>
      <c r="T17" s="42"/>
      <c r="U17" s="28" t="e">
        <f t="shared" si="4"/>
        <v>#DIV/0!</v>
      </c>
      <c r="V17" s="39"/>
      <c r="W17" s="40"/>
      <c r="X17" s="29" t="e">
        <f t="shared" si="5"/>
        <v>#DIV/0!</v>
      </c>
      <c r="Y17" s="87">
        <f>Tabela27368101214161921[[#This Row],[Nº]]</f>
        <v>13</v>
      </c>
      <c r="Z17" s="41"/>
      <c r="AA17" s="42"/>
      <c r="AB17" s="28" t="e">
        <f t="shared" si="6"/>
        <v>#DIV/0!</v>
      </c>
      <c r="AC17" s="39"/>
      <c r="AD17" s="40"/>
      <c r="AE17" s="30" t="e">
        <f t="shared" si="7"/>
        <v>#DIV/0!</v>
      </c>
    </row>
    <row r="18" spans="1:31" ht="15">
      <c r="A18" s="72">
        <v>14</v>
      </c>
      <c r="B18" s="60" t="str">
        <f>IF('3A-B'!B16&lt;&gt;0,'3A-B'!B16,"")</f>
        <v/>
      </c>
      <c r="C18" s="61" t="str">
        <f>IF('3A-B'!C16&lt;&gt;0,'3A-B'!C16,"")</f>
        <v/>
      </c>
      <c r="D18" s="62" t="str">
        <f>IF('3A-B'!D16&lt;&gt;0,'3A-B'!D16,"")</f>
        <v/>
      </c>
      <c r="E18" s="43"/>
      <c r="F18" s="42"/>
      <c r="G18" s="28" t="e">
        <f t="shared" si="0"/>
        <v>#DIV/0!</v>
      </c>
      <c r="H18" s="39"/>
      <c r="I18" s="40"/>
      <c r="J18" s="29" t="e">
        <f t="shared" si="1"/>
        <v>#DIV/0!</v>
      </c>
      <c r="K18" s="87">
        <f>Tabela27368101214161921[[#This Row],[Nº]]</f>
        <v>14</v>
      </c>
      <c r="L18" s="41"/>
      <c r="M18" s="42"/>
      <c r="N18" s="28" t="e">
        <f t="shared" si="2"/>
        <v>#DIV/0!</v>
      </c>
      <c r="O18" s="39"/>
      <c r="P18" s="40"/>
      <c r="Q18" s="29" t="e">
        <f t="shared" si="3"/>
        <v>#DIV/0!</v>
      </c>
      <c r="R18" s="87">
        <f>Tabela27368101214161921[[#This Row],[Nº]]</f>
        <v>14</v>
      </c>
      <c r="S18" s="41"/>
      <c r="T18" s="42"/>
      <c r="U18" s="28" t="e">
        <f t="shared" si="4"/>
        <v>#DIV/0!</v>
      </c>
      <c r="V18" s="39"/>
      <c r="W18" s="40"/>
      <c r="X18" s="29" t="e">
        <f t="shared" si="5"/>
        <v>#DIV/0!</v>
      </c>
      <c r="Y18" s="87">
        <f>Tabela27368101214161921[[#This Row],[Nº]]</f>
        <v>14</v>
      </c>
      <c r="Z18" s="41"/>
      <c r="AA18" s="42"/>
      <c r="AB18" s="28" t="e">
        <f t="shared" si="6"/>
        <v>#DIV/0!</v>
      </c>
      <c r="AC18" s="39"/>
      <c r="AD18" s="40"/>
      <c r="AE18" s="30" t="e">
        <f t="shared" si="7"/>
        <v>#DIV/0!</v>
      </c>
    </row>
    <row r="19" spans="1:31" ht="15">
      <c r="A19" s="72">
        <v>15</v>
      </c>
      <c r="B19" s="60" t="str">
        <f>IF('3A-B'!B17&lt;&gt;0,'3A-B'!B17,"")</f>
        <v/>
      </c>
      <c r="C19" s="61" t="str">
        <f>IF('3A-B'!C17&lt;&gt;0,'3A-B'!C17,"")</f>
        <v/>
      </c>
      <c r="D19" s="62" t="str">
        <f>IF('3A-B'!D17&lt;&gt;0,'3A-B'!D17,"")</f>
        <v/>
      </c>
      <c r="E19" s="43"/>
      <c r="F19" s="42"/>
      <c r="G19" s="28" t="e">
        <f t="shared" si="0"/>
        <v>#DIV/0!</v>
      </c>
      <c r="H19" s="39"/>
      <c r="I19" s="40"/>
      <c r="J19" s="29" t="e">
        <f t="shared" si="1"/>
        <v>#DIV/0!</v>
      </c>
      <c r="K19" s="87">
        <f>Tabela27368101214161921[[#This Row],[Nº]]</f>
        <v>15</v>
      </c>
      <c r="L19" s="41"/>
      <c r="M19" s="42"/>
      <c r="N19" s="28" t="e">
        <f t="shared" si="2"/>
        <v>#DIV/0!</v>
      </c>
      <c r="O19" s="39"/>
      <c r="P19" s="40"/>
      <c r="Q19" s="29" t="e">
        <f t="shared" si="3"/>
        <v>#DIV/0!</v>
      </c>
      <c r="R19" s="87">
        <f>Tabela27368101214161921[[#This Row],[Nº]]</f>
        <v>15</v>
      </c>
      <c r="S19" s="41"/>
      <c r="T19" s="42"/>
      <c r="U19" s="28" t="e">
        <f t="shared" si="4"/>
        <v>#DIV/0!</v>
      </c>
      <c r="V19" s="39"/>
      <c r="W19" s="40"/>
      <c r="X19" s="29" t="e">
        <f t="shared" si="5"/>
        <v>#DIV/0!</v>
      </c>
      <c r="Y19" s="87">
        <f>Tabela27368101214161921[[#This Row],[Nº]]</f>
        <v>15</v>
      </c>
      <c r="Z19" s="41"/>
      <c r="AA19" s="42"/>
      <c r="AB19" s="28" t="e">
        <f t="shared" si="6"/>
        <v>#DIV/0!</v>
      </c>
      <c r="AC19" s="39"/>
      <c r="AD19" s="40"/>
      <c r="AE19" s="30" t="e">
        <f t="shared" si="7"/>
        <v>#DIV/0!</v>
      </c>
    </row>
    <row r="20" spans="1:31" ht="15">
      <c r="A20" s="72">
        <v>16</v>
      </c>
      <c r="B20" s="60" t="str">
        <f>IF('3A-B'!B18&lt;&gt;0,'3A-B'!B18,"")</f>
        <v/>
      </c>
      <c r="C20" s="61" t="str">
        <f>IF('3A-B'!C18&lt;&gt;0,'3A-B'!C18,"")</f>
        <v/>
      </c>
      <c r="D20" s="62" t="str">
        <f>IF('3A-B'!D18&lt;&gt;0,'3A-B'!D18,"")</f>
        <v/>
      </c>
      <c r="E20" s="43"/>
      <c r="F20" s="42"/>
      <c r="G20" s="28" t="e">
        <f t="shared" si="0"/>
        <v>#DIV/0!</v>
      </c>
      <c r="H20" s="39"/>
      <c r="I20" s="40"/>
      <c r="J20" s="29" t="e">
        <f t="shared" si="1"/>
        <v>#DIV/0!</v>
      </c>
      <c r="K20" s="87">
        <f>Tabela27368101214161921[[#This Row],[Nº]]</f>
        <v>16</v>
      </c>
      <c r="L20" s="41"/>
      <c r="M20" s="42"/>
      <c r="N20" s="28" t="e">
        <f t="shared" si="2"/>
        <v>#DIV/0!</v>
      </c>
      <c r="O20" s="39"/>
      <c r="P20" s="40"/>
      <c r="Q20" s="29" t="e">
        <f t="shared" si="3"/>
        <v>#DIV/0!</v>
      </c>
      <c r="R20" s="87">
        <f>Tabela27368101214161921[[#This Row],[Nº]]</f>
        <v>16</v>
      </c>
      <c r="S20" s="41"/>
      <c r="T20" s="42"/>
      <c r="U20" s="28" t="e">
        <f t="shared" si="4"/>
        <v>#DIV/0!</v>
      </c>
      <c r="V20" s="39"/>
      <c r="W20" s="40"/>
      <c r="X20" s="29" t="e">
        <f t="shared" si="5"/>
        <v>#DIV/0!</v>
      </c>
      <c r="Y20" s="87">
        <f>Tabela27368101214161921[[#This Row],[Nº]]</f>
        <v>16</v>
      </c>
      <c r="Z20" s="41"/>
      <c r="AA20" s="42"/>
      <c r="AB20" s="28" t="e">
        <f t="shared" si="6"/>
        <v>#DIV/0!</v>
      </c>
      <c r="AC20" s="39"/>
      <c r="AD20" s="40"/>
      <c r="AE20" s="30" t="e">
        <f t="shared" si="7"/>
        <v>#DIV/0!</v>
      </c>
    </row>
    <row r="21" spans="1:31" ht="15">
      <c r="A21" s="72">
        <v>17</v>
      </c>
      <c r="B21" s="60" t="str">
        <f>IF('3A-B'!B19&lt;&gt;0,'3A-B'!B19,"")</f>
        <v/>
      </c>
      <c r="C21" s="61" t="str">
        <f>IF('3A-B'!C19&lt;&gt;0,'3A-B'!C19,"")</f>
        <v/>
      </c>
      <c r="D21" s="62" t="str">
        <f>IF('3A-B'!D19&lt;&gt;0,'3A-B'!D19,"")</f>
        <v/>
      </c>
      <c r="E21" s="43"/>
      <c r="F21" s="42"/>
      <c r="G21" s="28" t="e">
        <f t="shared" si="0"/>
        <v>#DIV/0!</v>
      </c>
      <c r="H21" s="39"/>
      <c r="I21" s="40"/>
      <c r="J21" s="29" t="e">
        <f t="shared" si="1"/>
        <v>#DIV/0!</v>
      </c>
      <c r="K21" s="87">
        <f>Tabela27368101214161921[[#This Row],[Nº]]</f>
        <v>17</v>
      </c>
      <c r="L21" s="41"/>
      <c r="M21" s="42"/>
      <c r="N21" s="28" t="e">
        <f t="shared" si="2"/>
        <v>#DIV/0!</v>
      </c>
      <c r="O21" s="39"/>
      <c r="P21" s="40"/>
      <c r="Q21" s="29" t="e">
        <f t="shared" si="3"/>
        <v>#DIV/0!</v>
      </c>
      <c r="R21" s="87">
        <f>Tabela27368101214161921[[#This Row],[Nº]]</f>
        <v>17</v>
      </c>
      <c r="S21" s="41"/>
      <c r="T21" s="42"/>
      <c r="U21" s="28" t="e">
        <f t="shared" si="4"/>
        <v>#DIV/0!</v>
      </c>
      <c r="V21" s="39"/>
      <c r="W21" s="40"/>
      <c r="X21" s="29" t="e">
        <f t="shared" si="5"/>
        <v>#DIV/0!</v>
      </c>
      <c r="Y21" s="87">
        <f>Tabela27368101214161921[[#This Row],[Nº]]</f>
        <v>17</v>
      </c>
      <c r="Z21" s="41"/>
      <c r="AA21" s="42"/>
      <c r="AB21" s="28" t="e">
        <f t="shared" si="6"/>
        <v>#DIV/0!</v>
      </c>
      <c r="AC21" s="39"/>
      <c r="AD21" s="40"/>
      <c r="AE21" s="30" t="e">
        <f t="shared" si="7"/>
        <v>#DIV/0!</v>
      </c>
    </row>
    <row r="22" spans="1:31" ht="15">
      <c r="A22" s="72">
        <v>18</v>
      </c>
      <c r="B22" s="60" t="str">
        <f>IF('3A-B'!B20&lt;&gt;0,'3A-B'!B20,"")</f>
        <v/>
      </c>
      <c r="C22" s="61" t="str">
        <f>IF('3A-B'!C20&lt;&gt;0,'3A-B'!C20,"")</f>
        <v/>
      </c>
      <c r="D22" s="62" t="str">
        <f>IF('3A-B'!D20&lt;&gt;0,'3A-B'!D20,"")</f>
        <v/>
      </c>
      <c r="E22" s="43"/>
      <c r="F22" s="42"/>
      <c r="G22" s="28" t="e">
        <f t="shared" si="0"/>
        <v>#DIV/0!</v>
      </c>
      <c r="H22" s="39"/>
      <c r="I22" s="40"/>
      <c r="J22" s="29" t="e">
        <f t="shared" si="1"/>
        <v>#DIV/0!</v>
      </c>
      <c r="K22" s="87">
        <f>Tabela27368101214161921[[#This Row],[Nº]]</f>
        <v>18</v>
      </c>
      <c r="L22" s="41"/>
      <c r="M22" s="42"/>
      <c r="N22" s="28" t="e">
        <f t="shared" si="2"/>
        <v>#DIV/0!</v>
      </c>
      <c r="O22" s="39"/>
      <c r="P22" s="40"/>
      <c r="Q22" s="29" t="e">
        <f t="shared" si="3"/>
        <v>#DIV/0!</v>
      </c>
      <c r="R22" s="87">
        <f>Tabela27368101214161921[[#This Row],[Nº]]</f>
        <v>18</v>
      </c>
      <c r="S22" s="41"/>
      <c r="T22" s="42"/>
      <c r="U22" s="28" t="e">
        <f t="shared" si="4"/>
        <v>#DIV/0!</v>
      </c>
      <c r="V22" s="39"/>
      <c r="W22" s="40"/>
      <c r="X22" s="29" t="e">
        <f t="shared" si="5"/>
        <v>#DIV/0!</v>
      </c>
      <c r="Y22" s="87">
        <f>Tabela27368101214161921[[#This Row],[Nº]]</f>
        <v>18</v>
      </c>
      <c r="Z22" s="41"/>
      <c r="AA22" s="42"/>
      <c r="AB22" s="28" t="e">
        <f t="shared" si="6"/>
        <v>#DIV/0!</v>
      </c>
      <c r="AC22" s="39"/>
      <c r="AD22" s="40"/>
      <c r="AE22" s="30" t="e">
        <f t="shared" si="7"/>
        <v>#DIV/0!</v>
      </c>
    </row>
    <row r="23" spans="1:31" ht="15">
      <c r="A23" s="72">
        <v>19</v>
      </c>
      <c r="B23" s="60" t="str">
        <f>IF('3A-B'!B21&lt;&gt;0,'3A-B'!B21,"")</f>
        <v/>
      </c>
      <c r="C23" s="61" t="str">
        <f>IF('3A-B'!C21&lt;&gt;0,'3A-B'!C21,"")</f>
        <v/>
      </c>
      <c r="D23" s="62" t="str">
        <f>IF('3A-B'!D21&lt;&gt;0,'3A-B'!D21,"")</f>
        <v/>
      </c>
      <c r="E23" s="43"/>
      <c r="F23" s="42"/>
      <c r="G23" s="28" t="e">
        <f t="shared" si="0"/>
        <v>#DIV/0!</v>
      </c>
      <c r="H23" s="39"/>
      <c r="I23" s="40"/>
      <c r="J23" s="29" t="e">
        <f t="shared" si="1"/>
        <v>#DIV/0!</v>
      </c>
      <c r="K23" s="87">
        <f>Tabela27368101214161921[[#This Row],[Nº]]</f>
        <v>19</v>
      </c>
      <c r="L23" s="41"/>
      <c r="M23" s="42"/>
      <c r="N23" s="28" t="e">
        <f t="shared" si="2"/>
        <v>#DIV/0!</v>
      </c>
      <c r="O23" s="39"/>
      <c r="P23" s="40"/>
      <c r="Q23" s="29" t="e">
        <f t="shared" si="3"/>
        <v>#DIV/0!</v>
      </c>
      <c r="R23" s="87">
        <f>Tabela27368101214161921[[#This Row],[Nº]]</f>
        <v>19</v>
      </c>
      <c r="S23" s="41"/>
      <c r="T23" s="42"/>
      <c r="U23" s="28" t="e">
        <f t="shared" si="4"/>
        <v>#DIV/0!</v>
      </c>
      <c r="V23" s="39"/>
      <c r="W23" s="40"/>
      <c r="X23" s="29" t="e">
        <f t="shared" si="5"/>
        <v>#DIV/0!</v>
      </c>
      <c r="Y23" s="87">
        <f>Tabela27368101214161921[[#This Row],[Nº]]</f>
        <v>19</v>
      </c>
      <c r="Z23" s="41"/>
      <c r="AA23" s="42"/>
      <c r="AB23" s="28" t="e">
        <f t="shared" si="6"/>
        <v>#DIV/0!</v>
      </c>
      <c r="AC23" s="39"/>
      <c r="AD23" s="40"/>
      <c r="AE23" s="30" t="e">
        <f t="shared" si="7"/>
        <v>#DIV/0!</v>
      </c>
    </row>
    <row r="24" spans="1:31" ht="15">
      <c r="A24" s="72">
        <v>20</v>
      </c>
      <c r="B24" s="60" t="str">
        <f>IF('3A-B'!B22&lt;&gt;0,'3A-B'!B22,"")</f>
        <v/>
      </c>
      <c r="C24" s="61" t="str">
        <f>IF('3A-B'!C22&lt;&gt;0,'3A-B'!C22,"")</f>
        <v/>
      </c>
      <c r="D24" s="62" t="str">
        <f>IF('3A-B'!D22&lt;&gt;0,'3A-B'!D22,"")</f>
        <v/>
      </c>
      <c r="E24" s="43"/>
      <c r="F24" s="42"/>
      <c r="G24" s="28" t="e">
        <f t="shared" si="0"/>
        <v>#DIV/0!</v>
      </c>
      <c r="H24" s="39"/>
      <c r="I24" s="40"/>
      <c r="J24" s="29" t="e">
        <f t="shared" si="1"/>
        <v>#DIV/0!</v>
      </c>
      <c r="K24" s="87">
        <f>Tabela27368101214161921[[#This Row],[Nº]]</f>
        <v>20</v>
      </c>
      <c r="L24" s="41"/>
      <c r="M24" s="42"/>
      <c r="N24" s="28" t="e">
        <f t="shared" si="2"/>
        <v>#DIV/0!</v>
      </c>
      <c r="O24" s="39"/>
      <c r="P24" s="40"/>
      <c r="Q24" s="29" t="e">
        <f t="shared" si="3"/>
        <v>#DIV/0!</v>
      </c>
      <c r="R24" s="87">
        <f>Tabela27368101214161921[[#This Row],[Nº]]</f>
        <v>20</v>
      </c>
      <c r="S24" s="41"/>
      <c r="T24" s="42"/>
      <c r="U24" s="28" t="e">
        <f t="shared" si="4"/>
        <v>#DIV/0!</v>
      </c>
      <c r="V24" s="39"/>
      <c r="W24" s="40"/>
      <c r="X24" s="29" t="e">
        <f t="shared" si="5"/>
        <v>#DIV/0!</v>
      </c>
      <c r="Y24" s="87">
        <f>Tabela27368101214161921[[#This Row],[Nº]]</f>
        <v>20</v>
      </c>
      <c r="Z24" s="41"/>
      <c r="AA24" s="42"/>
      <c r="AB24" s="28" t="e">
        <f t="shared" si="6"/>
        <v>#DIV/0!</v>
      </c>
      <c r="AC24" s="39"/>
      <c r="AD24" s="40"/>
      <c r="AE24" s="30" t="e">
        <f t="shared" si="7"/>
        <v>#DIV/0!</v>
      </c>
    </row>
    <row r="25" spans="1:31" ht="15">
      <c r="A25" s="72">
        <v>21</v>
      </c>
      <c r="B25" s="60" t="str">
        <f>IF('3A-B'!B23&lt;&gt;0,'3A-B'!B23,"")</f>
        <v/>
      </c>
      <c r="C25" s="61" t="str">
        <f>IF('3A-B'!C23&lt;&gt;0,'3A-B'!C23,"")</f>
        <v/>
      </c>
      <c r="D25" s="62" t="str">
        <f>IF('3A-B'!D23&lt;&gt;0,'3A-B'!D23,"")</f>
        <v/>
      </c>
      <c r="E25" s="43"/>
      <c r="F25" s="42"/>
      <c r="G25" s="28" t="e">
        <f t="shared" si="0"/>
        <v>#DIV/0!</v>
      </c>
      <c r="H25" s="39"/>
      <c r="I25" s="40"/>
      <c r="J25" s="29" t="e">
        <f t="shared" si="1"/>
        <v>#DIV/0!</v>
      </c>
      <c r="K25" s="87">
        <f>Tabela27368101214161921[[#This Row],[Nº]]</f>
        <v>21</v>
      </c>
      <c r="L25" s="41"/>
      <c r="M25" s="42"/>
      <c r="N25" s="28" t="e">
        <f t="shared" si="2"/>
        <v>#DIV/0!</v>
      </c>
      <c r="O25" s="39"/>
      <c r="P25" s="40"/>
      <c r="Q25" s="29" t="e">
        <f t="shared" si="3"/>
        <v>#DIV/0!</v>
      </c>
      <c r="R25" s="87">
        <f>Tabela27368101214161921[[#This Row],[Nº]]</f>
        <v>21</v>
      </c>
      <c r="S25" s="41"/>
      <c r="T25" s="42"/>
      <c r="U25" s="28" t="e">
        <f t="shared" si="4"/>
        <v>#DIV/0!</v>
      </c>
      <c r="V25" s="39"/>
      <c r="W25" s="40"/>
      <c r="X25" s="29" t="e">
        <f t="shared" si="5"/>
        <v>#DIV/0!</v>
      </c>
      <c r="Y25" s="87">
        <f>Tabela27368101214161921[[#This Row],[Nº]]</f>
        <v>21</v>
      </c>
      <c r="Z25" s="41"/>
      <c r="AA25" s="42"/>
      <c r="AB25" s="28" t="e">
        <f t="shared" si="6"/>
        <v>#DIV/0!</v>
      </c>
      <c r="AC25" s="39"/>
      <c r="AD25" s="40"/>
      <c r="AE25" s="30" t="e">
        <f t="shared" si="7"/>
        <v>#DIV/0!</v>
      </c>
    </row>
    <row r="26" spans="1:31" ht="15">
      <c r="A26" s="72">
        <v>22</v>
      </c>
      <c r="B26" s="60" t="str">
        <f>IF('3A-B'!B24&lt;&gt;0,'3A-B'!B24,"")</f>
        <v/>
      </c>
      <c r="C26" s="61" t="str">
        <f>IF('3A-B'!C24&lt;&gt;0,'3A-B'!C24,"")</f>
        <v/>
      </c>
      <c r="D26" s="62" t="str">
        <f>IF('3A-B'!D24&lt;&gt;0,'3A-B'!D24,"")</f>
        <v/>
      </c>
      <c r="E26" s="43"/>
      <c r="F26" s="42"/>
      <c r="G26" s="28" t="e">
        <f t="shared" si="0"/>
        <v>#DIV/0!</v>
      </c>
      <c r="H26" s="39"/>
      <c r="I26" s="40"/>
      <c r="J26" s="29" t="e">
        <f t="shared" si="1"/>
        <v>#DIV/0!</v>
      </c>
      <c r="K26" s="87">
        <f>Tabela27368101214161921[[#This Row],[Nº]]</f>
        <v>22</v>
      </c>
      <c r="L26" s="41"/>
      <c r="M26" s="42"/>
      <c r="N26" s="28" t="e">
        <f t="shared" si="2"/>
        <v>#DIV/0!</v>
      </c>
      <c r="O26" s="39"/>
      <c r="P26" s="40"/>
      <c r="Q26" s="29" t="e">
        <f t="shared" si="3"/>
        <v>#DIV/0!</v>
      </c>
      <c r="R26" s="87">
        <f>Tabela27368101214161921[[#This Row],[Nº]]</f>
        <v>22</v>
      </c>
      <c r="S26" s="41"/>
      <c r="T26" s="42"/>
      <c r="U26" s="28" t="e">
        <f t="shared" si="4"/>
        <v>#DIV/0!</v>
      </c>
      <c r="V26" s="39"/>
      <c r="W26" s="40"/>
      <c r="X26" s="29" t="e">
        <f t="shared" si="5"/>
        <v>#DIV/0!</v>
      </c>
      <c r="Y26" s="87">
        <f>Tabela27368101214161921[[#This Row],[Nº]]</f>
        <v>22</v>
      </c>
      <c r="Z26" s="41"/>
      <c r="AA26" s="42"/>
      <c r="AB26" s="28" t="e">
        <f t="shared" si="6"/>
        <v>#DIV/0!</v>
      </c>
      <c r="AC26" s="39"/>
      <c r="AD26" s="40"/>
      <c r="AE26" s="30" t="e">
        <f t="shared" si="7"/>
        <v>#DIV/0!</v>
      </c>
    </row>
    <row r="27" spans="1:31" ht="15">
      <c r="A27" s="72">
        <v>23</v>
      </c>
      <c r="B27" s="60" t="str">
        <f>IF('3A-B'!B25&lt;&gt;0,'3A-B'!B25,"")</f>
        <v/>
      </c>
      <c r="C27" s="61" t="str">
        <f>IF('3A-B'!C25&lt;&gt;0,'3A-B'!C25,"")</f>
        <v/>
      </c>
      <c r="D27" s="62" t="str">
        <f>IF('3A-B'!D25&lt;&gt;0,'3A-B'!D25,"")</f>
        <v/>
      </c>
      <c r="E27" s="43"/>
      <c r="F27" s="42"/>
      <c r="G27" s="28" t="e">
        <f t="shared" si="0"/>
        <v>#DIV/0!</v>
      </c>
      <c r="H27" s="39"/>
      <c r="I27" s="40"/>
      <c r="J27" s="29" t="e">
        <f t="shared" si="1"/>
        <v>#DIV/0!</v>
      </c>
      <c r="K27" s="87">
        <f>Tabela27368101214161921[[#This Row],[Nº]]</f>
        <v>23</v>
      </c>
      <c r="L27" s="41"/>
      <c r="M27" s="42"/>
      <c r="N27" s="28" t="e">
        <f t="shared" si="2"/>
        <v>#DIV/0!</v>
      </c>
      <c r="O27" s="39"/>
      <c r="P27" s="40"/>
      <c r="Q27" s="29" t="e">
        <f t="shared" si="3"/>
        <v>#DIV/0!</v>
      </c>
      <c r="R27" s="87">
        <f>Tabela27368101214161921[[#This Row],[Nº]]</f>
        <v>23</v>
      </c>
      <c r="S27" s="41"/>
      <c r="T27" s="42"/>
      <c r="U27" s="28" t="e">
        <f t="shared" si="4"/>
        <v>#DIV/0!</v>
      </c>
      <c r="V27" s="39"/>
      <c r="W27" s="40"/>
      <c r="X27" s="29" t="e">
        <f t="shared" si="5"/>
        <v>#DIV/0!</v>
      </c>
      <c r="Y27" s="87">
        <f>Tabela27368101214161921[[#This Row],[Nº]]</f>
        <v>23</v>
      </c>
      <c r="Z27" s="41"/>
      <c r="AA27" s="42"/>
      <c r="AB27" s="28" t="e">
        <f t="shared" si="6"/>
        <v>#DIV/0!</v>
      </c>
      <c r="AC27" s="39"/>
      <c r="AD27" s="40"/>
      <c r="AE27" s="30" t="e">
        <f t="shared" si="7"/>
        <v>#DIV/0!</v>
      </c>
    </row>
    <row r="28" spans="1:31" ht="15">
      <c r="A28" s="72">
        <v>24</v>
      </c>
      <c r="B28" s="60" t="str">
        <f>IF('3A-B'!B26&lt;&gt;0,'3A-B'!B26,"")</f>
        <v/>
      </c>
      <c r="C28" s="61" t="str">
        <f>IF('3A-B'!C26&lt;&gt;0,'3A-B'!C26,"")</f>
        <v/>
      </c>
      <c r="D28" s="62" t="str">
        <f>IF('3A-B'!D26&lt;&gt;0,'3A-B'!D26,"")</f>
        <v/>
      </c>
      <c r="E28" s="43"/>
      <c r="F28" s="42"/>
      <c r="G28" s="28" t="e">
        <f t="shared" si="0"/>
        <v>#DIV/0!</v>
      </c>
      <c r="H28" s="39"/>
      <c r="I28" s="40"/>
      <c r="J28" s="29" t="e">
        <f t="shared" si="1"/>
        <v>#DIV/0!</v>
      </c>
      <c r="K28" s="87">
        <f>Tabela27368101214161921[[#This Row],[Nº]]</f>
        <v>24</v>
      </c>
      <c r="L28" s="41"/>
      <c r="M28" s="42"/>
      <c r="N28" s="28" t="e">
        <f t="shared" si="2"/>
        <v>#DIV/0!</v>
      </c>
      <c r="O28" s="39"/>
      <c r="P28" s="40"/>
      <c r="Q28" s="29" t="e">
        <f t="shared" si="3"/>
        <v>#DIV/0!</v>
      </c>
      <c r="R28" s="87">
        <f>Tabela27368101214161921[[#This Row],[Nº]]</f>
        <v>24</v>
      </c>
      <c r="S28" s="41"/>
      <c r="T28" s="42"/>
      <c r="U28" s="28" t="e">
        <f t="shared" si="4"/>
        <v>#DIV/0!</v>
      </c>
      <c r="V28" s="39"/>
      <c r="W28" s="40"/>
      <c r="X28" s="29" t="e">
        <f t="shared" si="5"/>
        <v>#DIV/0!</v>
      </c>
      <c r="Y28" s="87">
        <f>Tabela27368101214161921[[#This Row],[Nº]]</f>
        <v>24</v>
      </c>
      <c r="Z28" s="41"/>
      <c r="AA28" s="42"/>
      <c r="AB28" s="28" t="e">
        <f t="shared" si="6"/>
        <v>#DIV/0!</v>
      </c>
      <c r="AC28" s="39"/>
      <c r="AD28" s="40"/>
      <c r="AE28" s="30" t="e">
        <f t="shared" si="7"/>
        <v>#DIV/0!</v>
      </c>
    </row>
    <row r="29" spans="1:31" ht="15">
      <c r="A29" s="72">
        <v>25</v>
      </c>
      <c r="B29" s="60" t="str">
        <f>IF('3A-B'!B27&lt;&gt;0,'3A-B'!B27,"")</f>
        <v/>
      </c>
      <c r="C29" s="61" t="str">
        <f>IF('3A-B'!C27&lt;&gt;0,'3A-B'!C27,"")</f>
        <v/>
      </c>
      <c r="D29" s="62" t="str">
        <f>IF('3A-B'!D27&lt;&gt;0,'3A-B'!D27,"")</f>
        <v/>
      </c>
      <c r="E29" s="43"/>
      <c r="F29" s="42"/>
      <c r="G29" s="28" t="e">
        <f t="shared" si="0"/>
        <v>#DIV/0!</v>
      </c>
      <c r="H29" s="39"/>
      <c r="I29" s="40"/>
      <c r="J29" s="29" t="e">
        <f t="shared" si="1"/>
        <v>#DIV/0!</v>
      </c>
      <c r="K29" s="87">
        <f>Tabela27368101214161921[[#This Row],[Nº]]</f>
        <v>25</v>
      </c>
      <c r="L29" s="41"/>
      <c r="M29" s="42"/>
      <c r="N29" s="28" t="e">
        <f t="shared" si="2"/>
        <v>#DIV/0!</v>
      </c>
      <c r="O29" s="39"/>
      <c r="P29" s="40"/>
      <c r="Q29" s="29" t="e">
        <f t="shared" si="3"/>
        <v>#DIV/0!</v>
      </c>
      <c r="R29" s="87">
        <f>Tabela27368101214161921[[#This Row],[Nº]]</f>
        <v>25</v>
      </c>
      <c r="S29" s="41"/>
      <c r="T29" s="42"/>
      <c r="U29" s="28" t="e">
        <f t="shared" si="4"/>
        <v>#DIV/0!</v>
      </c>
      <c r="V29" s="39"/>
      <c r="W29" s="40"/>
      <c r="X29" s="29" t="e">
        <f t="shared" si="5"/>
        <v>#DIV/0!</v>
      </c>
      <c r="Y29" s="87">
        <f>Tabela27368101214161921[[#This Row],[Nº]]</f>
        <v>25</v>
      </c>
      <c r="Z29" s="41"/>
      <c r="AA29" s="42"/>
      <c r="AB29" s="28" t="e">
        <f t="shared" si="6"/>
        <v>#DIV/0!</v>
      </c>
      <c r="AC29" s="39"/>
      <c r="AD29" s="40"/>
      <c r="AE29" s="30" t="e">
        <f t="shared" si="7"/>
        <v>#DIV/0!</v>
      </c>
    </row>
  </sheetData>
  <sheetProtection algorithmName="SHA-512" hashValue="Iph9f8rhem8KW+YizBCeM2hk2gQv0UFyw8yeuZSTmxfVSJ86CPEECb3H/BD5X1J6PqwIZ9D5oHctRewWgX6FxQ==" saltValue="wTul8A6XIfSdgMG7kjjNVQ==" spinCount="100000" sheet="1" objects="1" scenarios="1" selectLockedCells="1"/>
  <mergeCells count="12">
    <mergeCell ref="Z3:AB3"/>
    <mergeCell ref="AC3:AE3"/>
    <mergeCell ref="A1:D3"/>
    <mergeCell ref="E1:AE1"/>
    <mergeCell ref="E2:Q2"/>
    <mergeCell ref="S2:AE2"/>
    <mergeCell ref="E3:G3"/>
    <mergeCell ref="H3:J3"/>
    <mergeCell ref="L3:N3"/>
    <mergeCell ref="O3:Q3"/>
    <mergeCell ref="S3:U3"/>
    <mergeCell ref="V3:X3"/>
  </mergeCells>
  <conditionalFormatting sqref="A5:D29">
    <cfRule type="expression" dxfId="171" priority="11">
      <formula>ROW()=CELL("LIN")</formula>
    </cfRule>
    <cfRule type="expression" dxfId="170" priority="12">
      <formula>IF($D5&lt;&gt;"",1,0)</formula>
    </cfRule>
  </conditionalFormatting>
  <conditionalFormatting sqref="G5:G29">
    <cfRule type="iconSet" priority="8">
      <iconSet iconSet="3Symbols">
        <cfvo type="percent" val="0"/>
        <cfvo type="num" val="0.75"/>
        <cfvo type="num" val="0.8"/>
      </iconSet>
    </cfRule>
  </conditionalFormatting>
  <conditionalFormatting sqref="J5:J29">
    <cfRule type="iconSet" priority="7">
      <iconSet iconSet="3Symbols">
        <cfvo type="percent" val="0"/>
        <cfvo type="num" val="0.75"/>
        <cfvo type="num" val="0.8"/>
      </iconSet>
    </cfRule>
  </conditionalFormatting>
  <conditionalFormatting sqref="N5:N29">
    <cfRule type="iconSet" priority="6">
      <iconSet iconSet="3Symbols">
        <cfvo type="percent" val="0"/>
        <cfvo type="num" val="0.75"/>
        <cfvo type="num" val="0.8"/>
      </iconSet>
    </cfRule>
  </conditionalFormatting>
  <conditionalFormatting sqref="Q5:Q29">
    <cfRule type="iconSet" priority="5">
      <iconSet iconSet="3Symbols">
        <cfvo type="percent" val="0"/>
        <cfvo type="num" val="0.75"/>
        <cfvo type="num" val="0.8"/>
      </iconSet>
    </cfRule>
  </conditionalFormatting>
  <conditionalFormatting sqref="U5:U29">
    <cfRule type="iconSet" priority="4">
      <iconSet iconSet="3Symbols">
        <cfvo type="percent" val="0"/>
        <cfvo type="num" val="0.75"/>
        <cfvo type="num" val="0.8"/>
      </iconSet>
    </cfRule>
  </conditionalFormatting>
  <conditionalFormatting sqref="X5:X29">
    <cfRule type="iconSet" priority="3">
      <iconSet iconSet="3Symbols">
        <cfvo type="percent" val="0"/>
        <cfvo type="num" val="0.75"/>
        <cfvo type="num" val="0.8"/>
      </iconSet>
    </cfRule>
  </conditionalFormatting>
  <conditionalFormatting sqref="AB5:AB29">
    <cfRule type="iconSet" priority="2">
      <iconSet iconSet="3Symbols">
        <cfvo type="percent" val="0"/>
        <cfvo type="num" val="0.75"/>
        <cfvo type="num" val="0.8"/>
      </iconSet>
    </cfRule>
  </conditionalFormatting>
  <conditionalFormatting sqref="AE5:AE29">
    <cfRule type="iconSet" priority="1">
      <iconSet iconSet="3Symbols">
        <cfvo type="percent" val="0"/>
        <cfvo type="num" val="0.75"/>
        <cfvo type="num" val="0.8"/>
      </iconSet>
    </cfRule>
  </conditionalFormatting>
  <conditionalFormatting sqref="E5:AE29">
    <cfRule type="expression" dxfId="169" priority="9">
      <formula>ROW()=CELL("LIN")</formula>
    </cfRule>
    <cfRule type="expression" dxfId="168" priority="10">
      <formula>IF($D5&lt;&gt;"",1,0)</formula>
    </cfRule>
  </conditionalFormatting>
  <pageMargins left="0.511811024" right="0.511811024" top="0.78740157499999996" bottom="0.78740157499999996" header="0.31496062000000002" footer="0.31496062000000002"/>
  <pageSetup paperSize="9" scale="54" orientation="landscape" r:id="rId1"/>
  <colBreaks count="2" manualBreakCount="2">
    <brk id="10" max="1048575" man="1"/>
    <brk id="24" max="1048575" man="1"/>
  </colBreaks>
  <drawing r:id="rId2"/>
  <tableParts count="1">
    <tablePart r:id="rId3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16C3C-2308-4F46-87DC-78FD7E3B42B0}">
  <sheetPr codeName="Plan26">
    <pageSetUpPr fitToPage="1"/>
  </sheetPr>
  <dimension ref="A1:K48"/>
  <sheetViews>
    <sheetView showGridLines="0" showRowColHeaders="0" view="pageBreakPreview" zoomScaleNormal="60" zoomScaleSheetLayoutView="100" zoomScalePageLayoutView="91" workbookViewId="0">
      <selection activeCell="B5" sqref="B5:K5"/>
    </sheetView>
  </sheetViews>
  <sheetFormatPr defaultColWidth="9.140625" defaultRowHeight="15"/>
  <cols>
    <col min="1" max="1" width="19.85546875" style="17" customWidth="1"/>
    <col min="2" max="16384" width="9.140625" style="17"/>
  </cols>
  <sheetData>
    <row r="1" spans="1:11" ht="15.75">
      <c r="A1" s="73" t="s">
        <v>69</v>
      </c>
      <c r="B1" s="92" t="str">
        <f>MENU!C2</f>
        <v>E.M.E.I.E.F. Ficticio</v>
      </c>
      <c r="C1" s="92"/>
      <c r="D1" s="92"/>
      <c r="E1" s="92"/>
      <c r="F1" s="92"/>
      <c r="G1" s="92"/>
      <c r="H1" s="92"/>
      <c r="I1" s="92"/>
      <c r="J1" s="92"/>
      <c r="K1" s="93"/>
    </row>
    <row r="2" spans="1:11" ht="15.75">
      <c r="A2" s="74" t="s">
        <v>71</v>
      </c>
      <c r="B2" s="156" t="s">
        <v>127</v>
      </c>
      <c r="C2" s="95"/>
      <c r="D2" s="95"/>
      <c r="E2" s="95"/>
      <c r="F2" s="95"/>
      <c r="G2" s="95"/>
      <c r="H2" s="95"/>
      <c r="I2" s="95"/>
      <c r="J2" s="95"/>
      <c r="K2" s="96"/>
    </row>
    <row r="3" spans="1:11" ht="15.75">
      <c r="A3" s="74" t="s">
        <v>70</v>
      </c>
      <c r="B3" s="94" t="s">
        <v>21</v>
      </c>
      <c r="C3" s="95"/>
      <c r="D3" s="95"/>
      <c r="E3" s="95"/>
      <c r="F3" s="95"/>
      <c r="G3" s="95"/>
      <c r="H3" s="95"/>
      <c r="I3" s="95"/>
      <c r="J3" s="95"/>
      <c r="K3" s="96"/>
    </row>
    <row r="4" spans="1:11" ht="15.75">
      <c r="A4" s="74" t="s">
        <v>5</v>
      </c>
      <c r="B4" s="94" t="s">
        <v>128</v>
      </c>
      <c r="C4" s="95"/>
      <c r="D4" s="95"/>
      <c r="E4" s="95"/>
      <c r="F4" s="95"/>
      <c r="G4" s="95"/>
      <c r="H4" s="95"/>
      <c r="I4" s="95"/>
      <c r="J4" s="95"/>
      <c r="K4" s="96"/>
    </row>
    <row r="5" spans="1:11" ht="15.75">
      <c r="A5" s="74" t="s">
        <v>73</v>
      </c>
      <c r="B5" s="95"/>
      <c r="C5" s="95"/>
      <c r="D5" s="95"/>
      <c r="E5" s="95"/>
      <c r="F5" s="95"/>
      <c r="G5" s="95"/>
      <c r="H5" s="95"/>
      <c r="I5" s="95"/>
      <c r="J5" s="95"/>
      <c r="K5" s="96"/>
    </row>
    <row r="6" spans="1:11" ht="15.75">
      <c r="A6" s="99" t="s">
        <v>74</v>
      </c>
      <c r="B6" s="100"/>
      <c r="C6" s="100"/>
      <c r="D6" s="95"/>
      <c r="E6" s="95"/>
      <c r="F6" s="95"/>
      <c r="G6" s="95"/>
      <c r="H6" s="95"/>
      <c r="I6" s="95"/>
      <c r="J6" s="95"/>
      <c r="K6" s="96"/>
    </row>
    <row r="7" spans="1:11" ht="16.5" thickBot="1">
      <c r="A7" s="75" t="s">
        <v>72</v>
      </c>
      <c r="B7" s="97">
        <f>MENU!D10</f>
        <v>2022</v>
      </c>
      <c r="C7" s="97"/>
      <c r="D7" s="97"/>
      <c r="E7" s="97"/>
      <c r="F7" s="97"/>
      <c r="G7" s="97"/>
      <c r="H7" s="97"/>
      <c r="I7" s="97"/>
      <c r="J7" s="97"/>
      <c r="K7" s="98"/>
    </row>
    <row r="8" spans="1:11" ht="15.75" thickBot="1"/>
    <row r="9" spans="1:11">
      <c r="A9" s="107" t="s">
        <v>77</v>
      </c>
      <c r="B9" s="108"/>
      <c r="C9" s="108"/>
      <c r="D9" s="108"/>
      <c r="E9" s="108"/>
      <c r="F9" s="108"/>
      <c r="G9" s="108"/>
      <c r="H9" s="108"/>
      <c r="I9" s="108"/>
      <c r="J9" s="108"/>
      <c r="K9" s="109"/>
    </row>
    <row r="10" spans="1:11" ht="15.75" thickBot="1">
      <c r="A10" s="110"/>
      <c r="B10" s="111"/>
      <c r="C10" s="111"/>
      <c r="D10" s="111"/>
      <c r="E10" s="111"/>
      <c r="F10" s="111"/>
      <c r="G10" s="111"/>
      <c r="H10" s="111"/>
      <c r="I10" s="111"/>
      <c r="J10" s="111"/>
      <c r="K10" s="112"/>
    </row>
    <row r="11" spans="1:11" ht="15.75">
      <c r="A11" s="79" t="s">
        <v>9</v>
      </c>
      <c r="B11" s="107" t="s">
        <v>78</v>
      </c>
      <c r="C11" s="108"/>
      <c r="D11" s="108"/>
      <c r="E11" s="109"/>
      <c r="F11" s="107" t="s">
        <v>79</v>
      </c>
      <c r="G11" s="109"/>
      <c r="H11" s="107" t="s">
        <v>80</v>
      </c>
      <c r="I11" s="109"/>
      <c r="J11" s="107" t="s">
        <v>99</v>
      </c>
      <c r="K11" s="109"/>
    </row>
    <row r="12" spans="1:11">
      <c r="A12" s="78">
        <f>IF('4A-A'!A3&lt;&gt;0,'4A-A'!A3,"")</f>
        <v>1</v>
      </c>
      <c r="B12" s="149" t="str">
        <f>IF('4A-A'!B3&lt;&gt;0,'4A-A'!B3,"")</f>
        <v/>
      </c>
      <c r="C12" s="150"/>
      <c r="D12" s="150"/>
      <c r="E12" s="151"/>
      <c r="F12" s="152" t="str">
        <f>IF('4A-A'!G3&lt;&gt;0,'4A-A'!G3,"")</f>
        <v/>
      </c>
      <c r="G12" s="153"/>
      <c r="H12" s="159" t="str">
        <f>IF('4A-A'!C3&lt;&gt;0,'4A-A'!C3,"")</f>
        <v/>
      </c>
      <c r="I12" s="160"/>
      <c r="J12" s="152" t="str">
        <f>IF('4A-A'!D3&lt;&gt;0,'4A-A'!D3,"")</f>
        <v/>
      </c>
      <c r="K12" s="155"/>
    </row>
    <row r="13" spans="1:11">
      <c r="A13" s="78">
        <f>IF('4A-A'!A4&lt;&gt;0,'4A-A'!A4,"")</f>
        <v>2</v>
      </c>
      <c r="B13" s="149" t="str">
        <f>IF('4A-A'!B4&lt;&gt;0,'4A-A'!B4,"")</f>
        <v/>
      </c>
      <c r="C13" s="150"/>
      <c r="D13" s="150"/>
      <c r="E13" s="151"/>
      <c r="F13" s="152" t="str">
        <f>IF('4A-A'!G4&lt;&gt;0,'4A-A'!G4,"")</f>
        <v/>
      </c>
      <c r="G13" s="153"/>
      <c r="H13" s="159" t="str">
        <f>IF('4A-A'!C4&lt;&gt;0,'4A-A'!C4,"")</f>
        <v/>
      </c>
      <c r="I13" s="160"/>
      <c r="J13" s="152" t="str">
        <f>IF('4A-A'!D4&lt;&gt;0,'4A-A'!D4,"")</f>
        <v/>
      </c>
      <c r="K13" s="155"/>
    </row>
    <row r="14" spans="1:11">
      <c r="A14" s="78">
        <f>IF('4A-A'!A5&lt;&gt;0,'4A-A'!A5,"")</f>
        <v>3</v>
      </c>
      <c r="B14" s="149" t="str">
        <f>IF('4A-A'!B5&lt;&gt;0,'4A-A'!B5,"")</f>
        <v/>
      </c>
      <c r="C14" s="150"/>
      <c r="D14" s="150"/>
      <c r="E14" s="151"/>
      <c r="F14" s="152" t="str">
        <f>IF('4A-A'!G5&lt;&gt;0,'4A-A'!G5,"")</f>
        <v/>
      </c>
      <c r="G14" s="153"/>
      <c r="H14" s="159" t="str">
        <f>IF('4A-A'!C5&lt;&gt;0,'4A-A'!C5,"")</f>
        <v/>
      </c>
      <c r="I14" s="160"/>
      <c r="J14" s="152" t="str">
        <f>IF('4A-A'!D5&lt;&gt;0,'4A-A'!D5,"")</f>
        <v/>
      </c>
      <c r="K14" s="155"/>
    </row>
    <row r="15" spans="1:11">
      <c r="A15" s="78">
        <f>IF('4A-A'!A6&lt;&gt;0,'4A-A'!A6,"")</f>
        <v>4</v>
      </c>
      <c r="B15" s="149" t="str">
        <f>IF('4A-A'!B6&lt;&gt;0,'4A-A'!B6,"")</f>
        <v/>
      </c>
      <c r="C15" s="150"/>
      <c r="D15" s="150"/>
      <c r="E15" s="151"/>
      <c r="F15" s="152" t="str">
        <f>IF('4A-A'!G6&lt;&gt;0,'4A-A'!G6,"")</f>
        <v/>
      </c>
      <c r="G15" s="153"/>
      <c r="H15" s="159" t="str">
        <f>IF('4A-A'!C6&lt;&gt;0,'4A-A'!C6,"")</f>
        <v/>
      </c>
      <c r="I15" s="160"/>
      <c r="J15" s="152" t="str">
        <f>IF('4A-A'!D6&lt;&gt;0,'4A-A'!D6,"")</f>
        <v/>
      </c>
      <c r="K15" s="155"/>
    </row>
    <row r="16" spans="1:11">
      <c r="A16" s="78">
        <f>IF('4A-A'!A7&lt;&gt;0,'4A-A'!A7,"")</f>
        <v>5</v>
      </c>
      <c r="B16" s="149" t="str">
        <f>IF('4A-A'!B7&lt;&gt;0,'4A-A'!B7,"")</f>
        <v/>
      </c>
      <c r="C16" s="150"/>
      <c r="D16" s="150"/>
      <c r="E16" s="151"/>
      <c r="F16" s="152" t="str">
        <f>IF('4A-A'!G7&lt;&gt;0,'4A-A'!G7,"")</f>
        <v/>
      </c>
      <c r="G16" s="153"/>
      <c r="H16" s="159" t="str">
        <f>IF('4A-A'!C7&lt;&gt;0,'4A-A'!C7,"")</f>
        <v/>
      </c>
      <c r="I16" s="160"/>
      <c r="J16" s="152" t="str">
        <f>IF('4A-A'!D7&lt;&gt;0,'4A-A'!D7,"")</f>
        <v/>
      </c>
      <c r="K16" s="155"/>
    </row>
    <row r="17" spans="1:11">
      <c r="A17" s="78">
        <f>IF('4A-A'!A8&lt;&gt;0,'4A-A'!A8,"")</f>
        <v>6</v>
      </c>
      <c r="B17" s="149" t="str">
        <f>IF('4A-A'!B8&lt;&gt;0,'4A-A'!B8,"")</f>
        <v/>
      </c>
      <c r="C17" s="150"/>
      <c r="D17" s="150"/>
      <c r="E17" s="151"/>
      <c r="F17" s="152" t="str">
        <f>IF('4A-A'!G8&lt;&gt;0,'4A-A'!G8,"")</f>
        <v/>
      </c>
      <c r="G17" s="153"/>
      <c r="H17" s="159" t="str">
        <f>IF('4A-A'!C8&lt;&gt;0,'4A-A'!C8,"")</f>
        <v/>
      </c>
      <c r="I17" s="160"/>
      <c r="J17" s="152" t="str">
        <f>IF('4A-A'!D8&lt;&gt;0,'4A-A'!D8,"")</f>
        <v/>
      </c>
      <c r="K17" s="155"/>
    </row>
    <row r="18" spans="1:11">
      <c r="A18" s="78">
        <f>IF('4A-A'!A9&lt;&gt;0,'4A-A'!A9,"")</f>
        <v>7</v>
      </c>
      <c r="B18" s="149" t="str">
        <f>IF('4A-A'!B9&lt;&gt;0,'4A-A'!B9,"")</f>
        <v/>
      </c>
      <c r="C18" s="150"/>
      <c r="D18" s="150"/>
      <c r="E18" s="151"/>
      <c r="F18" s="152" t="str">
        <f>IF('4A-A'!G9&lt;&gt;0,'4A-A'!G9,"")</f>
        <v/>
      </c>
      <c r="G18" s="153"/>
      <c r="H18" s="159" t="str">
        <f>IF('4A-A'!C9&lt;&gt;0,'4A-A'!C9,"")</f>
        <v/>
      </c>
      <c r="I18" s="160"/>
      <c r="J18" s="152" t="str">
        <f>IF('4A-A'!D9&lt;&gt;0,'4A-A'!D9,"")</f>
        <v/>
      </c>
      <c r="K18" s="155"/>
    </row>
    <row r="19" spans="1:11">
      <c r="A19" s="78">
        <f>IF('4A-A'!A10&lt;&gt;0,'4A-A'!A10,"")</f>
        <v>8</v>
      </c>
      <c r="B19" s="149" t="str">
        <f>IF('4A-A'!B10&lt;&gt;0,'4A-A'!B10,"")</f>
        <v/>
      </c>
      <c r="C19" s="150"/>
      <c r="D19" s="150"/>
      <c r="E19" s="151"/>
      <c r="F19" s="152" t="str">
        <f>IF('4A-A'!G10&lt;&gt;0,'4A-A'!G10,"")</f>
        <v/>
      </c>
      <c r="G19" s="153"/>
      <c r="H19" s="159" t="str">
        <f>IF('4A-A'!C10&lt;&gt;0,'4A-A'!C10,"")</f>
        <v/>
      </c>
      <c r="I19" s="160"/>
      <c r="J19" s="152" t="str">
        <f>IF('4A-A'!D10&lt;&gt;0,'4A-A'!D10,"")</f>
        <v/>
      </c>
      <c r="K19" s="155"/>
    </row>
    <row r="20" spans="1:11">
      <c r="A20" s="78">
        <f>IF('4A-A'!A11&lt;&gt;0,'4A-A'!A11,"")</f>
        <v>9</v>
      </c>
      <c r="B20" s="149" t="str">
        <f>IF('4A-A'!B11&lt;&gt;0,'4A-A'!B11,"")</f>
        <v/>
      </c>
      <c r="C20" s="150"/>
      <c r="D20" s="150"/>
      <c r="E20" s="151"/>
      <c r="F20" s="152" t="str">
        <f>IF('4A-A'!G11&lt;&gt;0,'4A-A'!G11,"")</f>
        <v/>
      </c>
      <c r="G20" s="153"/>
      <c r="H20" s="159" t="str">
        <f>IF('4A-A'!C11&lt;&gt;0,'4A-A'!C11,"")</f>
        <v/>
      </c>
      <c r="I20" s="160"/>
      <c r="J20" s="152" t="str">
        <f>IF('4A-A'!D11&lt;&gt;0,'4A-A'!D11,"")</f>
        <v/>
      </c>
      <c r="K20" s="155"/>
    </row>
    <row r="21" spans="1:11">
      <c r="A21" s="78">
        <f>IF('4A-A'!A12&lt;&gt;0,'4A-A'!A12,"")</f>
        <v>10</v>
      </c>
      <c r="B21" s="149" t="str">
        <f>IF('4A-A'!B12&lt;&gt;0,'4A-A'!B12,"")</f>
        <v/>
      </c>
      <c r="C21" s="150"/>
      <c r="D21" s="150"/>
      <c r="E21" s="151"/>
      <c r="F21" s="152" t="str">
        <f>IF('4A-A'!G12&lt;&gt;0,'4A-A'!G12,"")</f>
        <v/>
      </c>
      <c r="G21" s="153"/>
      <c r="H21" s="159" t="str">
        <f>IF('4A-A'!C12&lt;&gt;0,'4A-A'!C12,"")</f>
        <v/>
      </c>
      <c r="I21" s="160"/>
      <c r="J21" s="152" t="str">
        <f>IF('4A-A'!D12&lt;&gt;0,'4A-A'!D12,"")</f>
        <v/>
      </c>
      <c r="K21" s="155"/>
    </row>
    <row r="22" spans="1:11">
      <c r="A22" s="78">
        <f>IF('4A-A'!A13&lt;&gt;0,'4A-A'!A13,"")</f>
        <v>11</v>
      </c>
      <c r="B22" s="149" t="str">
        <f>IF('4A-A'!B13&lt;&gt;0,'4A-A'!B13,"")</f>
        <v/>
      </c>
      <c r="C22" s="150"/>
      <c r="D22" s="150"/>
      <c r="E22" s="151"/>
      <c r="F22" s="152" t="str">
        <f>IF('4A-A'!G13&lt;&gt;0,'4A-A'!G13,"")</f>
        <v/>
      </c>
      <c r="G22" s="153"/>
      <c r="H22" s="159" t="str">
        <f>IF('4A-A'!C13&lt;&gt;0,'4A-A'!C13,"")</f>
        <v/>
      </c>
      <c r="I22" s="160"/>
      <c r="J22" s="152" t="str">
        <f>IF('4A-A'!D13&lt;&gt;0,'4A-A'!D13,"")</f>
        <v/>
      </c>
      <c r="K22" s="155"/>
    </row>
    <row r="23" spans="1:11">
      <c r="A23" s="78">
        <f>IF('4A-A'!A14&lt;&gt;0,'4A-A'!A14,"")</f>
        <v>12</v>
      </c>
      <c r="B23" s="149" t="str">
        <f>IF('4A-A'!B14&lt;&gt;0,'4A-A'!B14,"")</f>
        <v/>
      </c>
      <c r="C23" s="150"/>
      <c r="D23" s="150"/>
      <c r="E23" s="151"/>
      <c r="F23" s="152" t="str">
        <f>IF('4A-A'!G14&lt;&gt;0,'4A-A'!G14,"")</f>
        <v/>
      </c>
      <c r="G23" s="153"/>
      <c r="H23" s="159" t="str">
        <f>IF('4A-A'!C14&lt;&gt;0,'4A-A'!C14,"")</f>
        <v/>
      </c>
      <c r="I23" s="160"/>
      <c r="J23" s="152" t="str">
        <f>IF('4A-A'!D14&lt;&gt;0,'4A-A'!D14,"")</f>
        <v/>
      </c>
      <c r="K23" s="155"/>
    </row>
    <row r="24" spans="1:11">
      <c r="A24" s="78">
        <f>IF('4A-A'!A15&lt;&gt;0,'4A-A'!A15,"")</f>
        <v>13</v>
      </c>
      <c r="B24" s="149" t="str">
        <f>IF('4A-A'!B15&lt;&gt;0,'4A-A'!B15,"")</f>
        <v/>
      </c>
      <c r="C24" s="150"/>
      <c r="D24" s="150"/>
      <c r="E24" s="151"/>
      <c r="F24" s="152" t="str">
        <f>IF('4A-A'!G15&lt;&gt;0,'4A-A'!G15,"")</f>
        <v/>
      </c>
      <c r="G24" s="153"/>
      <c r="H24" s="159" t="str">
        <f>IF('4A-A'!C15&lt;&gt;0,'4A-A'!C15,"")</f>
        <v/>
      </c>
      <c r="I24" s="160"/>
      <c r="J24" s="152" t="str">
        <f>IF('4A-A'!D15&lt;&gt;0,'4A-A'!D15,"")</f>
        <v/>
      </c>
      <c r="K24" s="155"/>
    </row>
    <row r="25" spans="1:11">
      <c r="A25" s="78">
        <f>IF('4A-A'!A16&lt;&gt;0,'4A-A'!A16,"")</f>
        <v>14</v>
      </c>
      <c r="B25" s="149" t="str">
        <f>IF('4A-A'!B16&lt;&gt;0,'4A-A'!B16,"")</f>
        <v/>
      </c>
      <c r="C25" s="150"/>
      <c r="D25" s="150"/>
      <c r="E25" s="151"/>
      <c r="F25" s="152" t="str">
        <f>IF('4A-A'!G16&lt;&gt;0,'4A-A'!G16,"")</f>
        <v/>
      </c>
      <c r="G25" s="153"/>
      <c r="H25" s="159" t="str">
        <f>IF('4A-A'!C16&lt;&gt;0,'4A-A'!C16,"")</f>
        <v/>
      </c>
      <c r="I25" s="160"/>
      <c r="J25" s="152" t="str">
        <f>IF('4A-A'!D16&lt;&gt;0,'4A-A'!D16,"")</f>
        <v/>
      </c>
      <c r="K25" s="155"/>
    </row>
    <row r="26" spans="1:11">
      <c r="A26" s="78">
        <f>IF('4A-A'!A17&lt;&gt;0,'4A-A'!A17,"")</f>
        <v>15</v>
      </c>
      <c r="B26" s="149" t="str">
        <f>IF('4A-A'!B17&lt;&gt;0,'4A-A'!B17,"")</f>
        <v/>
      </c>
      <c r="C26" s="150"/>
      <c r="D26" s="150"/>
      <c r="E26" s="151"/>
      <c r="F26" s="152" t="str">
        <f>IF('4A-A'!G17&lt;&gt;0,'4A-A'!G17,"")</f>
        <v/>
      </c>
      <c r="G26" s="153"/>
      <c r="H26" s="159" t="str">
        <f>IF('4A-A'!C17&lt;&gt;0,'4A-A'!C17,"")</f>
        <v/>
      </c>
      <c r="I26" s="160"/>
      <c r="J26" s="152" t="str">
        <f>IF('4A-A'!D17&lt;&gt;0,'4A-A'!D17,"")</f>
        <v/>
      </c>
      <c r="K26" s="155"/>
    </row>
    <row r="27" spans="1:11">
      <c r="A27" s="78">
        <f>IF('4A-A'!A18&lt;&gt;0,'4A-A'!A18,"")</f>
        <v>16</v>
      </c>
      <c r="B27" s="149" t="str">
        <f>IF('4A-A'!B18&lt;&gt;0,'4A-A'!B18,"")</f>
        <v/>
      </c>
      <c r="C27" s="150"/>
      <c r="D27" s="150"/>
      <c r="E27" s="151"/>
      <c r="F27" s="152" t="str">
        <f>IF('4A-A'!G18&lt;&gt;0,'4A-A'!G18,"")</f>
        <v/>
      </c>
      <c r="G27" s="153"/>
      <c r="H27" s="159" t="str">
        <f>IF('4A-A'!C18&lt;&gt;0,'4A-A'!C18,"")</f>
        <v/>
      </c>
      <c r="I27" s="160"/>
      <c r="J27" s="152" t="str">
        <f>IF('4A-A'!D18&lt;&gt;0,'4A-A'!D18,"")</f>
        <v/>
      </c>
      <c r="K27" s="155"/>
    </row>
    <row r="28" spans="1:11">
      <c r="A28" s="78">
        <f>IF('4A-A'!A19&lt;&gt;0,'4A-A'!A19,"")</f>
        <v>17</v>
      </c>
      <c r="B28" s="149" t="str">
        <f>IF('4A-A'!B19&lt;&gt;0,'4A-A'!B19,"")</f>
        <v/>
      </c>
      <c r="C28" s="150"/>
      <c r="D28" s="150"/>
      <c r="E28" s="151"/>
      <c r="F28" s="152" t="str">
        <f>IF('4A-A'!G19&lt;&gt;0,'4A-A'!G19,"")</f>
        <v/>
      </c>
      <c r="G28" s="153"/>
      <c r="H28" s="159" t="str">
        <f>IF('4A-A'!C19&lt;&gt;0,'4A-A'!C19,"")</f>
        <v/>
      </c>
      <c r="I28" s="160"/>
      <c r="J28" s="152" t="str">
        <f>IF('4A-A'!D19&lt;&gt;0,'4A-A'!D19,"")</f>
        <v/>
      </c>
      <c r="K28" s="155"/>
    </row>
    <row r="29" spans="1:11">
      <c r="A29" s="78">
        <f>IF('4A-A'!A20&lt;&gt;0,'4A-A'!A20,"")</f>
        <v>18</v>
      </c>
      <c r="B29" s="149" t="str">
        <f>IF('4A-A'!B20&lt;&gt;0,'4A-A'!B20,"")</f>
        <v/>
      </c>
      <c r="C29" s="150"/>
      <c r="D29" s="150"/>
      <c r="E29" s="151"/>
      <c r="F29" s="152" t="str">
        <f>IF('4A-A'!G20&lt;&gt;0,'4A-A'!G20,"")</f>
        <v/>
      </c>
      <c r="G29" s="153"/>
      <c r="H29" s="159" t="str">
        <f>IF('4A-A'!C20&lt;&gt;0,'4A-A'!C20,"")</f>
        <v/>
      </c>
      <c r="I29" s="160"/>
      <c r="J29" s="152" t="str">
        <f>IF('4A-A'!D20&lt;&gt;0,'4A-A'!D20,"")</f>
        <v/>
      </c>
      <c r="K29" s="155"/>
    </row>
    <row r="30" spans="1:11">
      <c r="A30" s="78">
        <f>IF('4A-A'!A21&lt;&gt;0,'4A-A'!A21,"")</f>
        <v>19</v>
      </c>
      <c r="B30" s="149" t="str">
        <f>IF('4A-A'!B21&lt;&gt;0,'4A-A'!B21,"")</f>
        <v/>
      </c>
      <c r="C30" s="150"/>
      <c r="D30" s="150"/>
      <c r="E30" s="151"/>
      <c r="F30" s="152" t="str">
        <f>IF('4A-A'!G21&lt;&gt;0,'4A-A'!G21,"")</f>
        <v/>
      </c>
      <c r="G30" s="153"/>
      <c r="H30" s="159" t="str">
        <f>IF('4A-A'!C21&lt;&gt;0,'4A-A'!C21,"")</f>
        <v/>
      </c>
      <c r="I30" s="160"/>
      <c r="J30" s="152" t="str">
        <f>IF('4A-A'!D21&lt;&gt;0,'4A-A'!D21,"")</f>
        <v/>
      </c>
      <c r="K30" s="155"/>
    </row>
    <row r="31" spans="1:11">
      <c r="A31" s="78">
        <f>IF('4A-A'!A22&lt;&gt;0,'4A-A'!A22,"")</f>
        <v>20</v>
      </c>
      <c r="B31" s="149" t="str">
        <f>IF('4A-A'!B22&lt;&gt;0,'4A-A'!B22,"")</f>
        <v/>
      </c>
      <c r="C31" s="150"/>
      <c r="D31" s="150"/>
      <c r="E31" s="151"/>
      <c r="F31" s="152" t="str">
        <f>IF('4A-A'!G22&lt;&gt;0,'4A-A'!G22,"")</f>
        <v/>
      </c>
      <c r="G31" s="153"/>
      <c r="H31" s="159" t="str">
        <f>IF('4A-A'!C22&lt;&gt;0,'4A-A'!C22,"")</f>
        <v/>
      </c>
      <c r="I31" s="160"/>
      <c r="J31" s="152" t="str">
        <f>IF('4A-A'!D22&lt;&gt;0,'4A-A'!D22,"")</f>
        <v/>
      </c>
      <c r="K31" s="155"/>
    </row>
    <row r="32" spans="1:11">
      <c r="A32" s="78">
        <f>IF('4A-A'!A23&lt;&gt;0,'4A-A'!A23,"")</f>
        <v>21</v>
      </c>
      <c r="B32" s="149" t="str">
        <f>IF('4A-A'!B23&lt;&gt;0,'4A-A'!B23,"")</f>
        <v/>
      </c>
      <c r="C32" s="150"/>
      <c r="D32" s="150"/>
      <c r="E32" s="151"/>
      <c r="F32" s="152" t="str">
        <f>IF('4A-A'!G23&lt;&gt;0,'4A-A'!G23,"")</f>
        <v/>
      </c>
      <c r="G32" s="153"/>
      <c r="H32" s="159" t="str">
        <f>IF('4A-A'!C23&lt;&gt;0,'4A-A'!C23,"")</f>
        <v/>
      </c>
      <c r="I32" s="160"/>
      <c r="J32" s="152" t="str">
        <f>IF('4A-A'!D23&lt;&gt;0,'4A-A'!D23,"")</f>
        <v/>
      </c>
      <c r="K32" s="155"/>
    </row>
    <row r="33" spans="1:11">
      <c r="A33" s="78">
        <f>IF('4A-A'!A24&lt;&gt;0,'4A-A'!A24,"")</f>
        <v>22</v>
      </c>
      <c r="B33" s="149" t="str">
        <f>IF('4A-A'!B24&lt;&gt;0,'4A-A'!B24,"")</f>
        <v/>
      </c>
      <c r="C33" s="150"/>
      <c r="D33" s="150"/>
      <c r="E33" s="151"/>
      <c r="F33" s="152" t="str">
        <f>IF('4A-A'!G24&lt;&gt;0,'4A-A'!G24,"")</f>
        <v/>
      </c>
      <c r="G33" s="153"/>
      <c r="H33" s="159" t="str">
        <f>IF('4A-A'!C24&lt;&gt;0,'4A-A'!C24,"")</f>
        <v/>
      </c>
      <c r="I33" s="160"/>
      <c r="J33" s="152" t="str">
        <f>IF('4A-A'!D24&lt;&gt;0,'4A-A'!D24,"")</f>
        <v/>
      </c>
      <c r="K33" s="155"/>
    </row>
    <row r="34" spans="1:11">
      <c r="A34" s="78">
        <f>IF('4A-A'!A25&lt;&gt;0,'4A-A'!A25,"")</f>
        <v>23</v>
      </c>
      <c r="B34" s="149" t="str">
        <f>IF('4A-A'!B25&lt;&gt;0,'4A-A'!B25,"")</f>
        <v/>
      </c>
      <c r="C34" s="150"/>
      <c r="D34" s="150"/>
      <c r="E34" s="151"/>
      <c r="F34" s="152" t="str">
        <f>IF('4A-A'!G25&lt;&gt;0,'4A-A'!G25,"")</f>
        <v/>
      </c>
      <c r="G34" s="153"/>
      <c r="H34" s="159" t="str">
        <f>IF('4A-A'!C25&lt;&gt;0,'4A-A'!C25,"")</f>
        <v/>
      </c>
      <c r="I34" s="160"/>
      <c r="J34" s="152" t="str">
        <f>IF('4A-A'!D25&lt;&gt;0,'4A-A'!D25,"")</f>
        <v/>
      </c>
      <c r="K34" s="155"/>
    </row>
    <row r="35" spans="1:11">
      <c r="A35" s="78">
        <f>IF('4A-A'!A26&lt;&gt;0,'4A-A'!A26,"")</f>
        <v>24</v>
      </c>
      <c r="B35" s="149" t="str">
        <f>IF('4A-A'!B26&lt;&gt;0,'4A-A'!B26,"")</f>
        <v/>
      </c>
      <c r="C35" s="150"/>
      <c r="D35" s="150"/>
      <c r="E35" s="151"/>
      <c r="F35" s="152" t="str">
        <f>IF('4A-A'!G26&lt;&gt;0,'4A-A'!G26,"")</f>
        <v/>
      </c>
      <c r="G35" s="153"/>
      <c r="H35" s="159" t="str">
        <f>IF('4A-A'!C26&lt;&gt;0,'4A-A'!C26,"")</f>
        <v/>
      </c>
      <c r="I35" s="160"/>
      <c r="J35" s="152" t="str">
        <f>IF('4A-A'!D26&lt;&gt;0,'4A-A'!D26,"")</f>
        <v/>
      </c>
      <c r="K35" s="155"/>
    </row>
    <row r="36" spans="1:11">
      <c r="A36" s="78">
        <f>IF('4A-A'!A27&lt;&gt;0,'4A-A'!A27,"")</f>
        <v>25</v>
      </c>
      <c r="B36" s="149" t="str">
        <f>IF('4A-A'!B27&lt;&gt;0,'4A-A'!B27,"")</f>
        <v/>
      </c>
      <c r="C36" s="150"/>
      <c r="D36" s="150"/>
      <c r="E36" s="151"/>
      <c r="F36" s="152" t="str">
        <f>IF('4A-A'!G27&lt;&gt;0,'4A-A'!G27,"")</f>
        <v/>
      </c>
      <c r="G36" s="153"/>
      <c r="H36" s="159" t="str">
        <f>IF('4A-A'!C27&lt;&gt;0,'4A-A'!C27,"")</f>
        <v/>
      </c>
      <c r="I36" s="160"/>
      <c r="J36" s="152" t="str">
        <f>IF('4A-A'!D27&lt;&gt;0,'4A-A'!D27,"")</f>
        <v/>
      </c>
      <c r="K36" s="155"/>
    </row>
    <row r="37" spans="1:11">
      <c r="A37" s="78">
        <f>IF('4A-A'!A28&lt;&gt;0,'4A-A'!A28,"")</f>
        <v>26</v>
      </c>
      <c r="B37" s="149" t="str">
        <f>IF('4A-A'!B28&lt;&gt;0,'4A-A'!B28,"")</f>
        <v/>
      </c>
      <c r="C37" s="150"/>
      <c r="D37" s="150"/>
      <c r="E37" s="151"/>
      <c r="F37" s="152" t="str">
        <f>IF('4A-A'!G28&lt;&gt;0,'4A-A'!G28,"")</f>
        <v/>
      </c>
      <c r="G37" s="153"/>
      <c r="H37" s="159" t="str">
        <f>IF('4A-A'!C28&lt;&gt;0,'4A-A'!C28,"")</f>
        <v/>
      </c>
      <c r="I37" s="160"/>
      <c r="J37" s="152" t="str">
        <f>IF('4A-A'!D28&lt;&gt;0,'4A-A'!D28,"")</f>
        <v/>
      </c>
      <c r="K37" s="155"/>
    </row>
    <row r="38" spans="1:11">
      <c r="A38" s="78">
        <f>IF('4A-A'!A29&lt;&gt;0,'4A-A'!A29,"")</f>
        <v>27</v>
      </c>
      <c r="B38" s="149" t="str">
        <f>IF('4A-A'!B29&lt;&gt;0,'4A-A'!B29,"")</f>
        <v/>
      </c>
      <c r="C38" s="150"/>
      <c r="D38" s="150"/>
      <c r="E38" s="151"/>
      <c r="F38" s="152" t="str">
        <f>IF('4A-A'!G29&lt;&gt;0,'4A-A'!G29,"")</f>
        <v/>
      </c>
      <c r="G38" s="153"/>
      <c r="H38" s="159" t="str">
        <f>IF('4A-A'!C29&lt;&gt;0,'4A-A'!C29,"")</f>
        <v/>
      </c>
      <c r="I38" s="160"/>
      <c r="J38" s="152" t="str">
        <f>IF('4A-A'!D29&lt;&gt;0,'4A-A'!D29,"")</f>
        <v/>
      </c>
      <c r="K38" s="155"/>
    </row>
    <row r="39" spans="1:11">
      <c r="A39" s="78">
        <f>IF('4A-A'!A30&lt;&gt;0,'4A-A'!A30,"")</f>
        <v>28</v>
      </c>
      <c r="B39" s="149" t="str">
        <f>IF('4A-A'!B30&lt;&gt;0,'4A-A'!B30,"")</f>
        <v/>
      </c>
      <c r="C39" s="150"/>
      <c r="D39" s="150"/>
      <c r="E39" s="151"/>
      <c r="F39" s="152" t="str">
        <f>IF('4A-A'!G30&lt;&gt;0,'4A-A'!G30,"")</f>
        <v/>
      </c>
      <c r="G39" s="153"/>
      <c r="H39" s="159" t="str">
        <f>IF('4A-A'!C30&lt;&gt;0,'4A-A'!C30,"")</f>
        <v/>
      </c>
      <c r="I39" s="160"/>
      <c r="J39" s="152" t="str">
        <f>IF('4A-A'!D30&lt;&gt;0,'4A-A'!D30,"")</f>
        <v/>
      </c>
      <c r="K39" s="155"/>
    </row>
    <row r="40" spans="1:11">
      <c r="A40" s="78">
        <f>IF('4A-A'!A31&lt;&gt;0,'4A-A'!A31,"")</f>
        <v>29</v>
      </c>
      <c r="B40" s="149" t="str">
        <f>IF('4A-A'!B31&lt;&gt;0,'4A-A'!B31,"")</f>
        <v/>
      </c>
      <c r="C40" s="150"/>
      <c r="D40" s="150"/>
      <c r="E40" s="151"/>
      <c r="F40" s="152" t="str">
        <f>IF('4A-A'!G31&lt;&gt;0,'4A-A'!G31,"")</f>
        <v/>
      </c>
      <c r="G40" s="153"/>
      <c r="H40" s="159" t="str">
        <f>IF('4A-A'!C31&lt;&gt;0,'4A-A'!C31,"")</f>
        <v/>
      </c>
      <c r="I40" s="160"/>
      <c r="J40" s="152" t="str">
        <f>IF('4A-A'!D31&lt;&gt;0,'4A-A'!D31,"")</f>
        <v/>
      </c>
      <c r="K40" s="155"/>
    </row>
    <row r="41" spans="1:11" ht="15.75" thickBot="1">
      <c r="A41" s="80">
        <f>IF('4A-A'!A32&lt;&gt;0,'4A-A'!A32,"")</f>
        <v>30</v>
      </c>
      <c r="B41" s="142" t="str">
        <f>IF('4A-A'!B32&lt;&gt;0,'4A-A'!B32,"")</f>
        <v/>
      </c>
      <c r="C41" s="143"/>
      <c r="D41" s="143"/>
      <c r="E41" s="144"/>
      <c r="F41" s="145" t="str">
        <f>IF('4A-A'!G32&lt;&gt;0,'4A-A'!G32,"")</f>
        <v/>
      </c>
      <c r="G41" s="146"/>
      <c r="H41" s="157" t="str">
        <f>IF('4A-A'!C32&lt;&gt;0,'4A-A'!C32,"")</f>
        <v/>
      </c>
      <c r="I41" s="158"/>
      <c r="J41" s="145" t="str">
        <f>IF('4A-A'!D32&lt;&gt;0,'4A-A'!D32,"")</f>
        <v/>
      </c>
      <c r="K41" s="148"/>
    </row>
    <row r="43" spans="1:11" ht="15.75">
      <c r="A43" s="119" t="s">
        <v>81</v>
      </c>
      <c r="B43" s="119"/>
      <c r="C43" s="119"/>
      <c r="D43" s="119"/>
      <c r="E43" s="120">
        <f>'4A-A'!U4</f>
        <v>0</v>
      </c>
      <c r="F43" s="120"/>
    </row>
    <row r="44" spans="1:11">
      <c r="A44" s="66" t="s">
        <v>125</v>
      </c>
      <c r="E44" s="122">
        <f ca="1">'4A-A'!Q3</f>
        <v>0</v>
      </c>
      <c r="F44" s="122"/>
    </row>
    <row r="45" spans="1:11">
      <c r="A45" s="66" t="s">
        <v>126</v>
      </c>
      <c r="E45" s="122">
        <f ca="1">'4A-A'!R3</f>
        <v>0</v>
      </c>
      <c r="F45" s="122"/>
    </row>
    <row r="48" spans="1:11">
      <c r="A48" s="66" t="s">
        <v>84</v>
      </c>
      <c r="C48" s="121">
        <f ca="1">TODAY()</f>
        <v>44871</v>
      </c>
      <c r="D48" s="122"/>
      <c r="E48" s="122"/>
    </row>
  </sheetData>
  <sheetProtection algorithmName="SHA-512" hashValue="2dJTZwAZFDc0T+gB7pKcTriNvPNRx6lZ1YgKYoBXtM3e8ZRrHlXYz1t8WDd2qIrGVT+3koTHOGWxArSqB6zt9A==" saltValue="/UnplyVZN/wiw9/OadHLZw==" spinCount="100000" sheet="1" objects="1" scenarios="1" selectLockedCells="1"/>
  <mergeCells count="138">
    <mergeCell ref="H38:I38"/>
    <mergeCell ref="H39:I39"/>
    <mergeCell ref="H40:I40"/>
    <mergeCell ref="H41:I41"/>
    <mergeCell ref="J37:K37"/>
    <mergeCell ref="J38:K38"/>
    <mergeCell ref="J39:K39"/>
    <mergeCell ref="J40:K40"/>
    <mergeCell ref="J41:K41"/>
    <mergeCell ref="E44:F44"/>
    <mergeCell ref="E45:F45"/>
    <mergeCell ref="C48:E48"/>
    <mergeCell ref="B37:E37"/>
    <mergeCell ref="B38:E38"/>
    <mergeCell ref="B39:E39"/>
    <mergeCell ref="B40:E40"/>
    <mergeCell ref="B41:E41"/>
    <mergeCell ref="F37:G37"/>
    <mergeCell ref="F38:G38"/>
    <mergeCell ref="B36:E36"/>
    <mergeCell ref="F36:G36"/>
    <mergeCell ref="H36:I36"/>
    <mergeCell ref="J36:K36"/>
    <mergeCell ref="A43:D43"/>
    <mergeCell ref="E43:F43"/>
    <mergeCell ref="F39:G39"/>
    <mergeCell ref="F40:G40"/>
    <mergeCell ref="F41:G41"/>
    <mergeCell ref="H37:I37"/>
    <mergeCell ref="B34:E34"/>
    <mergeCell ref="F34:G34"/>
    <mergeCell ref="H34:I34"/>
    <mergeCell ref="J34:K34"/>
    <mergeCell ref="B35:E35"/>
    <mergeCell ref="F35:G35"/>
    <mergeCell ref="H35:I35"/>
    <mergeCell ref="J35:K35"/>
    <mergeCell ref="B32:E32"/>
    <mergeCell ref="F32:G32"/>
    <mergeCell ref="H32:I32"/>
    <mergeCell ref="J32:K32"/>
    <mergeCell ref="B33:E33"/>
    <mergeCell ref="F33:G33"/>
    <mergeCell ref="H33:I33"/>
    <mergeCell ref="J33:K33"/>
    <mergeCell ref="B30:E30"/>
    <mergeCell ref="F30:G30"/>
    <mergeCell ref="H30:I30"/>
    <mergeCell ref="J30:K30"/>
    <mergeCell ref="B31:E31"/>
    <mergeCell ref="F31:G31"/>
    <mergeCell ref="H31:I31"/>
    <mergeCell ref="J31:K31"/>
    <mergeCell ref="B28:E28"/>
    <mergeCell ref="F28:G28"/>
    <mergeCell ref="H28:I28"/>
    <mergeCell ref="J28:K28"/>
    <mergeCell ref="B29:E29"/>
    <mergeCell ref="F29:G29"/>
    <mergeCell ref="H29:I29"/>
    <mergeCell ref="J29:K29"/>
    <mergeCell ref="B26:E26"/>
    <mergeCell ref="F26:G26"/>
    <mergeCell ref="H26:I26"/>
    <mergeCell ref="J26:K26"/>
    <mergeCell ref="B27:E27"/>
    <mergeCell ref="F27:G27"/>
    <mergeCell ref="H27:I27"/>
    <mergeCell ref="J27:K27"/>
    <mergeCell ref="B24:E24"/>
    <mergeCell ref="F24:G24"/>
    <mergeCell ref="H24:I24"/>
    <mergeCell ref="J24:K24"/>
    <mergeCell ref="B25:E25"/>
    <mergeCell ref="F25:G25"/>
    <mergeCell ref="H25:I25"/>
    <mergeCell ref="J25:K25"/>
    <mergeCell ref="B22:E22"/>
    <mergeCell ref="F22:G22"/>
    <mergeCell ref="H22:I22"/>
    <mergeCell ref="J22:K22"/>
    <mergeCell ref="B23:E23"/>
    <mergeCell ref="F23:G23"/>
    <mergeCell ref="H23:I23"/>
    <mergeCell ref="J23:K23"/>
    <mergeCell ref="B20:E20"/>
    <mergeCell ref="F20:G20"/>
    <mergeCell ref="H20:I20"/>
    <mergeCell ref="J20:K20"/>
    <mergeCell ref="B21:E21"/>
    <mergeCell ref="F21:G21"/>
    <mergeCell ref="H21:I21"/>
    <mergeCell ref="J21:K21"/>
    <mergeCell ref="B18:E18"/>
    <mergeCell ref="F18:G18"/>
    <mergeCell ref="H18:I18"/>
    <mergeCell ref="J18:K18"/>
    <mergeCell ref="B19:E19"/>
    <mergeCell ref="F19:G19"/>
    <mergeCell ref="H19:I19"/>
    <mergeCell ref="J19:K19"/>
    <mergeCell ref="B16:E16"/>
    <mergeCell ref="F16:G16"/>
    <mergeCell ref="H16:I16"/>
    <mergeCell ref="J16:K16"/>
    <mergeCell ref="B17:E17"/>
    <mergeCell ref="F17:G17"/>
    <mergeCell ref="H17:I17"/>
    <mergeCell ref="J17:K17"/>
    <mergeCell ref="B14:E14"/>
    <mergeCell ref="F14:G14"/>
    <mergeCell ref="H14:I14"/>
    <mergeCell ref="J14:K14"/>
    <mergeCell ref="B15:E15"/>
    <mergeCell ref="F15:G15"/>
    <mergeCell ref="H15:I15"/>
    <mergeCell ref="J15:K15"/>
    <mergeCell ref="B12:E12"/>
    <mergeCell ref="F12:G12"/>
    <mergeCell ref="H12:I12"/>
    <mergeCell ref="J12:K12"/>
    <mergeCell ref="B13:E13"/>
    <mergeCell ref="F13:G13"/>
    <mergeCell ref="H13:I13"/>
    <mergeCell ref="J13:K13"/>
    <mergeCell ref="B7:K7"/>
    <mergeCell ref="A9:K10"/>
    <mergeCell ref="B11:E11"/>
    <mergeCell ref="F11:G11"/>
    <mergeCell ref="H11:I11"/>
    <mergeCell ref="J11:K11"/>
    <mergeCell ref="B1:K1"/>
    <mergeCell ref="B2:K2"/>
    <mergeCell ref="B3:K3"/>
    <mergeCell ref="B4:K4"/>
    <mergeCell ref="B5:K5"/>
    <mergeCell ref="A6:C6"/>
    <mergeCell ref="D6:K6"/>
  </mergeCells>
  <conditionalFormatting sqref="A12:K41">
    <cfRule type="expression" dxfId="167" priority="1">
      <formula>IF($J12&lt;&gt;"",1,0)</formula>
    </cfRule>
  </conditionalFormatting>
  <conditionalFormatting sqref="B2:B5 D6">
    <cfRule type="expression" dxfId="166" priority="2">
      <formula>ROW()=CELL("LIN")</formula>
    </cfRule>
  </conditionalFormatting>
  <pageMargins left="0.39370078740157483" right="0.3543307086614173" top="1.1417322834645669" bottom="0.39370078740157483" header="0.31496062992125984" footer="0.31496062992125984"/>
  <pageSetup paperSize="9" scale="96" fitToHeight="0" orientation="portrait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E9BA9-800F-4555-93A5-BFE798068127}">
  <sheetPr codeName="Plan11">
    <pageSetUpPr fitToPage="1"/>
  </sheetPr>
  <dimension ref="A1:U32"/>
  <sheetViews>
    <sheetView showGridLines="0" showRowColHeaders="0" view="pageBreakPreview" zoomScale="60" zoomScaleNormal="60" zoomScalePageLayoutView="40" workbookViewId="0">
      <pane ySplit="1" topLeftCell="A2" activePane="bottomLeft" state="frozen"/>
      <selection pane="bottomLeft" activeCell="B3" sqref="B3"/>
    </sheetView>
  </sheetViews>
  <sheetFormatPr defaultColWidth="9.140625" defaultRowHeight="15"/>
  <cols>
    <col min="1" max="1" width="8.5703125" style="17" customWidth="1"/>
    <col min="2" max="2" width="42" style="17" customWidth="1"/>
    <col min="3" max="3" width="17" style="18" bestFit="1" customWidth="1"/>
    <col min="4" max="4" width="23.85546875" style="19" customWidth="1"/>
    <col min="5" max="5" width="28.5703125" style="17" customWidth="1"/>
    <col min="6" max="6" width="30.5703125" style="27" bestFit="1" customWidth="1"/>
    <col min="7" max="7" width="25.7109375" style="27" customWidth="1"/>
    <col min="8" max="8" width="21.140625" style="17" customWidth="1"/>
    <col min="9" max="9" width="17.5703125" style="17" customWidth="1"/>
    <col min="10" max="10" width="44.42578125" style="17" customWidth="1"/>
    <col min="11" max="11" width="9.7109375" style="17" customWidth="1"/>
    <col min="12" max="12" width="9.28515625" style="17" customWidth="1"/>
    <col min="13" max="13" width="9.140625" style="17"/>
    <col min="14" max="14" width="16.140625" style="17" customWidth="1"/>
    <col min="15" max="15" width="12.7109375" style="17" customWidth="1"/>
    <col min="16" max="16384" width="9.140625" style="17"/>
  </cols>
  <sheetData>
    <row r="1" spans="1:21" ht="75" customHeight="1"/>
    <row r="2" spans="1:21" ht="60">
      <c r="A2" s="20" t="s">
        <v>9</v>
      </c>
      <c r="B2" s="21" t="s">
        <v>10</v>
      </c>
      <c r="C2" s="22" t="s">
        <v>13</v>
      </c>
      <c r="D2" s="23" t="s">
        <v>16</v>
      </c>
      <c r="E2" s="22" t="s">
        <v>11</v>
      </c>
      <c r="F2" s="22" t="s">
        <v>12</v>
      </c>
      <c r="G2" s="22" t="s">
        <v>14</v>
      </c>
      <c r="H2" s="22" t="s">
        <v>15</v>
      </c>
      <c r="I2" s="22" t="s">
        <v>17</v>
      </c>
      <c r="J2" s="21" t="s">
        <v>18</v>
      </c>
      <c r="K2" s="26" t="s">
        <v>19</v>
      </c>
      <c r="L2" s="67"/>
      <c r="M2" s="68"/>
      <c r="N2" s="68"/>
      <c r="O2" s="68"/>
      <c r="P2" s="69" t="s">
        <v>0</v>
      </c>
      <c r="Q2" s="70" t="s">
        <v>123</v>
      </c>
      <c r="R2" s="70" t="s">
        <v>124</v>
      </c>
      <c r="S2" s="71" t="s">
        <v>3</v>
      </c>
      <c r="T2" s="70" t="s">
        <v>4</v>
      </c>
      <c r="U2" s="68"/>
    </row>
    <row r="3" spans="1:21">
      <c r="A3" s="81">
        <v>1</v>
      </c>
      <c r="B3" s="44"/>
      <c r="C3" s="45"/>
      <c r="D3" s="47"/>
      <c r="E3" s="46">
        <v>0</v>
      </c>
      <c r="F3" s="51"/>
      <c r="G3" s="52"/>
      <c r="H3" s="52"/>
      <c r="I3" s="47"/>
      <c r="J3" s="44"/>
      <c r="K3" s="24">
        <f t="shared" ref="K3:K27" ca="1" si="0">QUOTIENT(IF(DATEDIF(C3,TODAY(),"y")&gt;90,0,DATEDIF(C3,TODAY(),"m")),12)</f>
        <v>0</v>
      </c>
      <c r="L3" s="68">
        <f t="shared" ref="L3:L32" ca="1" si="1">IF($K3=0,0,IF($K3&lt;($P$3),1,0))</f>
        <v>0</v>
      </c>
      <c r="M3" s="68">
        <f t="shared" ref="M3:M32" ca="1" si="2">IF($K3&gt;($P$3),1,0)</f>
        <v>0</v>
      </c>
      <c r="N3" s="68" t="b">
        <f ca="1">IF(IF(DATEDIF(C3,TODAY(),"y")&gt;90,0,DATEDIF(C3,TODAY(),"m"))&gt;0,CONCATENATE(QUOTIENT(IF(DATEDIF(C3,TODAY(),"y")&gt;90,0,DATEDIF(C3,TODAY(),"m")),12)," anos e ",MOD(IF(DATEDIF(C3,TODAY(),"y")&gt;90,0,DATEDIF(C3,TODAY(),"m")),12)," mês"))</f>
        <v>0</v>
      </c>
      <c r="O3" s="68" t="str">
        <f ca="1">IF(C3="","",DATEDIF($C3,TODAY(),"m"))</f>
        <v/>
      </c>
      <c r="P3" s="68">
        <v>9</v>
      </c>
      <c r="Q3" s="68">
        <f ca="1">SUM(L3:L32)</f>
        <v>0</v>
      </c>
      <c r="R3" s="68">
        <f ca="1">SUM(M3:M32)</f>
        <v>0</v>
      </c>
      <c r="S3" s="71" t="s">
        <v>7</v>
      </c>
      <c r="T3" s="68">
        <f>($P$3*12)</f>
        <v>108</v>
      </c>
      <c r="U3" s="68"/>
    </row>
    <row r="4" spans="1:21" ht="15.75">
      <c r="A4" s="81">
        <v>2</v>
      </c>
      <c r="B4" s="44"/>
      <c r="C4" s="45"/>
      <c r="D4" s="47"/>
      <c r="E4" s="46">
        <v>0</v>
      </c>
      <c r="F4" s="51"/>
      <c r="G4" s="52"/>
      <c r="H4" s="52"/>
      <c r="I4" s="47"/>
      <c r="J4" s="44"/>
      <c r="K4" s="24">
        <f t="shared" ca="1" si="0"/>
        <v>0</v>
      </c>
      <c r="L4" s="68">
        <f t="shared" ca="1" si="1"/>
        <v>0</v>
      </c>
      <c r="M4" s="68">
        <f t="shared" ca="1" si="2"/>
        <v>0</v>
      </c>
      <c r="N4" s="68" t="b">
        <f t="shared" ref="N4:N27" ca="1" si="3">IF(IF(DATEDIF(C4,TODAY(),"y")&gt;90,0,DATEDIF(C4,TODAY(),"m"))&gt;0,CONCATENATE(QUOTIENT(IF(DATEDIF(C4,TODAY(),"y")&gt;90,0,DATEDIF(C4,TODAY(),"m")),12)," anos e ",MOD(IF(DATEDIF(C4,TODAY(),"y")&gt;90,0,DATEDIF(C4,TODAY(),"m")),12)," mês"))</f>
        <v>0</v>
      </c>
      <c r="O4" s="68" t="str">
        <f ca="1">IF(C4="","",DATEDIF($C4,TODAY(),"m"))</f>
        <v/>
      </c>
      <c r="P4" s="123" t="s">
        <v>6</v>
      </c>
      <c r="Q4" s="123"/>
      <c r="R4" s="123"/>
      <c r="S4" s="123"/>
      <c r="T4" s="123"/>
      <c r="U4" s="182">
        <f>COUNTA(B3:B32)-COUNTA(D3:D32)</f>
        <v>0</v>
      </c>
    </row>
    <row r="5" spans="1:21">
      <c r="A5" s="81">
        <v>3</v>
      </c>
      <c r="B5" s="44"/>
      <c r="C5" s="45"/>
      <c r="D5" s="47"/>
      <c r="E5" s="46">
        <v>0</v>
      </c>
      <c r="F5" s="51"/>
      <c r="G5" s="52"/>
      <c r="H5" s="52"/>
      <c r="I5" s="47"/>
      <c r="J5" s="44"/>
      <c r="K5" s="24">
        <f t="shared" ca="1" si="0"/>
        <v>0</v>
      </c>
      <c r="L5" s="68">
        <f t="shared" ca="1" si="1"/>
        <v>0</v>
      </c>
      <c r="M5" s="68">
        <f t="shared" ca="1" si="2"/>
        <v>0</v>
      </c>
      <c r="N5" s="68" t="b">
        <f t="shared" ca="1" si="3"/>
        <v>0</v>
      </c>
      <c r="O5" s="68" t="str">
        <f ca="1">IF(C5="","",DATEDIF($C5,TODAY(),"m"))</f>
        <v/>
      </c>
      <c r="P5" s="68"/>
      <c r="Q5" s="68"/>
      <c r="R5" s="68"/>
      <c r="S5" s="68"/>
      <c r="T5" s="68"/>
      <c r="U5" s="68"/>
    </row>
    <row r="6" spans="1:21">
      <c r="A6" s="81">
        <v>4</v>
      </c>
      <c r="B6" s="44"/>
      <c r="C6" s="45"/>
      <c r="D6" s="47"/>
      <c r="E6" s="46">
        <v>0</v>
      </c>
      <c r="F6" s="51"/>
      <c r="G6" s="52"/>
      <c r="H6" s="52"/>
      <c r="I6" s="47"/>
      <c r="J6" s="44"/>
      <c r="K6" s="24">
        <f t="shared" ca="1" si="0"/>
        <v>0</v>
      </c>
      <c r="L6" s="68">
        <f t="shared" ca="1" si="1"/>
        <v>0</v>
      </c>
      <c r="M6" s="68">
        <f t="shared" ca="1" si="2"/>
        <v>0</v>
      </c>
      <c r="N6" s="68" t="b">
        <f t="shared" ca="1" si="3"/>
        <v>0</v>
      </c>
      <c r="O6" s="68" t="str">
        <f t="shared" ref="O6:O26" ca="1" si="4">IF(C5="","",DATEDIF($C5,TODAY(),"m"))</f>
        <v/>
      </c>
      <c r="P6" s="68"/>
      <c r="Q6" s="68"/>
      <c r="R6" s="68"/>
      <c r="S6" s="68"/>
      <c r="T6" s="68"/>
      <c r="U6" s="68"/>
    </row>
    <row r="7" spans="1:21">
      <c r="A7" s="81">
        <v>5</v>
      </c>
      <c r="B7" s="44"/>
      <c r="C7" s="45"/>
      <c r="D7" s="47"/>
      <c r="E7" s="46">
        <v>0</v>
      </c>
      <c r="F7" s="51"/>
      <c r="G7" s="52"/>
      <c r="H7" s="52"/>
      <c r="I7" s="47"/>
      <c r="J7" s="44"/>
      <c r="K7" s="24">
        <f t="shared" ca="1" si="0"/>
        <v>0</v>
      </c>
      <c r="L7" s="68">
        <f t="shared" ca="1" si="1"/>
        <v>0</v>
      </c>
      <c r="M7" s="68">
        <f t="shared" ca="1" si="2"/>
        <v>0</v>
      </c>
      <c r="N7" s="68" t="b">
        <f t="shared" ca="1" si="3"/>
        <v>0</v>
      </c>
      <c r="O7" s="68" t="str">
        <f t="shared" ca="1" si="4"/>
        <v/>
      </c>
      <c r="P7" s="68"/>
      <c r="Q7" s="68"/>
      <c r="R7" s="68"/>
      <c r="S7" s="68"/>
      <c r="T7" s="68"/>
      <c r="U7" s="68"/>
    </row>
    <row r="8" spans="1:21">
      <c r="A8" s="81">
        <v>6</v>
      </c>
      <c r="B8" s="44"/>
      <c r="C8" s="45"/>
      <c r="D8" s="47"/>
      <c r="E8" s="46">
        <v>0</v>
      </c>
      <c r="F8" s="51"/>
      <c r="G8" s="52"/>
      <c r="H8" s="52"/>
      <c r="I8" s="47"/>
      <c r="J8" s="44"/>
      <c r="K8" s="24">
        <f t="shared" ca="1" si="0"/>
        <v>0</v>
      </c>
      <c r="L8" s="68">
        <f t="shared" ca="1" si="1"/>
        <v>0</v>
      </c>
      <c r="M8" s="68">
        <f t="shared" ca="1" si="2"/>
        <v>0</v>
      </c>
      <c r="N8" s="68" t="b">
        <f t="shared" ca="1" si="3"/>
        <v>0</v>
      </c>
      <c r="O8" s="68" t="str">
        <f t="shared" ca="1" si="4"/>
        <v/>
      </c>
      <c r="P8" s="68"/>
      <c r="Q8" s="68"/>
      <c r="R8" s="68"/>
      <c r="S8" s="68"/>
      <c r="T8" s="68"/>
      <c r="U8" s="68"/>
    </row>
    <row r="9" spans="1:21">
      <c r="A9" s="81">
        <v>7</v>
      </c>
      <c r="B9" s="44"/>
      <c r="C9" s="45"/>
      <c r="D9" s="47"/>
      <c r="E9" s="46">
        <v>0</v>
      </c>
      <c r="F9" s="51"/>
      <c r="G9" s="52"/>
      <c r="H9" s="52"/>
      <c r="I9" s="47"/>
      <c r="J9" s="44"/>
      <c r="K9" s="24">
        <f t="shared" ca="1" si="0"/>
        <v>0</v>
      </c>
      <c r="L9" s="68">
        <f t="shared" ca="1" si="1"/>
        <v>0</v>
      </c>
      <c r="M9" s="68">
        <f t="shared" ca="1" si="2"/>
        <v>0</v>
      </c>
      <c r="N9" s="68" t="b">
        <f t="shared" ca="1" si="3"/>
        <v>0</v>
      </c>
      <c r="O9" s="68" t="str">
        <f t="shared" ca="1" si="4"/>
        <v/>
      </c>
      <c r="P9" s="68"/>
      <c r="Q9" s="68"/>
      <c r="R9" s="68"/>
      <c r="S9" s="68"/>
      <c r="T9" s="68"/>
      <c r="U9" s="68"/>
    </row>
    <row r="10" spans="1:21">
      <c r="A10" s="81">
        <v>8</v>
      </c>
      <c r="B10" s="44"/>
      <c r="C10" s="45"/>
      <c r="D10" s="47"/>
      <c r="E10" s="46">
        <v>0</v>
      </c>
      <c r="F10" s="51"/>
      <c r="G10" s="52"/>
      <c r="H10" s="52"/>
      <c r="I10" s="47"/>
      <c r="J10" s="44"/>
      <c r="K10" s="24">
        <f t="shared" ca="1" si="0"/>
        <v>0</v>
      </c>
      <c r="L10" s="68">
        <f t="shared" ca="1" si="1"/>
        <v>0</v>
      </c>
      <c r="M10" s="68">
        <f t="shared" ca="1" si="2"/>
        <v>0</v>
      </c>
      <c r="N10" s="68" t="b">
        <f t="shared" ca="1" si="3"/>
        <v>0</v>
      </c>
      <c r="O10" s="68" t="str">
        <f t="shared" ca="1" si="4"/>
        <v/>
      </c>
      <c r="P10" s="68"/>
      <c r="Q10" s="68"/>
      <c r="R10" s="68"/>
      <c r="S10" s="68"/>
      <c r="T10" s="68"/>
      <c r="U10" s="68"/>
    </row>
    <row r="11" spans="1:21">
      <c r="A11" s="81">
        <v>9</v>
      </c>
      <c r="B11" s="44"/>
      <c r="C11" s="45"/>
      <c r="D11" s="47"/>
      <c r="E11" s="46">
        <v>0</v>
      </c>
      <c r="F11" s="51"/>
      <c r="G11" s="52"/>
      <c r="H11" s="52"/>
      <c r="I11" s="47"/>
      <c r="J11" s="44"/>
      <c r="K11" s="24">
        <f t="shared" ca="1" si="0"/>
        <v>0</v>
      </c>
      <c r="L11" s="68">
        <f t="shared" ca="1" si="1"/>
        <v>0</v>
      </c>
      <c r="M11" s="68">
        <f t="shared" ca="1" si="2"/>
        <v>0</v>
      </c>
      <c r="N11" s="68" t="b">
        <f t="shared" ca="1" si="3"/>
        <v>0</v>
      </c>
      <c r="O11" s="68" t="str">
        <f t="shared" ca="1" si="4"/>
        <v/>
      </c>
      <c r="P11" s="68"/>
      <c r="Q11" s="68"/>
      <c r="R11" s="68"/>
      <c r="S11" s="68"/>
      <c r="T11" s="68"/>
      <c r="U11" s="68"/>
    </row>
    <row r="12" spans="1:21">
      <c r="A12" s="81">
        <v>10</v>
      </c>
      <c r="B12" s="44"/>
      <c r="C12" s="45"/>
      <c r="D12" s="47"/>
      <c r="E12" s="46">
        <v>0</v>
      </c>
      <c r="F12" s="51"/>
      <c r="G12" s="52"/>
      <c r="H12" s="52"/>
      <c r="I12" s="47"/>
      <c r="J12" s="44"/>
      <c r="K12" s="24">
        <f t="shared" ca="1" si="0"/>
        <v>0</v>
      </c>
      <c r="L12" s="68">
        <f t="shared" ca="1" si="1"/>
        <v>0</v>
      </c>
      <c r="M12" s="68">
        <f t="shared" ca="1" si="2"/>
        <v>0</v>
      </c>
      <c r="N12" s="68" t="b">
        <f t="shared" ca="1" si="3"/>
        <v>0</v>
      </c>
      <c r="O12" s="68" t="str">
        <f t="shared" ca="1" si="4"/>
        <v/>
      </c>
      <c r="P12" s="68"/>
      <c r="Q12" s="68"/>
      <c r="R12" s="68"/>
      <c r="S12" s="68"/>
      <c r="T12" s="68"/>
      <c r="U12" s="68"/>
    </row>
    <row r="13" spans="1:21">
      <c r="A13" s="81">
        <v>11</v>
      </c>
      <c r="B13" s="44"/>
      <c r="C13" s="45"/>
      <c r="D13" s="47"/>
      <c r="E13" s="46">
        <v>0</v>
      </c>
      <c r="F13" s="51"/>
      <c r="G13" s="52"/>
      <c r="H13" s="52"/>
      <c r="I13" s="47"/>
      <c r="J13" s="44"/>
      <c r="K13" s="24">
        <f t="shared" ca="1" si="0"/>
        <v>0</v>
      </c>
      <c r="L13" s="68">
        <f t="shared" ca="1" si="1"/>
        <v>0</v>
      </c>
      <c r="M13" s="68">
        <f t="shared" ca="1" si="2"/>
        <v>0</v>
      </c>
      <c r="N13" s="68" t="b">
        <f t="shared" ca="1" si="3"/>
        <v>0</v>
      </c>
      <c r="O13" s="68" t="str">
        <f t="shared" ca="1" si="4"/>
        <v/>
      </c>
      <c r="P13" s="68"/>
      <c r="Q13" s="68"/>
      <c r="R13" s="68"/>
      <c r="S13" s="68"/>
      <c r="T13" s="68"/>
      <c r="U13" s="68"/>
    </row>
    <row r="14" spans="1:21">
      <c r="A14" s="81">
        <v>12</v>
      </c>
      <c r="B14" s="44"/>
      <c r="C14" s="45"/>
      <c r="D14" s="47"/>
      <c r="E14" s="46">
        <v>0</v>
      </c>
      <c r="F14" s="51"/>
      <c r="G14" s="52"/>
      <c r="H14" s="52"/>
      <c r="I14" s="47"/>
      <c r="J14" s="44"/>
      <c r="K14" s="24">
        <f t="shared" ca="1" si="0"/>
        <v>0</v>
      </c>
      <c r="L14" s="68">
        <f t="shared" ca="1" si="1"/>
        <v>0</v>
      </c>
      <c r="M14" s="68">
        <f t="shared" ca="1" si="2"/>
        <v>0</v>
      </c>
      <c r="N14" s="68" t="b">
        <f t="shared" ca="1" si="3"/>
        <v>0</v>
      </c>
      <c r="O14" s="68" t="str">
        <f t="shared" ca="1" si="4"/>
        <v/>
      </c>
      <c r="P14" s="68"/>
      <c r="Q14" s="68"/>
      <c r="R14" s="68"/>
      <c r="S14" s="68"/>
      <c r="T14" s="68"/>
      <c r="U14" s="68"/>
    </row>
    <row r="15" spans="1:21">
      <c r="A15" s="81">
        <v>13</v>
      </c>
      <c r="B15" s="44"/>
      <c r="C15" s="45"/>
      <c r="D15" s="47"/>
      <c r="E15" s="46">
        <v>0</v>
      </c>
      <c r="F15" s="51"/>
      <c r="G15" s="52"/>
      <c r="H15" s="52"/>
      <c r="I15" s="47"/>
      <c r="J15" s="44"/>
      <c r="K15" s="24">
        <f t="shared" ca="1" si="0"/>
        <v>0</v>
      </c>
      <c r="L15" s="68">
        <f t="shared" ca="1" si="1"/>
        <v>0</v>
      </c>
      <c r="M15" s="68">
        <f t="shared" ca="1" si="2"/>
        <v>0</v>
      </c>
      <c r="N15" s="68" t="b">
        <f t="shared" ca="1" si="3"/>
        <v>0</v>
      </c>
      <c r="O15" s="68" t="str">
        <f t="shared" ca="1" si="4"/>
        <v/>
      </c>
      <c r="P15" s="68"/>
      <c r="Q15" s="68"/>
      <c r="R15" s="68"/>
      <c r="S15" s="68"/>
      <c r="T15" s="68"/>
      <c r="U15" s="68"/>
    </row>
    <row r="16" spans="1:21">
      <c r="A16" s="81">
        <v>14</v>
      </c>
      <c r="B16" s="44"/>
      <c r="C16" s="45"/>
      <c r="D16" s="47"/>
      <c r="E16" s="46">
        <v>0</v>
      </c>
      <c r="F16" s="51"/>
      <c r="G16" s="52"/>
      <c r="H16" s="52"/>
      <c r="I16" s="47"/>
      <c r="J16" s="44"/>
      <c r="K16" s="24">
        <f t="shared" ca="1" si="0"/>
        <v>0</v>
      </c>
      <c r="L16" s="68">
        <f t="shared" ca="1" si="1"/>
        <v>0</v>
      </c>
      <c r="M16" s="68">
        <f t="shared" ca="1" si="2"/>
        <v>0</v>
      </c>
      <c r="N16" s="68" t="b">
        <f t="shared" ca="1" si="3"/>
        <v>0</v>
      </c>
      <c r="O16" s="68" t="str">
        <f t="shared" ca="1" si="4"/>
        <v/>
      </c>
      <c r="P16" s="68"/>
      <c r="Q16" s="68"/>
      <c r="R16" s="68"/>
      <c r="S16" s="68"/>
      <c r="T16" s="68"/>
      <c r="U16" s="68"/>
    </row>
    <row r="17" spans="1:21">
      <c r="A17" s="81">
        <v>15</v>
      </c>
      <c r="B17" s="44"/>
      <c r="C17" s="45"/>
      <c r="D17" s="47"/>
      <c r="E17" s="46">
        <v>0</v>
      </c>
      <c r="F17" s="51"/>
      <c r="G17" s="52"/>
      <c r="H17" s="52"/>
      <c r="I17" s="53"/>
      <c r="J17" s="44"/>
      <c r="K17" s="24">
        <f t="shared" ca="1" si="0"/>
        <v>0</v>
      </c>
      <c r="L17" s="68">
        <f t="shared" ca="1" si="1"/>
        <v>0</v>
      </c>
      <c r="M17" s="68">
        <f t="shared" ca="1" si="2"/>
        <v>0</v>
      </c>
      <c r="N17" s="68" t="b">
        <f t="shared" ca="1" si="3"/>
        <v>0</v>
      </c>
      <c r="O17" s="68" t="str">
        <f t="shared" ca="1" si="4"/>
        <v/>
      </c>
      <c r="P17" s="68"/>
      <c r="Q17" s="68"/>
      <c r="R17" s="68"/>
      <c r="S17" s="68"/>
      <c r="T17" s="68"/>
      <c r="U17" s="68"/>
    </row>
    <row r="18" spans="1:21">
      <c r="A18" s="81">
        <v>16</v>
      </c>
      <c r="B18" s="44"/>
      <c r="C18" s="45"/>
      <c r="D18" s="47"/>
      <c r="E18" s="46">
        <v>0</v>
      </c>
      <c r="F18" s="51"/>
      <c r="G18" s="52"/>
      <c r="H18" s="52"/>
      <c r="I18" s="47"/>
      <c r="J18" s="44"/>
      <c r="K18" s="24">
        <f t="shared" ca="1" si="0"/>
        <v>0</v>
      </c>
      <c r="L18" s="68">
        <f t="shared" ca="1" si="1"/>
        <v>0</v>
      </c>
      <c r="M18" s="68">
        <f t="shared" ca="1" si="2"/>
        <v>0</v>
      </c>
      <c r="N18" s="68" t="b">
        <f t="shared" ca="1" si="3"/>
        <v>0</v>
      </c>
      <c r="O18" s="68" t="str">
        <f t="shared" ca="1" si="4"/>
        <v/>
      </c>
      <c r="P18" s="68"/>
      <c r="Q18" s="68"/>
      <c r="R18" s="68"/>
      <c r="S18" s="68"/>
      <c r="T18" s="68"/>
      <c r="U18" s="68"/>
    </row>
    <row r="19" spans="1:21">
      <c r="A19" s="81">
        <v>17</v>
      </c>
      <c r="B19" s="44"/>
      <c r="C19" s="45"/>
      <c r="D19" s="47"/>
      <c r="E19" s="46">
        <v>0</v>
      </c>
      <c r="F19" s="51"/>
      <c r="G19" s="52"/>
      <c r="H19" s="52"/>
      <c r="I19" s="53"/>
      <c r="J19" s="44"/>
      <c r="K19" s="24">
        <f t="shared" ca="1" si="0"/>
        <v>0</v>
      </c>
      <c r="L19" s="68">
        <f t="shared" ca="1" si="1"/>
        <v>0</v>
      </c>
      <c r="M19" s="68">
        <f t="shared" ca="1" si="2"/>
        <v>0</v>
      </c>
      <c r="N19" s="68" t="b">
        <f t="shared" ca="1" si="3"/>
        <v>0</v>
      </c>
      <c r="O19" s="68" t="str">
        <f t="shared" ca="1" si="4"/>
        <v/>
      </c>
      <c r="P19" s="68"/>
      <c r="Q19" s="68"/>
      <c r="R19" s="68"/>
      <c r="S19" s="68"/>
      <c r="T19" s="68"/>
      <c r="U19" s="68"/>
    </row>
    <row r="20" spans="1:21">
      <c r="A20" s="81">
        <v>18</v>
      </c>
      <c r="B20" s="44"/>
      <c r="C20" s="45"/>
      <c r="D20" s="47"/>
      <c r="E20" s="46">
        <v>0</v>
      </c>
      <c r="F20" s="51"/>
      <c r="G20" s="52"/>
      <c r="H20" s="52"/>
      <c r="I20" s="47"/>
      <c r="J20" s="44"/>
      <c r="K20" s="24">
        <f t="shared" ca="1" si="0"/>
        <v>0</v>
      </c>
      <c r="L20" s="68">
        <f t="shared" ca="1" si="1"/>
        <v>0</v>
      </c>
      <c r="M20" s="68">
        <f t="shared" ca="1" si="2"/>
        <v>0</v>
      </c>
      <c r="N20" s="68" t="b">
        <f t="shared" ca="1" si="3"/>
        <v>0</v>
      </c>
      <c r="O20" s="68" t="str">
        <f t="shared" ca="1" si="4"/>
        <v/>
      </c>
      <c r="P20" s="68"/>
      <c r="Q20" s="68"/>
      <c r="R20" s="68"/>
      <c r="S20" s="68"/>
      <c r="T20" s="68"/>
      <c r="U20" s="68"/>
    </row>
    <row r="21" spans="1:21">
      <c r="A21" s="81">
        <v>19</v>
      </c>
      <c r="B21" s="44"/>
      <c r="C21" s="45"/>
      <c r="D21" s="47"/>
      <c r="E21" s="46">
        <v>0</v>
      </c>
      <c r="F21" s="51"/>
      <c r="G21" s="52"/>
      <c r="H21" s="52"/>
      <c r="I21" s="47"/>
      <c r="J21" s="44"/>
      <c r="K21" s="24">
        <f t="shared" ca="1" si="0"/>
        <v>0</v>
      </c>
      <c r="L21" s="68">
        <f t="shared" ca="1" si="1"/>
        <v>0</v>
      </c>
      <c r="M21" s="68">
        <f t="shared" ca="1" si="2"/>
        <v>0</v>
      </c>
      <c r="N21" s="68" t="b">
        <f t="shared" ca="1" si="3"/>
        <v>0</v>
      </c>
      <c r="O21" s="68" t="str">
        <f t="shared" ca="1" si="4"/>
        <v/>
      </c>
      <c r="P21" s="68"/>
      <c r="Q21" s="68"/>
      <c r="R21" s="68"/>
      <c r="S21" s="68"/>
      <c r="T21" s="68"/>
      <c r="U21" s="68"/>
    </row>
    <row r="22" spans="1:21">
      <c r="A22" s="81">
        <v>20</v>
      </c>
      <c r="B22" s="44"/>
      <c r="C22" s="45"/>
      <c r="D22" s="47"/>
      <c r="E22" s="46">
        <v>0</v>
      </c>
      <c r="F22" s="51"/>
      <c r="G22" s="52"/>
      <c r="H22" s="52"/>
      <c r="I22" s="47"/>
      <c r="J22" s="44"/>
      <c r="K22" s="24">
        <f t="shared" ca="1" si="0"/>
        <v>0</v>
      </c>
      <c r="L22" s="68">
        <f t="shared" ca="1" si="1"/>
        <v>0</v>
      </c>
      <c r="M22" s="68">
        <f t="shared" ca="1" si="2"/>
        <v>0</v>
      </c>
      <c r="N22" s="68" t="b">
        <f t="shared" ca="1" si="3"/>
        <v>0</v>
      </c>
      <c r="O22" s="68" t="str">
        <f t="shared" ca="1" si="4"/>
        <v/>
      </c>
      <c r="P22" s="68"/>
      <c r="Q22" s="68"/>
      <c r="R22" s="68"/>
      <c r="S22" s="68"/>
      <c r="T22" s="68"/>
      <c r="U22" s="68"/>
    </row>
    <row r="23" spans="1:21" ht="15.75">
      <c r="A23" s="82">
        <v>21</v>
      </c>
      <c r="B23" s="44"/>
      <c r="C23" s="45"/>
      <c r="D23" s="47"/>
      <c r="E23" s="46">
        <v>0</v>
      </c>
      <c r="F23" s="51"/>
      <c r="G23" s="52"/>
      <c r="H23" s="52"/>
      <c r="I23" s="47"/>
      <c r="J23" s="44"/>
      <c r="K23" s="24">
        <f t="shared" ca="1" si="0"/>
        <v>0</v>
      </c>
      <c r="L23" s="68">
        <f t="shared" ca="1" si="1"/>
        <v>0</v>
      </c>
      <c r="M23" s="68">
        <f t="shared" ca="1" si="2"/>
        <v>0</v>
      </c>
      <c r="N23" s="68" t="b">
        <f t="shared" ca="1" si="3"/>
        <v>0</v>
      </c>
      <c r="O23" s="68" t="str">
        <f t="shared" ca="1" si="4"/>
        <v/>
      </c>
      <c r="P23" s="68"/>
      <c r="Q23" s="68"/>
      <c r="R23" s="68"/>
      <c r="S23" s="68"/>
      <c r="T23" s="68"/>
      <c r="U23" s="68"/>
    </row>
    <row r="24" spans="1:21" ht="15.75">
      <c r="A24" s="82">
        <v>22</v>
      </c>
      <c r="B24" s="44"/>
      <c r="C24" s="45"/>
      <c r="D24" s="47"/>
      <c r="E24" s="46">
        <v>0</v>
      </c>
      <c r="F24" s="51"/>
      <c r="G24" s="52"/>
      <c r="H24" s="52"/>
      <c r="I24" s="47"/>
      <c r="J24" s="44"/>
      <c r="K24" s="24">
        <f t="shared" ca="1" si="0"/>
        <v>0</v>
      </c>
      <c r="L24" s="68">
        <f t="shared" ca="1" si="1"/>
        <v>0</v>
      </c>
      <c r="M24" s="68">
        <f t="shared" ca="1" si="2"/>
        <v>0</v>
      </c>
      <c r="N24" s="68" t="b">
        <f t="shared" ca="1" si="3"/>
        <v>0</v>
      </c>
      <c r="O24" s="68" t="str">
        <f t="shared" ca="1" si="4"/>
        <v/>
      </c>
      <c r="P24" s="68"/>
      <c r="Q24" s="68"/>
      <c r="R24" s="68"/>
      <c r="S24" s="68"/>
      <c r="T24" s="68"/>
      <c r="U24" s="68"/>
    </row>
    <row r="25" spans="1:21" ht="15.75">
      <c r="A25" s="82">
        <v>23</v>
      </c>
      <c r="B25" s="44"/>
      <c r="C25" s="45"/>
      <c r="D25" s="47"/>
      <c r="E25" s="46">
        <v>0</v>
      </c>
      <c r="F25" s="51"/>
      <c r="G25" s="52"/>
      <c r="H25" s="52"/>
      <c r="I25" s="47"/>
      <c r="J25" s="44"/>
      <c r="K25" s="24">
        <f t="shared" ca="1" si="0"/>
        <v>0</v>
      </c>
      <c r="L25" s="68">
        <f t="shared" ca="1" si="1"/>
        <v>0</v>
      </c>
      <c r="M25" s="68">
        <f t="shared" ca="1" si="2"/>
        <v>0</v>
      </c>
      <c r="N25" s="68" t="b">
        <f t="shared" ca="1" si="3"/>
        <v>0</v>
      </c>
      <c r="O25" s="68" t="str">
        <f t="shared" ca="1" si="4"/>
        <v/>
      </c>
      <c r="P25" s="68"/>
      <c r="Q25" s="68"/>
      <c r="R25" s="68"/>
      <c r="S25" s="68"/>
      <c r="T25" s="68"/>
      <c r="U25" s="68"/>
    </row>
    <row r="26" spans="1:21" ht="15.75">
      <c r="A26" s="82">
        <v>24</v>
      </c>
      <c r="B26" s="44"/>
      <c r="C26" s="45"/>
      <c r="D26" s="54"/>
      <c r="E26" s="46">
        <v>0</v>
      </c>
      <c r="F26" s="51"/>
      <c r="G26" s="52"/>
      <c r="H26" s="52"/>
      <c r="I26" s="47"/>
      <c r="J26" s="44"/>
      <c r="K26" s="24">
        <f t="shared" ca="1" si="0"/>
        <v>0</v>
      </c>
      <c r="L26" s="68">
        <f t="shared" ca="1" si="1"/>
        <v>0</v>
      </c>
      <c r="M26" s="68">
        <f t="shared" ca="1" si="2"/>
        <v>0</v>
      </c>
      <c r="N26" s="68" t="b">
        <f t="shared" ca="1" si="3"/>
        <v>0</v>
      </c>
      <c r="O26" s="68" t="str">
        <f t="shared" ca="1" si="4"/>
        <v/>
      </c>
      <c r="P26" s="68"/>
      <c r="Q26" s="68"/>
      <c r="R26" s="68"/>
      <c r="S26" s="68"/>
      <c r="T26" s="68"/>
      <c r="U26" s="68"/>
    </row>
    <row r="27" spans="1:21" ht="15.75">
      <c r="A27" s="83">
        <v>25</v>
      </c>
      <c r="B27" s="48"/>
      <c r="C27" s="49"/>
      <c r="D27" s="50"/>
      <c r="E27" s="46">
        <v>0</v>
      </c>
      <c r="F27" s="55"/>
      <c r="G27" s="56"/>
      <c r="H27" s="56"/>
      <c r="I27" s="50"/>
      <c r="J27" s="48"/>
      <c r="K27" s="25">
        <f t="shared" ca="1" si="0"/>
        <v>0</v>
      </c>
      <c r="L27" s="68">
        <f t="shared" ca="1" si="1"/>
        <v>0</v>
      </c>
      <c r="M27" s="68">
        <f t="shared" ca="1" si="2"/>
        <v>0</v>
      </c>
      <c r="N27" s="68" t="b">
        <f t="shared" ca="1" si="3"/>
        <v>0</v>
      </c>
      <c r="O27" s="68" t="str">
        <f ca="1">IF(C27="","",DATEDIF($C27,TODAY(),"m"))</f>
        <v/>
      </c>
      <c r="P27" s="68"/>
      <c r="Q27" s="68"/>
      <c r="R27" s="68"/>
      <c r="S27" s="68"/>
      <c r="T27" s="68"/>
      <c r="U27" s="68"/>
    </row>
    <row r="28" spans="1:21" ht="15.75">
      <c r="A28" s="174">
        <v>26</v>
      </c>
      <c r="B28" s="175"/>
      <c r="C28" s="176"/>
      <c r="D28" s="176"/>
      <c r="E28" s="177">
        <v>0</v>
      </c>
      <c r="F28" s="178"/>
      <c r="G28" s="179"/>
      <c r="H28" s="179"/>
      <c r="I28" s="180"/>
      <c r="J28" s="175"/>
      <c r="K28" s="181">
        <f ca="1">QUOTIENT(IF(DATEDIF(C28,TODAY(),"y")&gt;90,0,DATEDIF(C28,TODAY(),"m")),12)</f>
        <v>0</v>
      </c>
      <c r="L28" s="68">
        <f t="shared" ca="1" si="1"/>
        <v>0</v>
      </c>
      <c r="M28" s="68">
        <f t="shared" ca="1" si="2"/>
        <v>0</v>
      </c>
      <c r="N28" s="68" t="b">
        <f t="shared" ref="N28:N32" ca="1" si="5">IF(IF(DATEDIF(C28,TODAY(),"y")&gt;90,0,DATEDIF(C28,TODAY(),"m"))&gt;0,CONCATENATE(QUOTIENT(IF(DATEDIF(C28,TODAY(),"y")&gt;90,0,DATEDIF(C28,TODAY(),"m")),12)," anos e ",MOD(IF(DATEDIF(C28,TODAY(),"y")&gt;90,0,DATEDIF(C28,TODAY(),"m")),12)," mês"))</f>
        <v>0</v>
      </c>
    </row>
    <row r="29" spans="1:21" ht="15.75">
      <c r="A29" s="174">
        <v>27</v>
      </c>
      <c r="B29" s="175"/>
      <c r="C29" s="176"/>
      <c r="D29" s="176"/>
      <c r="E29" s="177">
        <v>0</v>
      </c>
      <c r="F29" s="178"/>
      <c r="G29" s="179"/>
      <c r="H29" s="179"/>
      <c r="I29" s="180"/>
      <c r="J29" s="175"/>
      <c r="K29" s="181">
        <f ca="1">QUOTIENT(IF(DATEDIF(C29,TODAY(),"y")&gt;90,0,DATEDIF(C29,TODAY(),"m")),12)</f>
        <v>0</v>
      </c>
      <c r="L29" s="68">
        <f t="shared" ca="1" si="1"/>
        <v>0</v>
      </c>
      <c r="M29" s="68">
        <f t="shared" ca="1" si="2"/>
        <v>0</v>
      </c>
      <c r="N29" s="68" t="b">
        <f t="shared" ca="1" si="5"/>
        <v>0</v>
      </c>
    </row>
    <row r="30" spans="1:21" ht="15.75">
      <c r="A30" s="174">
        <v>28</v>
      </c>
      <c r="B30" s="175"/>
      <c r="C30" s="176"/>
      <c r="D30" s="176"/>
      <c r="E30" s="177">
        <v>0</v>
      </c>
      <c r="F30" s="178"/>
      <c r="G30" s="179"/>
      <c r="H30" s="179"/>
      <c r="I30" s="180"/>
      <c r="J30" s="175"/>
      <c r="K30" s="181">
        <f ca="1">QUOTIENT(IF(DATEDIF(C30,TODAY(),"y")&gt;90,0,DATEDIF(C30,TODAY(),"m")),12)</f>
        <v>0</v>
      </c>
      <c r="L30" s="68">
        <f t="shared" ca="1" si="1"/>
        <v>0</v>
      </c>
      <c r="M30" s="68">
        <f t="shared" ca="1" si="2"/>
        <v>0</v>
      </c>
      <c r="N30" s="68" t="b">
        <f t="shared" ca="1" si="5"/>
        <v>0</v>
      </c>
    </row>
    <row r="31" spans="1:21" ht="15.75">
      <c r="A31" s="174">
        <v>29</v>
      </c>
      <c r="B31" s="175"/>
      <c r="C31" s="176"/>
      <c r="D31" s="176"/>
      <c r="E31" s="177">
        <v>0</v>
      </c>
      <c r="F31" s="178"/>
      <c r="G31" s="179"/>
      <c r="H31" s="179"/>
      <c r="I31" s="180"/>
      <c r="J31" s="175"/>
      <c r="K31" s="181">
        <f ca="1">QUOTIENT(IF(DATEDIF(C31,TODAY(),"y")&gt;90,0,DATEDIF(C31,TODAY(),"m")),12)</f>
        <v>0</v>
      </c>
      <c r="L31" s="68">
        <f t="shared" ca="1" si="1"/>
        <v>0</v>
      </c>
      <c r="M31" s="68">
        <f t="shared" ca="1" si="2"/>
        <v>0</v>
      </c>
      <c r="N31" s="68" t="b">
        <f t="shared" ca="1" si="5"/>
        <v>0</v>
      </c>
    </row>
    <row r="32" spans="1:21" ht="15.75">
      <c r="A32" s="174">
        <v>30</v>
      </c>
      <c r="B32" s="175"/>
      <c r="C32" s="176"/>
      <c r="D32" s="176"/>
      <c r="E32" s="177">
        <v>0</v>
      </c>
      <c r="F32" s="178"/>
      <c r="G32" s="179"/>
      <c r="H32" s="179"/>
      <c r="I32" s="180"/>
      <c r="J32" s="175"/>
      <c r="K32" s="181">
        <f ca="1">QUOTIENT(IF(DATEDIF(C32,TODAY(),"y")&gt;90,0,DATEDIF(C32,TODAY(),"m")),12)</f>
        <v>0</v>
      </c>
      <c r="L32" s="68">
        <f t="shared" ca="1" si="1"/>
        <v>0</v>
      </c>
      <c r="M32" s="68">
        <f t="shared" ca="1" si="2"/>
        <v>0</v>
      </c>
      <c r="N32" s="68" t="b">
        <f t="shared" ca="1" si="5"/>
        <v>0</v>
      </c>
    </row>
  </sheetData>
  <sheetProtection algorithmName="SHA-512" hashValue="cGbmokbIIfcx3BfpbPSvwrR+ozjzuE94YRMNg5IrQ0ZisZLh9Sy2B6OnMM3iI4LD+2Ex0hmE7eEI+ooAYaxcjQ==" saltValue="KQ2VfsAQDi0zlFZl18H0cQ==" spinCount="100000" sheet="1" objects="1" scenarios="1" selectLockedCells="1"/>
  <mergeCells count="1">
    <mergeCell ref="P4:T4"/>
  </mergeCells>
  <conditionalFormatting sqref="A3:K32">
    <cfRule type="expression" dxfId="165" priority="1">
      <formula>ROW()=CELL("LIN")</formula>
    </cfRule>
    <cfRule type="expression" dxfId="164" priority="2">
      <formula>IF($D3&lt;&gt;"",1,0)</formula>
    </cfRule>
  </conditionalFormatting>
  <conditionalFormatting sqref="O3:O27">
    <cfRule type="cellIs" dxfId="163" priority="3" operator="lessThan">
      <formula>$T$3</formula>
    </cfRule>
  </conditionalFormatting>
  <pageMargins left="1" right="1" top="1" bottom="1" header="0.5" footer="0.5"/>
  <pageSetup paperSize="9" scale="51" fitToHeight="0" orientation="landscape" horizontalDpi="300" verticalDpi="300" r:id="rId1"/>
  <drawing r:id="rId2"/>
  <tableParts count="1">
    <tablePart r:id="rId3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06AF63-ACF2-48C0-9B1B-49BB120A0C91}">
  <sheetPr codeName="Planilha12"/>
  <dimension ref="A1:AE34"/>
  <sheetViews>
    <sheetView showGridLines="0" showRowColHeaders="0" view="pageBreakPreview" zoomScale="60" zoomScaleNormal="70" workbookViewId="0">
      <pane xSplit="4" topLeftCell="E1" activePane="topRight" state="frozen"/>
      <selection sqref="A1:D3"/>
      <selection pane="topRight" activeCell="A5" sqref="A5"/>
    </sheetView>
  </sheetViews>
  <sheetFormatPr defaultRowHeight="12.75"/>
  <cols>
    <col min="2" max="2" width="39.28515625" bestFit="1" customWidth="1"/>
    <col min="3" max="3" width="14.28515625" customWidth="1"/>
    <col min="4" max="4" width="40.140625" customWidth="1"/>
    <col min="5" max="5" width="15.28515625" customWidth="1"/>
    <col min="6" max="6" width="16.28515625" customWidth="1"/>
    <col min="7" max="7" width="24.7109375" customWidth="1"/>
    <col min="8" max="8" width="15.140625" customWidth="1"/>
    <col min="9" max="9" width="14.5703125" customWidth="1"/>
    <col min="10" max="10" width="24.5703125" customWidth="1"/>
    <col min="12" max="12" width="14.140625" customWidth="1"/>
    <col min="13" max="13" width="15.140625" customWidth="1"/>
    <col min="14" max="14" width="23.5703125" customWidth="1"/>
    <col min="15" max="15" width="14.85546875" customWidth="1"/>
    <col min="16" max="16" width="15.85546875" customWidth="1"/>
    <col min="17" max="17" width="24.28515625" customWidth="1"/>
    <col min="19" max="19" width="15.140625" customWidth="1"/>
    <col min="20" max="20" width="16.140625" customWidth="1"/>
    <col min="21" max="21" width="24.5703125" customWidth="1"/>
    <col min="22" max="22" width="14.7109375" customWidth="1"/>
    <col min="23" max="23" width="15.7109375" customWidth="1"/>
    <col min="24" max="24" width="24.140625" customWidth="1"/>
    <col min="26" max="26" width="15" customWidth="1"/>
    <col min="27" max="27" width="16" customWidth="1"/>
    <col min="28" max="28" width="24.42578125" customWidth="1"/>
    <col min="29" max="29" width="15.140625" customWidth="1"/>
    <col min="30" max="30" width="16.140625" customWidth="1"/>
    <col min="31" max="31" width="24.5703125" customWidth="1"/>
  </cols>
  <sheetData>
    <row r="1" spans="1:31" ht="30" customHeight="1" thickBot="1">
      <c r="A1" s="124" t="str">
        <f>CONCATENATE('4A-A-Turma'!B2&amp;" - ",'4A-A-Turma'!B3)</f>
        <v>4º Ano - A - Manhã</v>
      </c>
      <c r="B1" s="124"/>
      <c r="C1" s="124"/>
      <c r="D1" s="125"/>
      <c r="E1" s="128" t="s">
        <v>41</v>
      </c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  <c r="V1" s="129"/>
      <c r="W1" s="129"/>
      <c r="X1" s="129"/>
      <c r="Y1" s="129"/>
      <c r="Z1" s="129"/>
      <c r="AA1" s="129"/>
      <c r="AB1" s="129"/>
      <c r="AC1" s="129"/>
      <c r="AD1" s="129"/>
      <c r="AE1" s="130"/>
    </row>
    <row r="2" spans="1:31" ht="16.5" thickBot="1">
      <c r="A2" s="124"/>
      <c r="B2" s="124"/>
      <c r="C2" s="124"/>
      <c r="D2" s="125"/>
      <c r="E2" s="131" t="s">
        <v>37</v>
      </c>
      <c r="F2" s="132"/>
      <c r="G2" s="132"/>
      <c r="H2" s="132"/>
      <c r="I2" s="132"/>
      <c r="J2" s="132"/>
      <c r="K2" s="132"/>
      <c r="L2" s="132"/>
      <c r="M2" s="132"/>
      <c r="N2" s="132"/>
      <c r="O2" s="132"/>
      <c r="P2" s="132"/>
      <c r="Q2" s="133"/>
      <c r="R2" s="64"/>
      <c r="S2" s="131" t="s">
        <v>38</v>
      </c>
      <c r="T2" s="132"/>
      <c r="U2" s="132"/>
      <c r="V2" s="132"/>
      <c r="W2" s="132"/>
      <c r="X2" s="132"/>
      <c r="Y2" s="132"/>
      <c r="Z2" s="132"/>
      <c r="AA2" s="132"/>
      <c r="AB2" s="132"/>
      <c r="AC2" s="132"/>
      <c r="AD2" s="132"/>
      <c r="AE2" s="133"/>
    </row>
    <row r="3" spans="1:31" ht="15">
      <c r="A3" s="126"/>
      <c r="B3" s="126"/>
      <c r="C3" s="126"/>
      <c r="D3" s="127"/>
      <c r="E3" s="134" t="s">
        <v>33</v>
      </c>
      <c r="F3" s="135"/>
      <c r="G3" s="136"/>
      <c r="H3" s="202" t="s">
        <v>34</v>
      </c>
      <c r="I3" s="203"/>
      <c r="J3" s="204"/>
      <c r="K3" s="64"/>
      <c r="L3" s="194" t="s">
        <v>35</v>
      </c>
      <c r="M3" s="195"/>
      <c r="N3" s="196"/>
      <c r="O3" s="202" t="s">
        <v>36</v>
      </c>
      <c r="P3" s="203"/>
      <c r="Q3" s="204"/>
      <c r="R3" s="64"/>
      <c r="S3" s="201" t="s">
        <v>39</v>
      </c>
      <c r="T3" s="195"/>
      <c r="U3" s="196"/>
      <c r="V3" s="209" t="s">
        <v>40</v>
      </c>
      <c r="W3" s="203"/>
      <c r="X3" s="204"/>
      <c r="Y3" s="64"/>
      <c r="Z3" s="194" t="s">
        <v>31</v>
      </c>
      <c r="AA3" s="195"/>
      <c r="AB3" s="196"/>
      <c r="AC3" s="138" t="s">
        <v>32</v>
      </c>
      <c r="AD3" s="139"/>
      <c r="AE3" s="140"/>
    </row>
    <row r="4" spans="1:31" ht="31.5">
      <c r="A4" s="63" t="s">
        <v>9</v>
      </c>
      <c r="B4" s="57" t="s">
        <v>10</v>
      </c>
      <c r="C4" s="58" t="s">
        <v>13</v>
      </c>
      <c r="D4" s="59" t="s">
        <v>16</v>
      </c>
      <c r="E4" s="31" t="s">
        <v>42</v>
      </c>
      <c r="F4" s="32" t="s">
        <v>43</v>
      </c>
      <c r="G4" s="33" t="s">
        <v>44</v>
      </c>
      <c r="H4" s="34" t="s">
        <v>46</v>
      </c>
      <c r="I4" s="35" t="s">
        <v>45</v>
      </c>
      <c r="J4" s="36" t="s">
        <v>51</v>
      </c>
      <c r="K4" s="65" t="s">
        <v>47</v>
      </c>
      <c r="L4" s="37" t="s">
        <v>48</v>
      </c>
      <c r="M4" s="32" t="s">
        <v>49</v>
      </c>
      <c r="N4" s="33" t="s">
        <v>50</v>
      </c>
      <c r="O4" s="34" t="s">
        <v>52</v>
      </c>
      <c r="P4" s="35" t="s">
        <v>53</v>
      </c>
      <c r="Q4" s="36" t="s">
        <v>54</v>
      </c>
      <c r="R4" s="65" t="s">
        <v>55</v>
      </c>
      <c r="S4" s="37" t="s">
        <v>56</v>
      </c>
      <c r="T4" s="32" t="s">
        <v>57</v>
      </c>
      <c r="U4" s="33" t="s">
        <v>58</v>
      </c>
      <c r="V4" s="34" t="s">
        <v>59</v>
      </c>
      <c r="W4" s="35" t="s">
        <v>60</v>
      </c>
      <c r="X4" s="36" t="s">
        <v>61</v>
      </c>
      <c r="Y4" s="65" t="s">
        <v>62</v>
      </c>
      <c r="Z4" s="37" t="s">
        <v>63</v>
      </c>
      <c r="AA4" s="32" t="s">
        <v>64</v>
      </c>
      <c r="AB4" s="33" t="s">
        <v>65</v>
      </c>
      <c r="AC4" s="34" t="s">
        <v>66</v>
      </c>
      <c r="AD4" s="35" t="s">
        <v>67</v>
      </c>
      <c r="AE4" s="38" t="s">
        <v>68</v>
      </c>
    </row>
    <row r="5" spans="1:31" ht="15">
      <c r="A5" s="72">
        <v>1</v>
      </c>
      <c r="B5" s="60" t="str">
        <f>IF('4A-A'!B3&lt;&gt;0,'4A-A'!B3,"")</f>
        <v/>
      </c>
      <c r="C5" s="61" t="str">
        <f>IF('4A-A'!C3&lt;&gt;0,'4A-A'!C3,"")</f>
        <v/>
      </c>
      <c r="D5" s="62" t="str">
        <f>IF('4A-A'!D3&lt;&gt;0,'4A-A'!D3,"")</f>
        <v/>
      </c>
      <c r="E5" s="43"/>
      <c r="F5" s="42"/>
      <c r="G5" s="28" t="e">
        <f t="shared" ref="G5:G29" si="0">ROUND((E5*100)/(E5+F5),0)/100</f>
        <v>#DIV/0!</v>
      </c>
      <c r="H5" s="39"/>
      <c r="I5" s="40"/>
      <c r="J5" s="29" t="e">
        <f t="shared" ref="J5:J29" si="1">ROUND((H5*100)/(H5+I5),0)/100</f>
        <v>#DIV/0!</v>
      </c>
      <c r="K5" s="87">
        <f>Tabela2736810121416192123[[#This Row],[Nº]]</f>
        <v>1</v>
      </c>
      <c r="L5" s="41"/>
      <c r="M5" s="42"/>
      <c r="N5" s="28" t="e">
        <f t="shared" ref="N5:N29" si="2">ROUND((L5*100)/(L5+M5),0)/100</f>
        <v>#DIV/0!</v>
      </c>
      <c r="O5" s="39"/>
      <c r="P5" s="40"/>
      <c r="Q5" s="29" t="e">
        <f t="shared" ref="Q5:Q29" si="3">ROUND((O5*100)/(O5+P5),0)/100</f>
        <v>#DIV/0!</v>
      </c>
      <c r="R5" s="87">
        <f>Tabela2736810121416192123[[#This Row],[Nº]]</f>
        <v>1</v>
      </c>
      <c r="S5" s="41"/>
      <c r="T5" s="42"/>
      <c r="U5" s="28" t="e">
        <f t="shared" ref="U5:U29" si="4">ROUND((S5*100)/(S5+T5),0)/100</f>
        <v>#DIV/0!</v>
      </c>
      <c r="V5" s="39"/>
      <c r="W5" s="40"/>
      <c r="X5" s="29" t="e">
        <f t="shared" ref="X5:X29" si="5">ROUND((V5*100)/(V5+W5),0)/100</f>
        <v>#DIV/0!</v>
      </c>
      <c r="Y5" s="87">
        <f>Tabela2736810121416192123[[#This Row],[Nº]]</f>
        <v>1</v>
      </c>
      <c r="Z5" s="41"/>
      <c r="AA5" s="42"/>
      <c r="AB5" s="28" t="e">
        <f t="shared" ref="AB5:AB29" si="6">ROUND((Z5*100)/(Z5+AA5),0)/100</f>
        <v>#DIV/0!</v>
      </c>
      <c r="AC5" s="39"/>
      <c r="AD5" s="40"/>
      <c r="AE5" s="30" t="e">
        <f t="shared" ref="AE5:AE29" si="7">ROUND((AC5*100)/(AC5+AD5),0)/100</f>
        <v>#DIV/0!</v>
      </c>
    </row>
    <row r="6" spans="1:31" ht="15">
      <c r="A6" s="72">
        <v>2</v>
      </c>
      <c r="B6" s="60" t="str">
        <f>IF('4A-A'!B4&lt;&gt;0,'4A-A'!B4,"")</f>
        <v/>
      </c>
      <c r="C6" s="61" t="str">
        <f>IF('4A-A'!C4&lt;&gt;0,'4A-A'!C4,"")</f>
        <v/>
      </c>
      <c r="D6" s="62" t="str">
        <f>IF('4A-A'!D4&lt;&gt;0,'4A-A'!D4,"")</f>
        <v/>
      </c>
      <c r="E6" s="43"/>
      <c r="F6" s="42"/>
      <c r="G6" s="28" t="e">
        <f t="shared" si="0"/>
        <v>#DIV/0!</v>
      </c>
      <c r="H6" s="39"/>
      <c r="I6" s="40"/>
      <c r="J6" s="29" t="e">
        <f t="shared" si="1"/>
        <v>#DIV/0!</v>
      </c>
      <c r="K6" s="87">
        <f>Tabela2736810121416192123[[#This Row],[Nº]]</f>
        <v>2</v>
      </c>
      <c r="L6" s="41"/>
      <c r="M6" s="42"/>
      <c r="N6" s="28" t="e">
        <f t="shared" si="2"/>
        <v>#DIV/0!</v>
      </c>
      <c r="O6" s="39"/>
      <c r="P6" s="40"/>
      <c r="Q6" s="29" t="e">
        <f t="shared" si="3"/>
        <v>#DIV/0!</v>
      </c>
      <c r="R6" s="87">
        <f>Tabela2736810121416192123[[#This Row],[Nº]]</f>
        <v>2</v>
      </c>
      <c r="S6" s="41"/>
      <c r="T6" s="42"/>
      <c r="U6" s="28" t="e">
        <f t="shared" si="4"/>
        <v>#DIV/0!</v>
      </c>
      <c r="V6" s="39"/>
      <c r="W6" s="40"/>
      <c r="X6" s="29" t="e">
        <f t="shared" si="5"/>
        <v>#DIV/0!</v>
      </c>
      <c r="Y6" s="87">
        <f>Tabela2736810121416192123[[#This Row],[Nº]]</f>
        <v>2</v>
      </c>
      <c r="Z6" s="41"/>
      <c r="AA6" s="42"/>
      <c r="AB6" s="28" t="e">
        <f t="shared" si="6"/>
        <v>#DIV/0!</v>
      </c>
      <c r="AC6" s="39"/>
      <c r="AD6" s="40"/>
      <c r="AE6" s="30" t="e">
        <f t="shared" si="7"/>
        <v>#DIV/0!</v>
      </c>
    </row>
    <row r="7" spans="1:31" ht="15">
      <c r="A7" s="72">
        <v>3</v>
      </c>
      <c r="B7" s="60" t="str">
        <f>IF('4A-A'!B5&lt;&gt;0,'4A-A'!B5,"")</f>
        <v/>
      </c>
      <c r="C7" s="61" t="str">
        <f>IF('4A-A'!C5&lt;&gt;0,'4A-A'!C5,"")</f>
        <v/>
      </c>
      <c r="D7" s="62" t="str">
        <f>IF('4A-A'!D5&lt;&gt;0,'4A-A'!D5,"")</f>
        <v/>
      </c>
      <c r="E7" s="43"/>
      <c r="F7" s="42"/>
      <c r="G7" s="28" t="e">
        <f t="shared" si="0"/>
        <v>#DIV/0!</v>
      </c>
      <c r="H7" s="39"/>
      <c r="I7" s="40"/>
      <c r="J7" s="29" t="e">
        <f t="shared" si="1"/>
        <v>#DIV/0!</v>
      </c>
      <c r="K7" s="87">
        <f>Tabela2736810121416192123[[#This Row],[Nº]]</f>
        <v>3</v>
      </c>
      <c r="L7" s="41"/>
      <c r="M7" s="42"/>
      <c r="N7" s="28" t="e">
        <f t="shared" si="2"/>
        <v>#DIV/0!</v>
      </c>
      <c r="O7" s="39"/>
      <c r="P7" s="40"/>
      <c r="Q7" s="29" t="e">
        <f t="shared" si="3"/>
        <v>#DIV/0!</v>
      </c>
      <c r="R7" s="87">
        <f>Tabela2736810121416192123[[#This Row],[Nº]]</f>
        <v>3</v>
      </c>
      <c r="S7" s="41"/>
      <c r="T7" s="42"/>
      <c r="U7" s="28" t="e">
        <f t="shared" si="4"/>
        <v>#DIV/0!</v>
      </c>
      <c r="V7" s="39"/>
      <c r="W7" s="40"/>
      <c r="X7" s="29" t="e">
        <f t="shared" si="5"/>
        <v>#DIV/0!</v>
      </c>
      <c r="Y7" s="87">
        <f>Tabela2736810121416192123[[#This Row],[Nº]]</f>
        <v>3</v>
      </c>
      <c r="Z7" s="41"/>
      <c r="AA7" s="42"/>
      <c r="AB7" s="28" t="e">
        <f t="shared" si="6"/>
        <v>#DIV/0!</v>
      </c>
      <c r="AC7" s="39"/>
      <c r="AD7" s="40"/>
      <c r="AE7" s="30" t="e">
        <f t="shared" si="7"/>
        <v>#DIV/0!</v>
      </c>
    </row>
    <row r="8" spans="1:31" ht="15">
      <c r="A8" s="72">
        <v>4</v>
      </c>
      <c r="B8" s="60" t="str">
        <f>IF('4A-A'!B6&lt;&gt;0,'4A-A'!B6,"")</f>
        <v/>
      </c>
      <c r="C8" s="61" t="str">
        <f>IF('4A-A'!C6&lt;&gt;0,'4A-A'!C6,"")</f>
        <v/>
      </c>
      <c r="D8" s="62" t="str">
        <f>IF('4A-A'!D6&lt;&gt;0,'4A-A'!D6,"")</f>
        <v/>
      </c>
      <c r="E8" s="43"/>
      <c r="F8" s="42"/>
      <c r="G8" s="28" t="e">
        <f t="shared" si="0"/>
        <v>#DIV/0!</v>
      </c>
      <c r="H8" s="39"/>
      <c r="I8" s="40"/>
      <c r="J8" s="29" t="e">
        <f t="shared" si="1"/>
        <v>#DIV/0!</v>
      </c>
      <c r="K8" s="87">
        <f>Tabela2736810121416192123[[#This Row],[Nº]]</f>
        <v>4</v>
      </c>
      <c r="L8" s="41"/>
      <c r="M8" s="42"/>
      <c r="N8" s="28" t="e">
        <f t="shared" si="2"/>
        <v>#DIV/0!</v>
      </c>
      <c r="O8" s="39"/>
      <c r="P8" s="40"/>
      <c r="Q8" s="29" t="e">
        <f t="shared" si="3"/>
        <v>#DIV/0!</v>
      </c>
      <c r="R8" s="87">
        <f>Tabela2736810121416192123[[#This Row],[Nº]]</f>
        <v>4</v>
      </c>
      <c r="S8" s="41"/>
      <c r="T8" s="42"/>
      <c r="U8" s="28" t="e">
        <f t="shared" si="4"/>
        <v>#DIV/0!</v>
      </c>
      <c r="V8" s="39"/>
      <c r="W8" s="40"/>
      <c r="X8" s="29" t="e">
        <f t="shared" si="5"/>
        <v>#DIV/0!</v>
      </c>
      <c r="Y8" s="87">
        <f>Tabela2736810121416192123[[#This Row],[Nº]]</f>
        <v>4</v>
      </c>
      <c r="Z8" s="41"/>
      <c r="AA8" s="42"/>
      <c r="AB8" s="28" t="e">
        <f t="shared" si="6"/>
        <v>#DIV/0!</v>
      </c>
      <c r="AC8" s="39"/>
      <c r="AD8" s="40"/>
      <c r="AE8" s="30" t="e">
        <f t="shared" si="7"/>
        <v>#DIV/0!</v>
      </c>
    </row>
    <row r="9" spans="1:31" ht="15">
      <c r="A9" s="72">
        <v>5</v>
      </c>
      <c r="B9" s="60" t="str">
        <f>IF('4A-A'!B7&lt;&gt;0,'4A-A'!B7,"")</f>
        <v/>
      </c>
      <c r="C9" s="61" t="str">
        <f>IF('4A-A'!C7&lt;&gt;0,'4A-A'!C7,"")</f>
        <v/>
      </c>
      <c r="D9" s="62" t="str">
        <f>IF('4A-A'!D7&lt;&gt;0,'4A-A'!D7,"")</f>
        <v/>
      </c>
      <c r="E9" s="43"/>
      <c r="F9" s="42"/>
      <c r="G9" s="28" t="e">
        <f t="shared" si="0"/>
        <v>#DIV/0!</v>
      </c>
      <c r="H9" s="39"/>
      <c r="I9" s="40"/>
      <c r="J9" s="29" t="e">
        <f t="shared" si="1"/>
        <v>#DIV/0!</v>
      </c>
      <c r="K9" s="87">
        <f>Tabela2736810121416192123[[#This Row],[Nº]]</f>
        <v>5</v>
      </c>
      <c r="L9" s="41"/>
      <c r="M9" s="42"/>
      <c r="N9" s="28" t="e">
        <f t="shared" si="2"/>
        <v>#DIV/0!</v>
      </c>
      <c r="O9" s="39"/>
      <c r="P9" s="40"/>
      <c r="Q9" s="29" t="e">
        <f t="shared" si="3"/>
        <v>#DIV/0!</v>
      </c>
      <c r="R9" s="87">
        <f>Tabela2736810121416192123[[#This Row],[Nº]]</f>
        <v>5</v>
      </c>
      <c r="S9" s="41"/>
      <c r="T9" s="42"/>
      <c r="U9" s="28" t="e">
        <f t="shared" si="4"/>
        <v>#DIV/0!</v>
      </c>
      <c r="V9" s="39"/>
      <c r="W9" s="40"/>
      <c r="X9" s="29" t="e">
        <f t="shared" si="5"/>
        <v>#DIV/0!</v>
      </c>
      <c r="Y9" s="87">
        <f>Tabela2736810121416192123[[#This Row],[Nº]]</f>
        <v>5</v>
      </c>
      <c r="Z9" s="41"/>
      <c r="AA9" s="42"/>
      <c r="AB9" s="28" t="e">
        <f t="shared" si="6"/>
        <v>#DIV/0!</v>
      </c>
      <c r="AC9" s="39"/>
      <c r="AD9" s="40"/>
      <c r="AE9" s="30" t="e">
        <f t="shared" si="7"/>
        <v>#DIV/0!</v>
      </c>
    </row>
    <row r="10" spans="1:31" ht="15">
      <c r="A10" s="72">
        <v>6</v>
      </c>
      <c r="B10" s="60" t="str">
        <f>IF('4A-A'!B8&lt;&gt;0,'4A-A'!B8,"")</f>
        <v/>
      </c>
      <c r="C10" s="61" t="str">
        <f>IF('4A-A'!C8&lt;&gt;0,'4A-A'!C8,"")</f>
        <v/>
      </c>
      <c r="D10" s="62" t="str">
        <f>IF('4A-A'!D8&lt;&gt;0,'4A-A'!D8,"")</f>
        <v/>
      </c>
      <c r="E10" s="43"/>
      <c r="F10" s="42"/>
      <c r="G10" s="28" t="e">
        <f t="shared" si="0"/>
        <v>#DIV/0!</v>
      </c>
      <c r="H10" s="39"/>
      <c r="I10" s="40"/>
      <c r="J10" s="29" t="e">
        <f t="shared" si="1"/>
        <v>#DIV/0!</v>
      </c>
      <c r="K10" s="87">
        <f>Tabela2736810121416192123[[#This Row],[Nº]]</f>
        <v>6</v>
      </c>
      <c r="L10" s="41"/>
      <c r="M10" s="42"/>
      <c r="N10" s="28" t="e">
        <f t="shared" si="2"/>
        <v>#DIV/0!</v>
      </c>
      <c r="O10" s="39"/>
      <c r="P10" s="40"/>
      <c r="Q10" s="29" t="e">
        <f t="shared" si="3"/>
        <v>#DIV/0!</v>
      </c>
      <c r="R10" s="87">
        <f>Tabela2736810121416192123[[#This Row],[Nº]]</f>
        <v>6</v>
      </c>
      <c r="S10" s="41"/>
      <c r="T10" s="42"/>
      <c r="U10" s="28" t="e">
        <f t="shared" si="4"/>
        <v>#DIV/0!</v>
      </c>
      <c r="V10" s="39"/>
      <c r="W10" s="40"/>
      <c r="X10" s="29" t="e">
        <f t="shared" si="5"/>
        <v>#DIV/0!</v>
      </c>
      <c r="Y10" s="87">
        <f>Tabela2736810121416192123[[#This Row],[Nº]]</f>
        <v>6</v>
      </c>
      <c r="Z10" s="41"/>
      <c r="AA10" s="42"/>
      <c r="AB10" s="28" t="e">
        <f t="shared" si="6"/>
        <v>#DIV/0!</v>
      </c>
      <c r="AC10" s="39"/>
      <c r="AD10" s="40"/>
      <c r="AE10" s="30" t="e">
        <f t="shared" si="7"/>
        <v>#DIV/0!</v>
      </c>
    </row>
    <row r="11" spans="1:31" ht="15">
      <c r="A11" s="72">
        <v>7</v>
      </c>
      <c r="B11" s="60" t="str">
        <f>IF('4A-A'!B9&lt;&gt;0,'4A-A'!B9,"")</f>
        <v/>
      </c>
      <c r="C11" s="61" t="str">
        <f>IF('4A-A'!C9&lt;&gt;0,'4A-A'!C9,"")</f>
        <v/>
      </c>
      <c r="D11" s="62" t="str">
        <f>IF('4A-A'!D9&lt;&gt;0,'4A-A'!D9,"")</f>
        <v/>
      </c>
      <c r="E11" s="43"/>
      <c r="F11" s="42"/>
      <c r="G11" s="28" t="e">
        <f t="shared" si="0"/>
        <v>#DIV/0!</v>
      </c>
      <c r="H11" s="39"/>
      <c r="I11" s="40"/>
      <c r="J11" s="29" t="e">
        <f t="shared" si="1"/>
        <v>#DIV/0!</v>
      </c>
      <c r="K11" s="87">
        <f>Tabela2736810121416192123[[#This Row],[Nº]]</f>
        <v>7</v>
      </c>
      <c r="L11" s="41"/>
      <c r="M11" s="42"/>
      <c r="N11" s="28" t="e">
        <f t="shared" si="2"/>
        <v>#DIV/0!</v>
      </c>
      <c r="O11" s="39"/>
      <c r="P11" s="40"/>
      <c r="Q11" s="29" t="e">
        <f t="shared" si="3"/>
        <v>#DIV/0!</v>
      </c>
      <c r="R11" s="87">
        <f>Tabela2736810121416192123[[#This Row],[Nº]]</f>
        <v>7</v>
      </c>
      <c r="S11" s="41"/>
      <c r="T11" s="42"/>
      <c r="U11" s="28" t="e">
        <f t="shared" si="4"/>
        <v>#DIV/0!</v>
      </c>
      <c r="V11" s="39"/>
      <c r="W11" s="40"/>
      <c r="X11" s="29" t="e">
        <f t="shared" si="5"/>
        <v>#DIV/0!</v>
      </c>
      <c r="Y11" s="87">
        <f>Tabela2736810121416192123[[#This Row],[Nº]]</f>
        <v>7</v>
      </c>
      <c r="Z11" s="41"/>
      <c r="AA11" s="42"/>
      <c r="AB11" s="28" t="e">
        <f t="shared" si="6"/>
        <v>#DIV/0!</v>
      </c>
      <c r="AC11" s="39"/>
      <c r="AD11" s="40"/>
      <c r="AE11" s="30" t="e">
        <f t="shared" si="7"/>
        <v>#DIV/0!</v>
      </c>
    </row>
    <row r="12" spans="1:31" ht="15">
      <c r="A12" s="72">
        <v>8</v>
      </c>
      <c r="B12" s="60" t="str">
        <f>IF('4A-A'!B10&lt;&gt;0,'4A-A'!B10,"")</f>
        <v/>
      </c>
      <c r="C12" s="61" t="str">
        <f>IF('4A-A'!C10&lt;&gt;0,'4A-A'!C10,"")</f>
        <v/>
      </c>
      <c r="D12" s="62" t="str">
        <f>IF('4A-A'!D10&lt;&gt;0,'4A-A'!D10,"")</f>
        <v/>
      </c>
      <c r="E12" s="43"/>
      <c r="F12" s="42"/>
      <c r="G12" s="28" t="e">
        <f t="shared" si="0"/>
        <v>#DIV/0!</v>
      </c>
      <c r="H12" s="39"/>
      <c r="I12" s="40"/>
      <c r="J12" s="29" t="e">
        <f t="shared" si="1"/>
        <v>#DIV/0!</v>
      </c>
      <c r="K12" s="87">
        <f>Tabela2736810121416192123[[#This Row],[Nº]]</f>
        <v>8</v>
      </c>
      <c r="L12" s="41"/>
      <c r="M12" s="42"/>
      <c r="N12" s="28" t="e">
        <f t="shared" si="2"/>
        <v>#DIV/0!</v>
      </c>
      <c r="O12" s="39"/>
      <c r="P12" s="40"/>
      <c r="Q12" s="29" t="e">
        <f t="shared" si="3"/>
        <v>#DIV/0!</v>
      </c>
      <c r="R12" s="87">
        <f>Tabela2736810121416192123[[#This Row],[Nº]]</f>
        <v>8</v>
      </c>
      <c r="S12" s="41"/>
      <c r="T12" s="42"/>
      <c r="U12" s="28" t="e">
        <f t="shared" si="4"/>
        <v>#DIV/0!</v>
      </c>
      <c r="V12" s="39"/>
      <c r="W12" s="40"/>
      <c r="X12" s="29" t="e">
        <f t="shared" si="5"/>
        <v>#DIV/0!</v>
      </c>
      <c r="Y12" s="87">
        <f>Tabela2736810121416192123[[#This Row],[Nº]]</f>
        <v>8</v>
      </c>
      <c r="Z12" s="41"/>
      <c r="AA12" s="42"/>
      <c r="AB12" s="28" t="e">
        <f t="shared" si="6"/>
        <v>#DIV/0!</v>
      </c>
      <c r="AC12" s="39"/>
      <c r="AD12" s="40"/>
      <c r="AE12" s="30" t="e">
        <f t="shared" si="7"/>
        <v>#DIV/0!</v>
      </c>
    </row>
    <row r="13" spans="1:31" ht="15">
      <c r="A13" s="72">
        <v>9</v>
      </c>
      <c r="B13" s="60" t="str">
        <f>IF('4A-A'!B11&lt;&gt;0,'4A-A'!B11,"")</f>
        <v/>
      </c>
      <c r="C13" s="61" t="str">
        <f>IF('4A-A'!C11&lt;&gt;0,'4A-A'!C11,"")</f>
        <v/>
      </c>
      <c r="D13" s="62" t="str">
        <f>IF('4A-A'!D11&lt;&gt;0,'4A-A'!D11,"")</f>
        <v/>
      </c>
      <c r="E13" s="43"/>
      <c r="F13" s="42"/>
      <c r="G13" s="28" t="e">
        <f t="shared" si="0"/>
        <v>#DIV/0!</v>
      </c>
      <c r="H13" s="39"/>
      <c r="I13" s="40"/>
      <c r="J13" s="29" t="e">
        <f t="shared" si="1"/>
        <v>#DIV/0!</v>
      </c>
      <c r="K13" s="87">
        <f>Tabela2736810121416192123[[#This Row],[Nº]]</f>
        <v>9</v>
      </c>
      <c r="L13" s="41"/>
      <c r="M13" s="42"/>
      <c r="N13" s="28" t="e">
        <f t="shared" si="2"/>
        <v>#DIV/0!</v>
      </c>
      <c r="O13" s="39"/>
      <c r="P13" s="40"/>
      <c r="Q13" s="29" t="e">
        <f t="shared" si="3"/>
        <v>#DIV/0!</v>
      </c>
      <c r="R13" s="87">
        <f>Tabela2736810121416192123[[#This Row],[Nº]]</f>
        <v>9</v>
      </c>
      <c r="S13" s="41"/>
      <c r="T13" s="42"/>
      <c r="U13" s="28" t="e">
        <f t="shared" si="4"/>
        <v>#DIV/0!</v>
      </c>
      <c r="V13" s="39"/>
      <c r="W13" s="40"/>
      <c r="X13" s="29" t="e">
        <f t="shared" si="5"/>
        <v>#DIV/0!</v>
      </c>
      <c r="Y13" s="87">
        <f>Tabela2736810121416192123[[#This Row],[Nº]]</f>
        <v>9</v>
      </c>
      <c r="Z13" s="41"/>
      <c r="AA13" s="42"/>
      <c r="AB13" s="28" t="e">
        <f t="shared" si="6"/>
        <v>#DIV/0!</v>
      </c>
      <c r="AC13" s="39"/>
      <c r="AD13" s="40"/>
      <c r="AE13" s="30" t="e">
        <f t="shared" si="7"/>
        <v>#DIV/0!</v>
      </c>
    </row>
    <row r="14" spans="1:31" ht="15">
      <c r="A14" s="72">
        <v>10</v>
      </c>
      <c r="B14" s="60" t="str">
        <f>IF('4A-A'!B12&lt;&gt;0,'4A-A'!B12,"")</f>
        <v/>
      </c>
      <c r="C14" s="61" t="str">
        <f>IF('4A-A'!C12&lt;&gt;0,'4A-A'!C12,"")</f>
        <v/>
      </c>
      <c r="D14" s="62" t="str">
        <f>IF('4A-A'!D12&lt;&gt;0,'4A-A'!D12,"")</f>
        <v/>
      </c>
      <c r="E14" s="43"/>
      <c r="F14" s="42"/>
      <c r="G14" s="28" t="e">
        <f t="shared" si="0"/>
        <v>#DIV/0!</v>
      </c>
      <c r="H14" s="39"/>
      <c r="I14" s="40"/>
      <c r="J14" s="29" t="e">
        <f t="shared" si="1"/>
        <v>#DIV/0!</v>
      </c>
      <c r="K14" s="87">
        <f>Tabela2736810121416192123[[#This Row],[Nº]]</f>
        <v>10</v>
      </c>
      <c r="L14" s="41"/>
      <c r="M14" s="42"/>
      <c r="N14" s="28" t="e">
        <f t="shared" si="2"/>
        <v>#DIV/0!</v>
      </c>
      <c r="O14" s="39"/>
      <c r="P14" s="40"/>
      <c r="Q14" s="29" t="e">
        <f t="shared" si="3"/>
        <v>#DIV/0!</v>
      </c>
      <c r="R14" s="87">
        <f>Tabela2736810121416192123[[#This Row],[Nº]]</f>
        <v>10</v>
      </c>
      <c r="S14" s="41"/>
      <c r="T14" s="42"/>
      <c r="U14" s="28" t="e">
        <f t="shared" si="4"/>
        <v>#DIV/0!</v>
      </c>
      <c r="V14" s="39"/>
      <c r="W14" s="40"/>
      <c r="X14" s="29" t="e">
        <f t="shared" si="5"/>
        <v>#DIV/0!</v>
      </c>
      <c r="Y14" s="87">
        <f>Tabela2736810121416192123[[#This Row],[Nº]]</f>
        <v>10</v>
      </c>
      <c r="Z14" s="41"/>
      <c r="AA14" s="42"/>
      <c r="AB14" s="28" t="e">
        <f t="shared" si="6"/>
        <v>#DIV/0!</v>
      </c>
      <c r="AC14" s="39"/>
      <c r="AD14" s="40"/>
      <c r="AE14" s="30" t="e">
        <f t="shared" si="7"/>
        <v>#DIV/0!</v>
      </c>
    </row>
    <row r="15" spans="1:31" ht="15">
      <c r="A15" s="72">
        <v>11</v>
      </c>
      <c r="B15" s="60" t="str">
        <f>IF('4A-A'!B13&lt;&gt;0,'4A-A'!B13,"")</f>
        <v/>
      </c>
      <c r="C15" s="61" t="str">
        <f>IF('4A-A'!C13&lt;&gt;0,'4A-A'!C13,"")</f>
        <v/>
      </c>
      <c r="D15" s="62" t="str">
        <f>IF('4A-A'!D13&lt;&gt;0,'4A-A'!D13,"")</f>
        <v/>
      </c>
      <c r="E15" s="43"/>
      <c r="F15" s="42"/>
      <c r="G15" s="28" t="e">
        <f t="shared" si="0"/>
        <v>#DIV/0!</v>
      </c>
      <c r="H15" s="39"/>
      <c r="I15" s="40"/>
      <c r="J15" s="29" t="e">
        <f t="shared" si="1"/>
        <v>#DIV/0!</v>
      </c>
      <c r="K15" s="87">
        <f>Tabela2736810121416192123[[#This Row],[Nº]]</f>
        <v>11</v>
      </c>
      <c r="L15" s="41"/>
      <c r="M15" s="42"/>
      <c r="N15" s="28" t="e">
        <f t="shared" si="2"/>
        <v>#DIV/0!</v>
      </c>
      <c r="O15" s="39"/>
      <c r="P15" s="40"/>
      <c r="Q15" s="29" t="e">
        <f t="shared" si="3"/>
        <v>#DIV/0!</v>
      </c>
      <c r="R15" s="87">
        <f>Tabela2736810121416192123[[#This Row],[Nº]]</f>
        <v>11</v>
      </c>
      <c r="S15" s="41"/>
      <c r="T15" s="42"/>
      <c r="U15" s="28" t="e">
        <f t="shared" si="4"/>
        <v>#DIV/0!</v>
      </c>
      <c r="V15" s="39"/>
      <c r="W15" s="40"/>
      <c r="X15" s="29" t="e">
        <f t="shared" si="5"/>
        <v>#DIV/0!</v>
      </c>
      <c r="Y15" s="87">
        <f>Tabela2736810121416192123[[#This Row],[Nº]]</f>
        <v>11</v>
      </c>
      <c r="Z15" s="41"/>
      <c r="AA15" s="42"/>
      <c r="AB15" s="28" t="e">
        <f t="shared" si="6"/>
        <v>#DIV/0!</v>
      </c>
      <c r="AC15" s="39"/>
      <c r="AD15" s="40"/>
      <c r="AE15" s="30" t="e">
        <f t="shared" si="7"/>
        <v>#DIV/0!</v>
      </c>
    </row>
    <row r="16" spans="1:31" ht="15">
      <c r="A16" s="72">
        <v>12</v>
      </c>
      <c r="B16" s="60" t="str">
        <f>IF('4A-A'!B14&lt;&gt;0,'4A-A'!B14,"")</f>
        <v/>
      </c>
      <c r="C16" s="61" t="str">
        <f>IF('4A-A'!C14&lt;&gt;0,'4A-A'!C14,"")</f>
        <v/>
      </c>
      <c r="D16" s="62" t="str">
        <f>IF('4A-A'!D14&lt;&gt;0,'4A-A'!D14,"")</f>
        <v/>
      </c>
      <c r="E16" s="43"/>
      <c r="F16" s="42"/>
      <c r="G16" s="28" t="e">
        <f t="shared" si="0"/>
        <v>#DIV/0!</v>
      </c>
      <c r="H16" s="39"/>
      <c r="I16" s="40"/>
      <c r="J16" s="29" t="e">
        <f t="shared" si="1"/>
        <v>#DIV/0!</v>
      </c>
      <c r="K16" s="87">
        <f>Tabela2736810121416192123[[#This Row],[Nº]]</f>
        <v>12</v>
      </c>
      <c r="L16" s="41"/>
      <c r="M16" s="42"/>
      <c r="N16" s="28" t="e">
        <f t="shared" si="2"/>
        <v>#DIV/0!</v>
      </c>
      <c r="O16" s="39"/>
      <c r="P16" s="40"/>
      <c r="Q16" s="29" t="e">
        <f t="shared" si="3"/>
        <v>#DIV/0!</v>
      </c>
      <c r="R16" s="87">
        <f>Tabela2736810121416192123[[#This Row],[Nº]]</f>
        <v>12</v>
      </c>
      <c r="S16" s="41"/>
      <c r="T16" s="42"/>
      <c r="U16" s="28" t="e">
        <f t="shared" si="4"/>
        <v>#DIV/0!</v>
      </c>
      <c r="V16" s="39"/>
      <c r="W16" s="40"/>
      <c r="X16" s="29" t="e">
        <f t="shared" si="5"/>
        <v>#DIV/0!</v>
      </c>
      <c r="Y16" s="87">
        <f>Tabela2736810121416192123[[#This Row],[Nº]]</f>
        <v>12</v>
      </c>
      <c r="Z16" s="41"/>
      <c r="AA16" s="42"/>
      <c r="AB16" s="28" t="e">
        <f t="shared" si="6"/>
        <v>#DIV/0!</v>
      </c>
      <c r="AC16" s="39"/>
      <c r="AD16" s="40"/>
      <c r="AE16" s="30" t="e">
        <f t="shared" si="7"/>
        <v>#DIV/0!</v>
      </c>
    </row>
    <row r="17" spans="1:31" ht="15">
      <c r="A17" s="72">
        <v>13</v>
      </c>
      <c r="B17" s="60" t="str">
        <f>IF('4A-A'!B15&lt;&gt;0,'4A-A'!B15,"")</f>
        <v/>
      </c>
      <c r="C17" s="61" t="str">
        <f>IF('4A-A'!C15&lt;&gt;0,'4A-A'!C15,"")</f>
        <v/>
      </c>
      <c r="D17" s="62" t="str">
        <f>IF('4A-A'!D15&lt;&gt;0,'4A-A'!D15,"")</f>
        <v/>
      </c>
      <c r="E17" s="43"/>
      <c r="F17" s="42"/>
      <c r="G17" s="28" t="e">
        <f t="shared" si="0"/>
        <v>#DIV/0!</v>
      </c>
      <c r="H17" s="39"/>
      <c r="I17" s="40"/>
      <c r="J17" s="29" t="e">
        <f t="shared" si="1"/>
        <v>#DIV/0!</v>
      </c>
      <c r="K17" s="87">
        <f>Tabela2736810121416192123[[#This Row],[Nº]]</f>
        <v>13</v>
      </c>
      <c r="L17" s="41"/>
      <c r="M17" s="42"/>
      <c r="N17" s="28" t="e">
        <f t="shared" si="2"/>
        <v>#DIV/0!</v>
      </c>
      <c r="O17" s="39"/>
      <c r="P17" s="40"/>
      <c r="Q17" s="29" t="e">
        <f t="shared" si="3"/>
        <v>#DIV/0!</v>
      </c>
      <c r="R17" s="87">
        <f>Tabela2736810121416192123[[#This Row],[Nº]]</f>
        <v>13</v>
      </c>
      <c r="S17" s="41"/>
      <c r="T17" s="42"/>
      <c r="U17" s="28" t="e">
        <f t="shared" si="4"/>
        <v>#DIV/0!</v>
      </c>
      <c r="V17" s="39"/>
      <c r="W17" s="40"/>
      <c r="X17" s="29" t="e">
        <f t="shared" si="5"/>
        <v>#DIV/0!</v>
      </c>
      <c r="Y17" s="87">
        <f>Tabela2736810121416192123[[#This Row],[Nº]]</f>
        <v>13</v>
      </c>
      <c r="Z17" s="41"/>
      <c r="AA17" s="42"/>
      <c r="AB17" s="28" t="e">
        <f t="shared" si="6"/>
        <v>#DIV/0!</v>
      </c>
      <c r="AC17" s="39"/>
      <c r="AD17" s="40"/>
      <c r="AE17" s="30" t="e">
        <f t="shared" si="7"/>
        <v>#DIV/0!</v>
      </c>
    </row>
    <row r="18" spans="1:31" ht="15">
      <c r="A18" s="72">
        <v>14</v>
      </c>
      <c r="B18" s="60" t="str">
        <f>IF('4A-A'!B16&lt;&gt;0,'4A-A'!B16,"")</f>
        <v/>
      </c>
      <c r="C18" s="61" t="str">
        <f>IF('4A-A'!C16&lt;&gt;0,'4A-A'!C16,"")</f>
        <v/>
      </c>
      <c r="D18" s="62" t="str">
        <f>IF('4A-A'!D16&lt;&gt;0,'4A-A'!D16,"")</f>
        <v/>
      </c>
      <c r="E18" s="43"/>
      <c r="F18" s="42"/>
      <c r="G18" s="28" t="e">
        <f t="shared" si="0"/>
        <v>#DIV/0!</v>
      </c>
      <c r="H18" s="39"/>
      <c r="I18" s="40"/>
      <c r="J18" s="29" t="e">
        <f t="shared" si="1"/>
        <v>#DIV/0!</v>
      </c>
      <c r="K18" s="87">
        <f>Tabela2736810121416192123[[#This Row],[Nº]]</f>
        <v>14</v>
      </c>
      <c r="L18" s="41"/>
      <c r="M18" s="42"/>
      <c r="N18" s="28" t="e">
        <f t="shared" si="2"/>
        <v>#DIV/0!</v>
      </c>
      <c r="O18" s="39"/>
      <c r="P18" s="40"/>
      <c r="Q18" s="29" t="e">
        <f t="shared" si="3"/>
        <v>#DIV/0!</v>
      </c>
      <c r="R18" s="87">
        <f>Tabela2736810121416192123[[#This Row],[Nº]]</f>
        <v>14</v>
      </c>
      <c r="S18" s="41"/>
      <c r="T18" s="42"/>
      <c r="U18" s="28" t="e">
        <f t="shared" si="4"/>
        <v>#DIV/0!</v>
      </c>
      <c r="V18" s="39"/>
      <c r="W18" s="40"/>
      <c r="X18" s="29" t="e">
        <f t="shared" si="5"/>
        <v>#DIV/0!</v>
      </c>
      <c r="Y18" s="87">
        <f>Tabela2736810121416192123[[#This Row],[Nº]]</f>
        <v>14</v>
      </c>
      <c r="Z18" s="41"/>
      <c r="AA18" s="42"/>
      <c r="AB18" s="28" t="e">
        <f t="shared" si="6"/>
        <v>#DIV/0!</v>
      </c>
      <c r="AC18" s="39"/>
      <c r="AD18" s="40"/>
      <c r="AE18" s="30" t="e">
        <f t="shared" si="7"/>
        <v>#DIV/0!</v>
      </c>
    </row>
    <row r="19" spans="1:31" ht="15">
      <c r="A19" s="72">
        <v>15</v>
      </c>
      <c r="B19" s="60" t="str">
        <f>IF('4A-A'!B17&lt;&gt;0,'4A-A'!B17,"")</f>
        <v/>
      </c>
      <c r="C19" s="61" t="str">
        <f>IF('4A-A'!C17&lt;&gt;0,'4A-A'!C17,"")</f>
        <v/>
      </c>
      <c r="D19" s="62" t="str">
        <f>IF('4A-A'!D17&lt;&gt;0,'4A-A'!D17,"")</f>
        <v/>
      </c>
      <c r="E19" s="43"/>
      <c r="F19" s="42"/>
      <c r="G19" s="28" t="e">
        <f t="shared" si="0"/>
        <v>#DIV/0!</v>
      </c>
      <c r="H19" s="39"/>
      <c r="I19" s="40"/>
      <c r="J19" s="29" t="e">
        <f t="shared" si="1"/>
        <v>#DIV/0!</v>
      </c>
      <c r="K19" s="87">
        <f>Tabela2736810121416192123[[#This Row],[Nº]]</f>
        <v>15</v>
      </c>
      <c r="L19" s="41"/>
      <c r="M19" s="42"/>
      <c r="N19" s="28" t="e">
        <f t="shared" si="2"/>
        <v>#DIV/0!</v>
      </c>
      <c r="O19" s="39"/>
      <c r="P19" s="40"/>
      <c r="Q19" s="29" t="e">
        <f t="shared" si="3"/>
        <v>#DIV/0!</v>
      </c>
      <c r="R19" s="87">
        <f>Tabela2736810121416192123[[#This Row],[Nº]]</f>
        <v>15</v>
      </c>
      <c r="S19" s="41"/>
      <c r="T19" s="42"/>
      <c r="U19" s="28" t="e">
        <f t="shared" si="4"/>
        <v>#DIV/0!</v>
      </c>
      <c r="V19" s="39"/>
      <c r="W19" s="40"/>
      <c r="X19" s="29" t="e">
        <f t="shared" si="5"/>
        <v>#DIV/0!</v>
      </c>
      <c r="Y19" s="87">
        <f>Tabela2736810121416192123[[#This Row],[Nº]]</f>
        <v>15</v>
      </c>
      <c r="Z19" s="41"/>
      <c r="AA19" s="42"/>
      <c r="AB19" s="28" t="e">
        <f t="shared" si="6"/>
        <v>#DIV/0!</v>
      </c>
      <c r="AC19" s="39"/>
      <c r="AD19" s="40"/>
      <c r="AE19" s="30" t="e">
        <f t="shared" si="7"/>
        <v>#DIV/0!</v>
      </c>
    </row>
    <row r="20" spans="1:31" ht="15">
      <c r="A20" s="72">
        <v>16</v>
      </c>
      <c r="B20" s="60" t="str">
        <f>IF('4A-A'!B18&lt;&gt;0,'4A-A'!B18,"")</f>
        <v/>
      </c>
      <c r="C20" s="61" t="str">
        <f>IF('4A-A'!C18&lt;&gt;0,'4A-A'!C18,"")</f>
        <v/>
      </c>
      <c r="D20" s="62" t="str">
        <f>IF('4A-A'!D18&lt;&gt;0,'4A-A'!D18,"")</f>
        <v/>
      </c>
      <c r="E20" s="43"/>
      <c r="F20" s="42"/>
      <c r="G20" s="28" t="e">
        <f t="shared" si="0"/>
        <v>#DIV/0!</v>
      </c>
      <c r="H20" s="39"/>
      <c r="I20" s="40"/>
      <c r="J20" s="29" t="e">
        <f t="shared" si="1"/>
        <v>#DIV/0!</v>
      </c>
      <c r="K20" s="87">
        <f>Tabela2736810121416192123[[#This Row],[Nº]]</f>
        <v>16</v>
      </c>
      <c r="L20" s="41"/>
      <c r="M20" s="42"/>
      <c r="N20" s="28" t="e">
        <f t="shared" si="2"/>
        <v>#DIV/0!</v>
      </c>
      <c r="O20" s="39"/>
      <c r="P20" s="40"/>
      <c r="Q20" s="29" t="e">
        <f t="shared" si="3"/>
        <v>#DIV/0!</v>
      </c>
      <c r="R20" s="87">
        <f>Tabela2736810121416192123[[#This Row],[Nº]]</f>
        <v>16</v>
      </c>
      <c r="S20" s="41"/>
      <c r="T20" s="42"/>
      <c r="U20" s="28" t="e">
        <f t="shared" si="4"/>
        <v>#DIV/0!</v>
      </c>
      <c r="V20" s="39"/>
      <c r="W20" s="40"/>
      <c r="X20" s="29" t="e">
        <f t="shared" si="5"/>
        <v>#DIV/0!</v>
      </c>
      <c r="Y20" s="87">
        <f>Tabela2736810121416192123[[#This Row],[Nº]]</f>
        <v>16</v>
      </c>
      <c r="Z20" s="41"/>
      <c r="AA20" s="42"/>
      <c r="AB20" s="28" t="e">
        <f t="shared" si="6"/>
        <v>#DIV/0!</v>
      </c>
      <c r="AC20" s="39"/>
      <c r="AD20" s="40"/>
      <c r="AE20" s="30" t="e">
        <f t="shared" si="7"/>
        <v>#DIV/0!</v>
      </c>
    </row>
    <row r="21" spans="1:31" ht="15">
      <c r="A21" s="72">
        <v>17</v>
      </c>
      <c r="B21" s="60" t="str">
        <f>IF('4A-A'!B19&lt;&gt;0,'4A-A'!B19,"")</f>
        <v/>
      </c>
      <c r="C21" s="61" t="str">
        <f>IF('4A-A'!C19&lt;&gt;0,'4A-A'!C19,"")</f>
        <v/>
      </c>
      <c r="D21" s="62" t="str">
        <f>IF('4A-A'!D19&lt;&gt;0,'4A-A'!D19,"")</f>
        <v/>
      </c>
      <c r="E21" s="43"/>
      <c r="F21" s="42"/>
      <c r="G21" s="28" t="e">
        <f t="shared" si="0"/>
        <v>#DIV/0!</v>
      </c>
      <c r="H21" s="39"/>
      <c r="I21" s="40"/>
      <c r="J21" s="29" t="e">
        <f t="shared" si="1"/>
        <v>#DIV/0!</v>
      </c>
      <c r="K21" s="87">
        <f>Tabela2736810121416192123[[#This Row],[Nº]]</f>
        <v>17</v>
      </c>
      <c r="L21" s="41"/>
      <c r="M21" s="42"/>
      <c r="N21" s="28" t="e">
        <f t="shared" si="2"/>
        <v>#DIV/0!</v>
      </c>
      <c r="O21" s="39"/>
      <c r="P21" s="40"/>
      <c r="Q21" s="29" t="e">
        <f t="shared" si="3"/>
        <v>#DIV/0!</v>
      </c>
      <c r="R21" s="87">
        <f>Tabela2736810121416192123[[#This Row],[Nº]]</f>
        <v>17</v>
      </c>
      <c r="S21" s="41"/>
      <c r="T21" s="42"/>
      <c r="U21" s="28" t="e">
        <f t="shared" si="4"/>
        <v>#DIV/0!</v>
      </c>
      <c r="V21" s="39"/>
      <c r="W21" s="40"/>
      <c r="X21" s="29" t="e">
        <f t="shared" si="5"/>
        <v>#DIV/0!</v>
      </c>
      <c r="Y21" s="87">
        <f>Tabela2736810121416192123[[#This Row],[Nº]]</f>
        <v>17</v>
      </c>
      <c r="Z21" s="41"/>
      <c r="AA21" s="42"/>
      <c r="AB21" s="28" t="e">
        <f t="shared" si="6"/>
        <v>#DIV/0!</v>
      </c>
      <c r="AC21" s="39"/>
      <c r="AD21" s="40"/>
      <c r="AE21" s="30" t="e">
        <f t="shared" si="7"/>
        <v>#DIV/0!</v>
      </c>
    </row>
    <row r="22" spans="1:31" ht="15">
      <c r="A22" s="72">
        <v>18</v>
      </c>
      <c r="B22" s="60" t="str">
        <f>IF('4A-A'!B20&lt;&gt;0,'4A-A'!B20,"")</f>
        <v/>
      </c>
      <c r="C22" s="61" t="str">
        <f>IF('4A-A'!C20&lt;&gt;0,'4A-A'!C20,"")</f>
        <v/>
      </c>
      <c r="D22" s="62" t="str">
        <f>IF('4A-A'!D20&lt;&gt;0,'4A-A'!D20,"")</f>
        <v/>
      </c>
      <c r="E22" s="43"/>
      <c r="F22" s="42"/>
      <c r="G22" s="28" t="e">
        <f t="shared" si="0"/>
        <v>#DIV/0!</v>
      </c>
      <c r="H22" s="39"/>
      <c r="I22" s="40"/>
      <c r="J22" s="29" t="e">
        <f t="shared" si="1"/>
        <v>#DIV/0!</v>
      </c>
      <c r="K22" s="87">
        <f>Tabela2736810121416192123[[#This Row],[Nº]]</f>
        <v>18</v>
      </c>
      <c r="L22" s="41"/>
      <c r="M22" s="42"/>
      <c r="N22" s="28" t="e">
        <f t="shared" si="2"/>
        <v>#DIV/0!</v>
      </c>
      <c r="O22" s="39"/>
      <c r="P22" s="40"/>
      <c r="Q22" s="29" t="e">
        <f t="shared" si="3"/>
        <v>#DIV/0!</v>
      </c>
      <c r="R22" s="87">
        <f>Tabela2736810121416192123[[#This Row],[Nº]]</f>
        <v>18</v>
      </c>
      <c r="S22" s="41"/>
      <c r="T22" s="42"/>
      <c r="U22" s="28" t="e">
        <f t="shared" si="4"/>
        <v>#DIV/0!</v>
      </c>
      <c r="V22" s="39"/>
      <c r="W22" s="40"/>
      <c r="X22" s="29" t="e">
        <f t="shared" si="5"/>
        <v>#DIV/0!</v>
      </c>
      <c r="Y22" s="87">
        <f>Tabela2736810121416192123[[#This Row],[Nº]]</f>
        <v>18</v>
      </c>
      <c r="Z22" s="41"/>
      <c r="AA22" s="42"/>
      <c r="AB22" s="28" t="e">
        <f t="shared" si="6"/>
        <v>#DIV/0!</v>
      </c>
      <c r="AC22" s="39"/>
      <c r="AD22" s="40"/>
      <c r="AE22" s="30" t="e">
        <f t="shared" si="7"/>
        <v>#DIV/0!</v>
      </c>
    </row>
    <row r="23" spans="1:31" ht="15">
      <c r="A23" s="72">
        <v>19</v>
      </c>
      <c r="B23" s="60" t="str">
        <f>IF('4A-A'!B21&lt;&gt;0,'4A-A'!B21,"")</f>
        <v/>
      </c>
      <c r="C23" s="61" t="str">
        <f>IF('4A-A'!C21&lt;&gt;0,'4A-A'!C21,"")</f>
        <v/>
      </c>
      <c r="D23" s="62" t="str">
        <f>IF('4A-A'!D21&lt;&gt;0,'4A-A'!D21,"")</f>
        <v/>
      </c>
      <c r="E23" s="43"/>
      <c r="F23" s="42"/>
      <c r="G23" s="28" t="e">
        <f t="shared" si="0"/>
        <v>#DIV/0!</v>
      </c>
      <c r="H23" s="39"/>
      <c r="I23" s="40"/>
      <c r="J23" s="29" t="e">
        <f t="shared" si="1"/>
        <v>#DIV/0!</v>
      </c>
      <c r="K23" s="87">
        <f>Tabela2736810121416192123[[#This Row],[Nº]]</f>
        <v>19</v>
      </c>
      <c r="L23" s="41"/>
      <c r="M23" s="42"/>
      <c r="N23" s="28" t="e">
        <f t="shared" si="2"/>
        <v>#DIV/0!</v>
      </c>
      <c r="O23" s="39"/>
      <c r="P23" s="40"/>
      <c r="Q23" s="29" t="e">
        <f t="shared" si="3"/>
        <v>#DIV/0!</v>
      </c>
      <c r="R23" s="87">
        <f>Tabela2736810121416192123[[#This Row],[Nº]]</f>
        <v>19</v>
      </c>
      <c r="S23" s="41"/>
      <c r="T23" s="42"/>
      <c r="U23" s="28" t="e">
        <f t="shared" si="4"/>
        <v>#DIV/0!</v>
      </c>
      <c r="V23" s="39"/>
      <c r="W23" s="40"/>
      <c r="X23" s="29" t="e">
        <f t="shared" si="5"/>
        <v>#DIV/0!</v>
      </c>
      <c r="Y23" s="87">
        <f>Tabela2736810121416192123[[#This Row],[Nº]]</f>
        <v>19</v>
      </c>
      <c r="Z23" s="41"/>
      <c r="AA23" s="42"/>
      <c r="AB23" s="28" t="e">
        <f t="shared" si="6"/>
        <v>#DIV/0!</v>
      </c>
      <c r="AC23" s="39"/>
      <c r="AD23" s="40"/>
      <c r="AE23" s="30" t="e">
        <f t="shared" si="7"/>
        <v>#DIV/0!</v>
      </c>
    </row>
    <row r="24" spans="1:31" ht="15">
      <c r="A24" s="72">
        <v>20</v>
      </c>
      <c r="B24" s="60" t="str">
        <f>IF('4A-A'!B22&lt;&gt;0,'4A-A'!B22,"")</f>
        <v/>
      </c>
      <c r="C24" s="61" t="str">
        <f>IF('4A-A'!C22&lt;&gt;0,'4A-A'!C22,"")</f>
        <v/>
      </c>
      <c r="D24" s="62" t="str">
        <f>IF('4A-A'!D22&lt;&gt;0,'4A-A'!D22,"")</f>
        <v/>
      </c>
      <c r="E24" s="43"/>
      <c r="F24" s="42"/>
      <c r="G24" s="28" t="e">
        <f t="shared" si="0"/>
        <v>#DIV/0!</v>
      </c>
      <c r="H24" s="39"/>
      <c r="I24" s="40"/>
      <c r="J24" s="29" t="e">
        <f t="shared" si="1"/>
        <v>#DIV/0!</v>
      </c>
      <c r="K24" s="87">
        <f>Tabela2736810121416192123[[#This Row],[Nº]]</f>
        <v>20</v>
      </c>
      <c r="L24" s="41"/>
      <c r="M24" s="42"/>
      <c r="N24" s="28" t="e">
        <f t="shared" si="2"/>
        <v>#DIV/0!</v>
      </c>
      <c r="O24" s="39"/>
      <c r="P24" s="40"/>
      <c r="Q24" s="29" t="e">
        <f t="shared" si="3"/>
        <v>#DIV/0!</v>
      </c>
      <c r="R24" s="87">
        <f>Tabela2736810121416192123[[#This Row],[Nº]]</f>
        <v>20</v>
      </c>
      <c r="S24" s="41"/>
      <c r="T24" s="42"/>
      <c r="U24" s="28" t="e">
        <f t="shared" si="4"/>
        <v>#DIV/0!</v>
      </c>
      <c r="V24" s="39"/>
      <c r="W24" s="40"/>
      <c r="X24" s="29" t="e">
        <f t="shared" si="5"/>
        <v>#DIV/0!</v>
      </c>
      <c r="Y24" s="87">
        <f>Tabela2736810121416192123[[#This Row],[Nº]]</f>
        <v>20</v>
      </c>
      <c r="Z24" s="41"/>
      <c r="AA24" s="42"/>
      <c r="AB24" s="28" t="e">
        <f t="shared" si="6"/>
        <v>#DIV/0!</v>
      </c>
      <c r="AC24" s="39"/>
      <c r="AD24" s="40"/>
      <c r="AE24" s="30" t="e">
        <f t="shared" si="7"/>
        <v>#DIV/0!</v>
      </c>
    </row>
    <row r="25" spans="1:31" ht="15">
      <c r="A25" s="72">
        <v>21</v>
      </c>
      <c r="B25" s="60" t="str">
        <f>IF('4A-A'!B23&lt;&gt;0,'4A-A'!B23,"")</f>
        <v/>
      </c>
      <c r="C25" s="61" t="str">
        <f>IF('4A-A'!C23&lt;&gt;0,'4A-A'!C23,"")</f>
        <v/>
      </c>
      <c r="D25" s="62" t="str">
        <f>IF('4A-A'!D23&lt;&gt;0,'4A-A'!D23,"")</f>
        <v/>
      </c>
      <c r="E25" s="43"/>
      <c r="F25" s="42"/>
      <c r="G25" s="28" t="e">
        <f t="shared" si="0"/>
        <v>#DIV/0!</v>
      </c>
      <c r="H25" s="39"/>
      <c r="I25" s="40"/>
      <c r="J25" s="29" t="e">
        <f t="shared" si="1"/>
        <v>#DIV/0!</v>
      </c>
      <c r="K25" s="87">
        <f>Tabela2736810121416192123[[#This Row],[Nº]]</f>
        <v>21</v>
      </c>
      <c r="L25" s="41"/>
      <c r="M25" s="42"/>
      <c r="N25" s="28" t="e">
        <f t="shared" si="2"/>
        <v>#DIV/0!</v>
      </c>
      <c r="O25" s="39"/>
      <c r="P25" s="40"/>
      <c r="Q25" s="29" t="e">
        <f t="shared" si="3"/>
        <v>#DIV/0!</v>
      </c>
      <c r="R25" s="87">
        <f>Tabela2736810121416192123[[#This Row],[Nº]]</f>
        <v>21</v>
      </c>
      <c r="S25" s="41"/>
      <c r="T25" s="42"/>
      <c r="U25" s="28" t="e">
        <f t="shared" si="4"/>
        <v>#DIV/0!</v>
      </c>
      <c r="V25" s="39"/>
      <c r="W25" s="40"/>
      <c r="X25" s="29" t="e">
        <f t="shared" si="5"/>
        <v>#DIV/0!</v>
      </c>
      <c r="Y25" s="87">
        <f>Tabela2736810121416192123[[#This Row],[Nº]]</f>
        <v>21</v>
      </c>
      <c r="Z25" s="41"/>
      <c r="AA25" s="42"/>
      <c r="AB25" s="28" t="e">
        <f t="shared" si="6"/>
        <v>#DIV/0!</v>
      </c>
      <c r="AC25" s="39"/>
      <c r="AD25" s="40"/>
      <c r="AE25" s="30" t="e">
        <f t="shared" si="7"/>
        <v>#DIV/0!</v>
      </c>
    </row>
    <row r="26" spans="1:31" ht="15">
      <c r="A26" s="72">
        <v>22</v>
      </c>
      <c r="B26" s="60" t="str">
        <f>IF('4A-A'!B24&lt;&gt;0,'4A-A'!B24,"")</f>
        <v/>
      </c>
      <c r="C26" s="61" t="str">
        <f>IF('4A-A'!C24&lt;&gt;0,'4A-A'!C24,"")</f>
        <v/>
      </c>
      <c r="D26" s="62" t="str">
        <f>IF('4A-A'!D24&lt;&gt;0,'4A-A'!D24,"")</f>
        <v/>
      </c>
      <c r="E26" s="43"/>
      <c r="F26" s="42"/>
      <c r="G26" s="28" t="e">
        <f t="shared" si="0"/>
        <v>#DIV/0!</v>
      </c>
      <c r="H26" s="39"/>
      <c r="I26" s="40"/>
      <c r="J26" s="29" t="e">
        <f t="shared" si="1"/>
        <v>#DIV/0!</v>
      </c>
      <c r="K26" s="87">
        <f>Tabela2736810121416192123[[#This Row],[Nº]]</f>
        <v>22</v>
      </c>
      <c r="L26" s="41"/>
      <c r="M26" s="42"/>
      <c r="N26" s="28" t="e">
        <f t="shared" si="2"/>
        <v>#DIV/0!</v>
      </c>
      <c r="O26" s="39"/>
      <c r="P26" s="40"/>
      <c r="Q26" s="29" t="e">
        <f t="shared" si="3"/>
        <v>#DIV/0!</v>
      </c>
      <c r="R26" s="87">
        <f>Tabela2736810121416192123[[#This Row],[Nº]]</f>
        <v>22</v>
      </c>
      <c r="S26" s="41"/>
      <c r="T26" s="42"/>
      <c r="U26" s="28" t="e">
        <f t="shared" si="4"/>
        <v>#DIV/0!</v>
      </c>
      <c r="V26" s="39"/>
      <c r="W26" s="40"/>
      <c r="X26" s="29" t="e">
        <f t="shared" si="5"/>
        <v>#DIV/0!</v>
      </c>
      <c r="Y26" s="87">
        <f>Tabela2736810121416192123[[#This Row],[Nº]]</f>
        <v>22</v>
      </c>
      <c r="Z26" s="41"/>
      <c r="AA26" s="42"/>
      <c r="AB26" s="28" t="e">
        <f t="shared" si="6"/>
        <v>#DIV/0!</v>
      </c>
      <c r="AC26" s="39"/>
      <c r="AD26" s="40"/>
      <c r="AE26" s="30" t="e">
        <f t="shared" si="7"/>
        <v>#DIV/0!</v>
      </c>
    </row>
    <row r="27" spans="1:31" ht="15">
      <c r="A27" s="72">
        <v>23</v>
      </c>
      <c r="B27" s="60" t="str">
        <f>IF('4A-A'!B25&lt;&gt;0,'4A-A'!B25,"")</f>
        <v/>
      </c>
      <c r="C27" s="61" t="str">
        <f>IF('4A-A'!C25&lt;&gt;0,'4A-A'!C25,"")</f>
        <v/>
      </c>
      <c r="D27" s="62" t="str">
        <f>IF('4A-A'!D25&lt;&gt;0,'4A-A'!D25,"")</f>
        <v/>
      </c>
      <c r="E27" s="43"/>
      <c r="F27" s="42"/>
      <c r="G27" s="28" t="e">
        <f t="shared" si="0"/>
        <v>#DIV/0!</v>
      </c>
      <c r="H27" s="39"/>
      <c r="I27" s="40"/>
      <c r="J27" s="29" t="e">
        <f t="shared" si="1"/>
        <v>#DIV/0!</v>
      </c>
      <c r="K27" s="87">
        <f>Tabela2736810121416192123[[#This Row],[Nº]]</f>
        <v>23</v>
      </c>
      <c r="L27" s="41"/>
      <c r="M27" s="42"/>
      <c r="N27" s="28" t="e">
        <f t="shared" si="2"/>
        <v>#DIV/0!</v>
      </c>
      <c r="O27" s="39"/>
      <c r="P27" s="40"/>
      <c r="Q27" s="29" t="e">
        <f t="shared" si="3"/>
        <v>#DIV/0!</v>
      </c>
      <c r="R27" s="87">
        <f>Tabela2736810121416192123[[#This Row],[Nº]]</f>
        <v>23</v>
      </c>
      <c r="S27" s="41"/>
      <c r="T27" s="42"/>
      <c r="U27" s="28" t="e">
        <f t="shared" si="4"/>
        <v>#DIV/0!</v>
      </c>
      <c r="V27" s="39"/>
      <c r="W27" s="40"/>
      <c r="X27" s="29" t="e">
        <f t="shared" si="5"/>
        <v>#DIV/0!</v>
      </c>
      <c r="Y27" s="87">
        <f>Tabela2736810121416192123[[#This Row],[Nº]]</f>
        <v>23</v>
      </c>
      <c r="Z27" s="41"/>
      <c r="AA27" s="42"/>
      <c r="AB27" s="28" t="e">
        <f t="shared" si="6"/>
        <v>#DIV/0!</v>
      </c>
      <c r="AC27" s="39"/>
      <c r="AD27" s="40"/>
      <c r="AE27" s="30" t="e">
        <f t="shared" si="7"/>
        <v>#DIV/0!</v>
      </c>
    </row>
    <row r="28" spans="1:31" ht="15">
      <c r="A28" s="72">
        <v>24</v>
      </c>
      <c r="B28" s="60" t="str">
        <f>IF('4A-A'!B26&lt;&gt;0,'4A-A'!B26,"")</f>
        <v/>
      </c>
      <c r="C28" s="61" t="str">
        <f>IF('4A-A'!C26&lt;&gt;0,'4A-A'!C26,"")</f>
        <v/>
      </c>
      <c r="D28" s="62" t="str">
        <f>IF('4A-A'!D26&lt;&gt;0,'4A-A'!D26,"")</f>
        <v/>
      </c>
      <c r="E28" s="43"/>
      <c r="F28" s="42"/>
      <c r="G28" s="28" t="e">
        <f t="shared" si="0"/>
        <v>#DIV/0!</v>
      </c>
      <c r="H28" s="39"/>
      <c r="I28" s="40"/>
      <c r="J28" s="29" t="e">
        <f t="shared" si="1"/>
        <v>#DIV/0!</v>
      </c>
      <c r="K28" s="87">
        <f>Tabela2736810121416192123[[#This Row],[Nº]]</f>
        <v>24</v>
      </c>
      <c r="L28" s="41"/>
      <c r="M28" s="42"/>
      <c r="N28" s="28" t="e">
        <f t="shared" si="2"/>
        <v>#DIV/0!</v>
      </c>
      <c r="O28" s="39"/>
      <c r="P28" s="40"/>
      <c r="Q28" s="29" t="e">
        <f t="shared" si="3"/>
        <v>#DIV/0!</v>
      </c>
      <c r="R28" s="87">
        <f>Tabela2736810121416192123[[#This Row],[Nº]]</f>
        <v>24</v>
      </c>
      <c r="S28" s="41"/>
      <c r="T28" s="42"/>
      <c r="U28" s="28" t="e">
        <f t="shared" si="4"/>
        <v>#DIV/0!</v>
      </c>
      <c r="V28" s="39"/>
      <c r="W28" s="40"/>
      <c r="X28" s="29" t="e">
        <f t="shared" si="5"/>
        <v>#DIV/0!</v>
      </c>
      <c r="Y28" s="87">
        <f>Tabela2736810121416192123[[#This Row],[Nº]]</f>
        <v>24</v>
      </c>
      <c r="Z28" s="41"/>
      <c r="AA28" s="42"/>
      <c r="AB28" s="28" t="e">
        <f t="shared" si="6"/>
        <v>#DIV/0!</v>
      </c>
      <c r="AC28" s="39"/>
      <c r="AD28" s="40"/>
      <c r="AE28" s="30" t="e">
        <f t="shared" si="7"/>
        <v>#DIV/0!</v>
      </c>
    </row>
    <row r="29" spans="1:31" ht="15">
      <c r="A29" s="72">
        <v>25</v>
      </c>
      <c r="B29" s="60" t="str">
        <f>IF('4A-A'!B27&lt;&gt;0,'4A-A'!B27,"")</f>
        <v/>
      </c>
      <c r="C29" s="61" t="str">
        <f>IF('4A-A'!C27&lt;&gt;0,'4A-A'!C27,"")</f>
        <v/>
      </c>
      <c r="D29" s="62" t="str">
        <f>IF('4A-A'!D27&lt;&gt;0,'4A-A'!D27,"")</f>
        <v/>
      </c>
      <c r="E29" s="43"/>
      <c r="F29" s="42"/>
      <c r="G29" s="28" t="e">
        <f t="shared" si="0"/>
        <v>#DIV/0!</v>
      </c>
      <c r="H29" s="39"/>
      <c r="I29" s="40"/>
      <c r="J29" s="29" t="e">
        <f t="shared" si="1"/>
        <v>#DIV/0!</v>
      </c>
      <c r="K29" s="87">
        <f>Tabela2736810121416192123[[#This Row],[Nº]]</f>
        <v>25</v>
      </c>
      <c r="L29" s="41"/>
      <c r="M29" s="42"/>
      <c r="N29" s="28" t="e">
        <f t="shared" si="2"/>
        <v>#DIV/0!</v>
      </c>
      <c r="O29" s="39"/>
      <c r="P29" s="40"/>
      <c r="Q29" s="29" t="e">
        <f t="shared" si="3"/>
        <v>#DIV/0!</v>
      </c>
      <c r="R29" s="87">
        <f>Tabela2736810121416192123[[#This Row],[Nº]]</f>
        <v>25</v>
      </c>
      <c r="S29" s="41"/>
      <c r="T29" s="42"/>
      <c r="U29" s="28" t="e">
        <f t="shared" si="4"/>
        <v>#DIV/0!</v>
      </c>
      <c r="V29" s="39"/>
      <c r="W29" s="40"/>
      <c r="X29" s="29" t="e">
        <f t="shared" si="5"/>
        <v>#DIV/0!</v>
      </c>
      <c r="Y29" s="87">
        <f>Tabela2736810121416192123[[#This Row],[Nº]]</f>
        <v>25</v>
      </c>
      <c r="Z29" s="41"/>
      <c r="AA29" s="42"/>
      <c r="AB29" s="28" t="e">
        <f t="shared" si="6"/>
        <v>#DIV/0!</v>
      </c>
      <c r="AC29" s="39"/>
      <c r="AD29" s="40"/>
      <c r="AE29" s="30" t="e">
        <f t="shared" si="7"/>
        <v>#DIV/0!</v>
      </c>
    </row>
    <row r="30" spans="1:31" ht="15.75">
      <c r="A30" s="183">
        <v>26</v>
      </c>
      <c r="B30" s="184" t="str">
        <f>IF('4A-A'!B28&lt;&gt;0,'4A-A'!B28,"")</f>
        <v/>
      </c>
      <c r="C30" s="185" t="str">
        <f>IF('4A-A'!C28&lt;&gt;0,'4A-A'!C28,"")</f>
        <v/>
      </c>
      <c r="D30" s="186" t="str">
        <f>IF('4A-A'!D28&lt;&gt;0,'4A-A'!D28,"")</f>
        <v/>
      </c>
      <c r="E30" s="187"/>
      <c r="F30" s="188"/>
      <c r="G30" s="189" t="e">
        <f>ROUND((E30*100)/(E30+F30),0)/100</f>
        <v>#DIV/0!</v>
      </c>
      <c r="H30" s="190"/>
      <c r="I30" s="191"/>
      <c r="J30" s="205" t="e">
        <f>ROUND((H30*100)/(H30+I30),0)/100</f>
        <v>#DIV/0!</v>
      </c>
      <c r="K30" s="193">
        <f>Tabela2736810121416192123[[#This Row],[Nº]]</f>
        <v>26</v>
      </c>
      <c r="L30" s="197"/>
      <c r="M30" s="188"/>
      <c r="N30" s="189" t="e">
        <f>ROUND((L30*100)/(L30+M30),0)/100</f>
        <v>#DIV/0!</v>
      </c>
      <c r="O30" s="190"/>
      <c r="P30" s="191"/>
      <c r="Q30" s="205" t="e">
        <f>ROUND((O30*100)/(O30+P30),0)/100</f>
        <v>#DIV/0!</v>
      </c>
      <c r="R30" s="193">
        <f>Tabela2736810121416192123[[#This Row],[Nº]]</f>
        <v>26</v>
      </c>
      <c r="S30" s="197"/>
      <c r="T30" s="188"/>
      <c r="U30" s="189" t="e">
        <f>ROUND((S30*100)/(S30+T30),0)/100</f>
        <v>#DIV/0!</v>
      </c>
      <c r="V30" s="190"/>
      <c r="W30" s="191"/>
      <c r="X30" s="205" t="e">
        <f>ROUND((V30*100)/(V30+W30),0)/100</f>
        <v>#DIV/0!</v>
      </c>
      <c r="Y30" s="193">
        <f>Tabela2736810121416192123[[#This Row],[Nº]]</f>
        <v>26</v>
      </c>
      <c r="Z30" s="197"/>
      <c r="AA30" s="188"/>
      <c r="AB30" s="189" t="e">
        <f>ROUND((Z30*100)/(Z30+AA30),0)/100</f>
        <v>#DIV/0!</v>
      </c>
      <c r="AC30" s="190"/>
      <c r="AD30" s="191"/>
      <c r="AE30" s="192" t="e">
        <f>ROUND((AC30*100)/(AC30+AD30),0)/100</f>
        <v>#DIV/0!</v>
      </c>
    </row>
    <row r="31" spans="1:31" ht="15.75">
      <c r="A31" s="183">
        <v>27</v>
      </c>
      <c r="B31" s="184" t="str">
        <f>IF('4A-A'!B29&lt;&gt;0,'4A-A'!B29,"")</f>
        <v/>
      </c>
      <c r="C31" s="185" t="str">
        <f>IF('4A-A'!C29&lt;&gt;0,'4A-A'!C29,"")</f>
        <v/>
      </c>
      <c r="D31" s="186" t="str">
        <f>IF('4A-A'!D29&lt;&gt;0,'4A-A'!D29,"")</f>
        <v/>
      </c>
      <c r="E31" s="187"/>
      <c r="F31" s="188"/>
      <c r="G31" s="189" t="e">
        <f>ROUND((E31*100)/(E31+F31),0)/100</f>
        <v>#DIV/0!</v>
      </c>
      <c r="H31" s="190"/>
      <c r="I31" s="191"/>
      <c r="J31" s="205" t="e">
        <f>ROUND((H31*100)/(H31+I31),0)/100</f>
        <v>#DIV/0!</v>
      </c>
      <c r="K31" s="193">
        <f>Tabela2736810121416192123[[#This Row],[Nº]]</f>
        <v>27</v>
      </c>
      <c r="L31" s="197"/>
      <c r="M31" s="188"/>
      <c r="N31" s="189" t="e">
        <f>ROUND((L31*100)/(L31+M31),0)/100</f>
        <v>#DIV/0!</v>
      </c>
      <c r="O31" s="190"/>
      <c r="P31" s="191"/>
      <c r="Q31" s="205" t="e">
        <f>ROUND((O31*100)/(O31+P31),0)/100</f>
        <v>#DIV/0!</v>
      </c>
      <c r="R31" s="193">
        <f>Tabela2736810121416192123[[#This Row],[Nº]]</f>
        <v>27</v>
      </c>
      <c r="S31" s="197"/>
      <c r="T31" s="188"/>
      <c r="U31" s="189" t="e">
        <f>ROUND((S31*100)/(S31+T31),0)/100</f>
        <v>#DIV/0!</v>
      </c>
      <c r="V31" s="190"/>
      <c r="W31" s="191"/>
      <c r="X31" s="205" t="e">
        <f>ROUND((V31*100)/(V31+W31),0)/100</f>
        <v>#DIV/0!</v>
      </c>
      <c r="Y31" s="193">
        <f>Tabela2736810121416192123[[#This Row],[Nº]]</f>
        <v>27</v>
      </c>
      <c r="Z31" s="197"/>
      <c r="AA31" s="188"/>
      <c r="AB31" s="189" t="e">
        <f>ROUND((Z31*100)/(Z31+AA31),0)/100</f>
        <v>#DIV/0!</v>
      </c>
      <c r="AC31" s="190"/>
      <c r="AD31" s="191"/>
      <c r="AE31" s="192" t="e">
        <f>ROUND((AC31*100)/(AC31+AD31),0)/100</f>
        <v>#DIV/0!</v>
      </c>
    </row>
    <row r="32" spans="1:31" ht="15.75">
      <c r="A32" s="183">
        <v>28</v>
      </c>
      <c r="B32" s="184" t="str">
        <f>IF('4A-A'!B30&lt;&gt;0,'4A-A'!B30,"")</f>
        <v/>
      </c>
      <c r="C32" s="185" t="str">
        <f>IF('4A-A'!C30&lt;&gt;0,'4A-A'!C30,"")</f>
        <v/>
      </c>
      <c r="D32" s="186" t="str">
        <f>IF('4A-A'!D30&lt;&gt;0,'4A-A'!D30,"")</f>
        <v/>
      </c>
      <c r="E32" s="187"/>
      <c r="F32" s="188"/>
      <c r="G32" s="189" t="e">
        <f>ROUND((E32*100)/(E32+F32),0)/100</f>
        <v>#DIV/0!</v>
      </c>
      <c r="H32" s="190"/>
      <c r="I32" s="191"/>
      <c r="J32" s="205" t="e">
        <f>ROUND((H32*100)/(H32+I32),0)/100</f>
        <v>#DIV/0!</v>
      </c>
      <c r="K32" s="193">
        <f>Tabela2736810121416192123[[#This Row],[Nº]]</f>
        <v>28</v>
      </c>
      <c r="L32" s="197"/>
      <c r="M32" s="188"/>
      <c r="N32" s="189" t="e">
        <f>ROUND((L32*100)/(L32+M32),0)/100</f>
        <v>#DIV/0!</v>
      </c>
      <c r="O32" s="190"/>
      <c r="P32" s="191"/>
      <c r="Q32" s="205" t="e">
        <f>ROUND((O32*100)/(O32+P32),0)/100</f>
        <v>#DIV/0!</v>
      </c>
      <c r="R32" s="193">
        <f>Tabela2736810121416192123[[#This Row],[Nº]]</f>
        <v>28</v>
      </c>
      <c r="S32" s="197"/>
      <c r="T32" s="188"/>
      <c r="U32" s="189" t="e">
        <f>ROUND((S32*100)/(S32+T32),0)/100</f>
        <v>#DIV/0!</v>
      </c>
      <c r="V32" s="190"/>
      <c r="W32" s="191"/>
      <c r="X32" s="205" t="e">
        <f>ROUND((V32*100)/(V32+W32),0)/100</f>
        <v>#DIV/0!</v>
      </c>
      <c r="Y32" s="193">
        <f>Tabela2736810121416192123[[#This Row],[Nº]]</f>
        <v>28</v>
      </c>
      <c r="Z32" s="197"/>
      <c r="AA32" s="188"/>
      <c r="AB32" s="189" t="e">
        <f>ROUND((Z32*100)/(Z32+AA32),0)/100</f>
        <v>#DIV/0!</v>
      </c>
      <c r="AC32" s="190"/>
      <c r="AD32" s="191"/>
      <c r="AE32" s="192" t="e">
        <f>ROUND((AC32*100)/(AC32+AD32),0)/100</f>
        <v>#DIV/0!</v>
      </c>
    </row>
    <row r="33" spans="1:31" ht="15.75">
      <c r="A33" s="183">
        <v>29</v>
      </c>
      <c r="B33" s="184" t="str">
        <f>IF('4A-A'!B31&lt;&gt;0,'4A-A'!B31,"")</f>
        <v/>
      </c>
      <c r="C33" s="185" t="str">
        <f>IF('4A-A'!C31&lt;&gt;0,'4A-A'!C31,"")</f>
        <v/>
      </c>
      <c r="D33" s="186" t="str">
        <f>IF('4A-A'!D31&lt;&gt;0,'4A-A'!D31,"")</f>
        <v/>
      </c>
      <c r="E33" s="187"/>
      <c r="F33" s="188"/>
      <c r="G33" s="189" t="e">
        <f>ROUND((E33*100)/(E33+F33),0)/100</f>
        <v>#DIV/0!</v>
      </c>
      <c r="H33" s="190"/>
      <c r="I33" s="191"/>
      <c r="J33" s="205" t="e">
        <f>ROUND((H33*100)/(H33+I33),0)/100</f>
        <v>#DIV/0!</v>
      </c>
      <c r="K33" s="193">
        <f>Tabela2736810121416192123[[#This Row],[Nº]]</f>
        <v>29</v>
      </c>
      <c r="L33" s="197"/>
      <c r="M33" s="188"/>
      <c r="N33" s="189" t="e">
        <f>ROUND((L33*100)/(L33+M33),0)/100</f>
        <v>#DIV/0!</v>
      </c>
      <c r="O33" s="190"/>
      <c r="P33" s="191"/>
      <c r="Q33" s="205" t="e">
        <f>ROUND((O33*100)/(O33+P33),0)/100</f>
        <v>#DIV/0!</v>
      </c>
      <c r="R33" s="193">
        <f>Tabela2736810121416192123[[#This Row],[Nº]]</f>
        <v>29</v>
      </c>
      <c r="S33" s="197"/>
      <c r="T33" s="188"/>
      <c r="U33" s="189" t="e">
        <f>ROUND((S33*100)/(S33+T33),0)/100</f>
        <v>#DIV/0!</v>
      </c>
      <c r="V33" s="190"/>
      <c r="W33" s="191"/>
      <c r="X33" s="205" t="e">
        <f>ROUND((V33*100)/(V33+W33),0)/100</f>
        <v>#DIV/0!</v>
      </c>
      <c r="Y33" s="193">
        <f>Tabela2736810121416192123[[#This Row],[Nº]]</f>
        <v>29</v>
      </c>
      <c r="Z33" s="197"/>
      <c r="AA33" s="188"/>
      <c r="AB33" s="189" t="e">
        <f>ROUND((Z33*100)/(Z33+AA33),0)/100</f>
        <v>#DIV/0!</v>
      </c>
      <c r="AC33" s="190"/>
      <c r="AD33" s="191"/>
      <c r="AE33" s="192" t="e">
        <f>ROUND((AC33*100)/(AC33+AD33),0)/100</f>
        <v>#DIV/0!</v>
      </c>
    </row>
    <row r="34" spans="1:31" ht="16.5" thickBot="1">
      <c r="A34" s="183">
        <v>30</v>
      </c>
      <c r="B34" s="184" t="str">
        <f>IF('4A-A'!B32&lt;&gt;0,'4A-A'!B32,"")</f>
        <v/>
      </c>
      <c r="C34" s="185" t="str">
        <f>IF('4A-A'!C32&lt;&gt;0,'4A-A'!C32,"")</f>
        <v/>
      </c>
      <c r="D34" s="186" t="str">
        <f>IF('4A-A'!D32&lt;&gt;0,'4A-A'!D32,"")</f>
        <v/>
      </c>
      <c r="E34" s="187"/>
      <c r="F34" s="188"/>
      <c r="G34" s="189" t="e">
        <f>ROUND((E34*100)/(E34+F34),0)/100</f>
        <v>#DIV/0!</v>
      </c>
      <c r="H34" s="206"/>
      <c r="I34" s="207"/>
      <c r="J34" s="208" t="e">
        <f>ROUND((H34*100)/(H34+I34),0)/100</f>
        <v>#DIV/0!</v>
      </c>
      <c r="K34" s="193">
        <f>Tabela2736810121416192123[[#This Row],[Nº]]</f>
        <v>30</v>
      </c>
      <c r="L34" s="198"/>
      <c r="M34" s="199"/>
      <c r="N34" s="200" t="e">
        <f>ROUND((L34*100)/(L34+M34),0)/100</f>
        <v>#DIV/0!</v>
      </c>
      <c r="O34" s="206"/>
      <c r="P34" s="207"/>
      <c r="Q34" s="208" t="e">
        <f>ROUND((O34*100)/(O34+P34),0)/100</f>
        <v>#DIV/0!</v>
      </c>
      <c r="R34" s="193">
        <f>Tabela2736810121416192123[[#This Row],[Nº]]</f>
        <v>30</v>
      </c>
      <c r="S34" s="198"/>
      <c r="T34" s="199"/>
      <c r="U34" s="200" t="e">
        <f>ROUND((S34*100)/(S34+T34),0)/100</f>
        <v>#DIV/0!</v>
      </c>
      <c r="V34" s="206"/>
      <c r="W34" s="207"/>
      <c r="X34" s="208" t="e">
        <f>ROUND((V34*100)/(V34+W34),0)/100</f>
        <v>#DIV/0!</v>
      </c>
      <c r="Y34" s="193">
        <f>Tabela2736810121416192123[[#This Row],[Nº]]</f>
        <v>30</v>
      </c>
      <c r="Z34" s="198"/>
      <c r="AA34" s="199"/>
      <c r="AB34" s="200" t="e">
        <f>ROUND((Z34*100)/(Z34+AA34),0)/100</f>
        <v>#DIV/0!</v>
      </c>
      <c r="AC34" s="190"/>
      <c r="AD34" s="191"/>
      <c r="AE34" s="192" t="e">
        <f>ROUND((AC34*100)/(AC34+AD34),0)/100</f>
        <v>#DIV/0!</v>
      </c>
    </row>
  </sheetData>
  <sheetProtection algorithmName="SHA-512" hashValue="4eTXfFoW5gYNrj1ri5fZV60V9QtRqD7UP0w1ROhX88+uW4UU5lIIxeAsDn8J1tag/uvR4ndEmgEh0DVGdwhDtw==" saltValue="IvpFgipoN66mQ65DMqTmqQ==" spinCount="100000" sheet="1" objects="1" scenarios="1" selectLockedCells="1"/>
  <mergeCells count="12">
    <mergeCell ref="Z3:AB3"/>
    <mergeCell ref="AC3:AE3"/>
    <mergeCell ref="A1:D3"/>
    <mergeCell ref="E1:AE1"/>
    <mergeCell ref="E2:Q2"/>
    <mergeCell ref="S2:AE2"/>
    <mergeCell ref="E3:G3"/>
    <mergeCell ref="H3:J3"/>
    <mergeCell ref="L3:N3"/>
    <mergeCell ref="O3:Q3"/>
    <mergeCell ref="S3:U3"/>
    <mergeCell ref="V3:X3"/>
  </mergeCells>
  <conditionalFormatting sqref="A5:D34">
    <cfRule type="expression" dxfId="162" priority="11">
      <formula>ROW()=CELL("LIN")</formula>
    </cfRule>
    <cfRule type="expression" dxfId="161" priority="12">
      <formula>IF($D5&lt;&gt;"",1,0)</formula>
    </cfRule>
  </conditionalFormatting>
  <conditionalFormatting sqref="G5:G34">
    <cfRule type="iconSet" priority="8">
      <iconSet iconSet="3Symbols">
        <cfvo type="percent" val="0"/>
        <cfvo type="num" val="0.75"/>
        <cfvo type="num" val="0.8"/>
      </iconSet>
    </cfRule>
  </conditionalFormatting>
  <conditionalFormatting sqref="J5:J34">
    <cfRule type="iconSet" priority="7">
      <iconSet iconSet="3Symbols">
        <cfvo type="percent" val="0"/>
        <cfvo type="num" val="0.75"/>
        <cfvo type="num" val="0.8"/>
      </iconSet>
    </cfRule>
  </conditionalFormatting>
  <conditionalFormatting sqref="N5:N34">
    <cfRule type="iconSet" priority="6">
      <iconSet iconSet="3Symbols">
        <cfvo type="percent" val="0"/>
        <cfvo type="num" val="0.75"/>
        <cfvo type="num" val="0.8"/>
      </iconSet>
    </cfRule>
  </conditionalFormatting>
  <conditionalFormatting sqref="Q5:Q34">
    <cfRule type="iconSet" priority="5">
      <iconSet iconSet="3Symbols">
        <cfvo type="percent" val="0"/>
        <cfvo type="num" val="0.75"/>
        <cfvo type="num" val="0.8"/>
      </iconSet>
    </cfRule>
  </conditionalFormatting>
  <conditionalFormatting sqref="U5:U34">
    <cfRule type="iconSet" priority="4">
      <iconSet iconSet="3Symbols">
        <cfvo type="percent" val="0"/>
        <cfvo type="num" val="0.75"/>
        <cfvo type="num" val="0.8"/>
      </iconSet>
    </cfRule>
  </conditionalFormatting>
  <conditionalFormatting sqref="X5:X34">
    <cfRule type="iconSet" priority="3">
      <iconSet iconSet="3Symbols">
        <cfvo type="percent" val="0"/>
        <cfvo type="num" val="0.75"/>
        <cfvo type="num" val="0.8"/>
      </iconSet>
    </cfRule>
  </conditionalFormatting>
  <conditionalFormatting sqref="AB5:AB34">
    <cfRule type="iconSet" priority="2">
      <iconSet iconSet="3Symbols">
        <cfvo type="percent" val="0"/>
        <cfvo type="num" val="0.75"/>
        <cfvo type="num" val="0.8"/>
      </iconSet>
    </cfRule>
  </conditionalFormatting>
  <conditionalFormatting sqref="AE5:AE34">
    <cfRule type="iconSet" priority="1">
      <iconSet iconSet="3Symbols">
        <cfvo type="percent" val="0"/>
        <cfvo type="num" val="0.75"/>
        <cfvo type="num" val="0.8"/>
      </iconSet>
    </cfRule>
  </conditionalFormatting>
  <conditionalFormatting sqref="E5:AE34">
    <cfRule type="expression" dxfId="160" priority="9">
      <formula>ROW()=CELL("LIN")</formula>
    </cfRule>
    <cfRule type="expression" dxfId="159" priority="10">
      <formula>IF($D5&lt;&gt;"",1,0)</formula>
    </cfRule>
  </conditionalFormatting>
  <pageMargins left="0.511811024" right="0.511811024" top="0.78740157499999996" bottom="0.78740157499999996" header="0.31496062000000002" footer="0.31496062000000002"/>
  <pageSetup paperSize="9" scale="54" orientation="landscape" r:id="rId1"/>
  <colBreaks count="2" manualBreakCount="2">
    <brk id="10" max="1048575" man="1"/>
    <brk id="24" max="1048575" man="1"/>
  </colBreaks>
  <drawing r:id="rId2"/>
  <tableParts count="1">
    <tablePart r:id="rId3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870D8-3762-4FB4-95F7-F0422CAA9517}">
  <sheetPr codeName="Plan27">
    <pageSetUpPr fitToPage="1"/>
  </sheetPr>
  <dimension ref="A1:K48"/>
  <sheetViews>
    <sheetView showGridLines="0" showRowColHeaders="0" view="pageBreakPreview" zoomScaleNormal="60" zoomScaleSheetLayoutView="100" zoomScalePageLayoutView="91" workbookViewId="0">
      <selection activeCell="B2" sqref="B2:K2"/>
    </sheetView>
  </sheetViews>
  <sheetFormatPr defaultColWidth="9.140625" defaultRowHeight="15"/>
  <cols>
    <col min="1" max="1" width="19.85546875" style="17" customWidth="1"/>
    <col min="2" max="16384" width="9.140625" style="17"/>
  </cols>
  <sheetData>
    <row r="1" spans="1:11" ht="15.75">
      <c r="A1" s="73" t="s">
        <v>69</v>
      </c>
      <c r="B1" s="92" t="str">
        <f>MENU!C2</f>
        <v>E.M.E.I.E.F. Ficticio</v>
      </c>
      <c r="C1" s="92"/>
      <c r="D1" s="92"/>
      <c r="E1" s="92"/>
      <c r="F1" s="92"/>
      <c r="G1" s="92"/>
      <c r="H1" s="92"/>
      <c r="I1" s="92"/>
      <c r="J1" s="92"/>
      <c r="K1" s="93"/>
    </row>
    <row r="2" spans="1:11" ht="15.75">
      <c r="A2" s="74" t="s">
        <v>71</v>
      </c>
      <c r="B2" s="156" t="s">
        <v>129</v>
      </c>
      <c r="C2" s="95"/>
      <c r="D2" s="95"/>
      <c r="E2" s="95"/>
      <c r="F2" s="95"/>
      <c r="G2" s="95"/>
      <c r="H2" s="95"/>
      <c r="I2" s="95"/>
      <c r="J2" s="95"/>
      <c r="K2" s="96"/>
    </row>
    <row r="3" spans="1:11" ht="15.75">
      <c r="A3" s="74" t="s">
        <v>70</v>
      </c>
      <c r="B3" s="94" t="s">
        <v>8</v>
      </c>
      <c r="C3" s="95"/>
      <c r="D3" s="95"/>
      <c r="E3" s="95"/>
      <c r="F3" s="95"/>
      <c r="G3" s="95"/>
      <c r="H3" s="95"/>
      <c r="I3" s="95"/>
      <c r="J3" s="95"/>
      <c r="K3" s="96"/>
    </row>
    <row r="4" spans="1:11" ht="15.75">
      <c r="A4" s="74" t="s">
        <v>5</v>
      </c>
      <c r="B4" s="94" t="s">
        <v>130</v>
      </c>
      <c r="C4" s="95"/>
      <c r="D4" s="95"/>
      <c r="E4" s="95"/>
      <c r="F4" s="95"/>
      <c r="G4" s="95"/>
      <c r="H4" s="95"/>
      <c r="I4" s="95"/>
      <c r="J4" s="95"/>
      <c r="K4" s="96"/>
    </row>
    <row r="5" spans="1:11" ht="15.75">
      <c r="A5" s="74" t="s">
        <v>73</v>
      </c>
      <c r="B5" s="95"/>
      <c r="C5" s="95"/>
      <c r="D5" s="95"/>
      <c r="E5" s="95"/>
      <c r="F5" s="95"/>
      <c r="G5" s="95"/>
      <c r="H5" s="95"/>
      <c r="I5" s="95"/>
      <c r="J5" s="95"/>
      <c r="K5" s="96"/>
    </row>
    <row r="6" spans="1:11" ht="15.75">
      <c r="A6" s="99" t="s">
        <v>74</v>
      </c>
      <c r="B6" s="100"/>
      <c r="C6" s="100"/>
      <c r="D6" s="95"/>
      <c r="E6" s="95"/>
      <c r="F6" s="95"/>
      <c r="G6" s="95"/>
      <c r="H6" s="95"/>
      <c r="I6" s="95"/>
      <c r="J6" s="95"/>
      <c r="K6" s="96"/>
    </row>
    <row r="7" spans="1:11" ht="16.5" thickBot="1">
      <c r="A7" s="75" t="s">
        <v>72</v>
      </c>
      <c r="B7" s="97">
        <f>MENU!D10</f>
        <v>2022</v>
      </c>
      <c r="C7" s="97"/>
      <c r="D7" s="97"/>
      <c r="E7" s="97"/>
      <c r="F7" s="97"/>
      <c r="G7" s="97"/>
      <c r="H7" s="97"/>
      <c r="I7" s="97"/>
      <c r="J7" s="97"/>
      <c r="K7" s="98"/>
    </row>
    <row r="8" spans="1:11" ht="15.75" thickBot="1"/>
    <row r="9" spans="1:11">
      <c r="A9" s="107" t="s">
        <v>77</v>
      </c>
      <c r="B9" s="108"/>
      <c r="C9" s="108"/>
      <c r="D9" s="108"/>
      <c r="E9" s="108"/>
      <c r="F9" s="108"/>
      <c r="G9" s="108"/>
      <c r="H9" s="108"/>
      <c r="I9" s="108"/>
      <c r="J9" s="108"/>
      <c r="K9" s="109"/>
    </row>
    <row r="10" spans="1:11" ht="15.75" thickBot="1">
      <c r="A10" s="110"/>
      <c r="B10" s="111"/>
      <c r="C10" s="111"/>
      <c r="D10" s="111"/>
      <c r="E10" s="111"/>
      <c r="F10" s="111"/>
      <c r="G10" s="111"/>
      <c r="H10" s="111"/>
      <c r="I10" s="111"/>
      <c r="J10" s="111"/>
      <c r="K10" s="112"/>
    </row>
    <row r="11" spans="1:11" ht="15.75">
      <c r="A11" s="79" t="s">
        <v>9</v>
      </c>
      <c r="B11" s="107" t="s">
        <v>78</v>
      </c>
      <c r="C11" s="108"/>
      <c r="D11" s="108"/>
      <c r="E11" s="109"/>
      <c r="F11" s="107" t="s">
        <v>79</v>
      </c>
      <c r="G11" s="109"/>
      <c r="H11" s="107" t="s">
        <v>80</v>
      </c>
      <c r="I11" s="109"/>
      <c r="J11" s="107" t="s">
        <v>99</v>
      </c>
      <c r="K11" s="109"/>
    </row>
    <row r="12" spans="1:11">
      <c r="A12" s="78">
        <f>IF('4A-B'!A3&lt;&gt;0,'4A-B'!A3,"")</f>
        <v>1</v>
      </c>
      <c r="B12" s="149" t="str">
        <f>IF('4A-B'!B3&lt;&gt;0,'4A-B'!B3,"")</f>
        <v/>
      </c>
      <c r="C12" s="150"/>
      <c r="D12" s="150"/>
      <c r="E12" s="151"/>
      <c r="F12" s="152" t="str">
        <f>IF('4A-B'!G3&lt;&gt;0,'4A-B'!G3,"")</f>
        <v/>
      </c>
      <c r="G12" s="153"/>
      <c r="H12" s="159" t="str">
        <f>IF('4A-B'!C3&lt;&gt;0,'4A-B'!C3,"")</f>
        <v/>
      </c>
      <c r="I12" s="160"/>
      <c r="J12" s="152" t="str">
        <f>IF('4A-B'!D3&lt;&gt;0,'4A-B'!D3,"")</f>
        <v/>
      </c>
      <c r="K12" s="155"/>
    </row>
    <row r="13" spans="1:11">
      <c r="A13" s="78">
        <f>IF('4A-B'!A4&lt;&gt;0,'4A-B'!A4,"")</f>
        <v>2</v>
      </c>
      <c r="B13" s="149" t="str">
        <f>IF('4A-B'!B4&lt;&gt;0,'4A-B'!B4,"")</f>
        <v/>
      </c>
      <c r="C13" s="150"/>
      <c r="D13" s="150"/>
      <c r="E13" s="151"/>
      <c r="F13" s="152" t="str">
        <f>IF('4A-B'!G4&lt;&gt;0,'4A-B'!G4,"")</f>
        <v/>
      </c>
      <c r="G13" s="153"/>
      <c r="H13" s="159" t="str">
        <f>IF('4A-B'!C4&lt;&gt;0,'4A-B'!C4,"")</f>
        <v/>
      </c>
      <c r="I13" s="160"/>
      <c r="J13" s="152" t="str">
        <f>IF('4A-B'!D4&lt;&gt;0,'4A-B'!D4,"")</f>
        <v/>
      </c>
      <c r="K13" s="155"/>
    </row>
    <row r="14" spans="1:11">
      <c r="A14" s="78">
        <f>IF('4A-B'!A5&lt;&gt;0,'4A-B'!A5,"")</f>
        <v>3</v>
      </c>
      <c r="B14" s="149" t="str">
        <f>IF('4A-B'!B5&lt;&gt;0,'4A-B'!B5,"")</f>
        <v/>
      </c>
      <c r="C14" s="150"/>
      <c r="D14" s="150"/>
      <c r="E14" s="151"/>
      <c r="F14" s="152" t="str">
        <f>IF('4A-B'!G5&lt;&gt;0,'4A-B'!G5,"")</f>
        <v/>
      </c>
      <c r="G14" s="153"/>
      <c r="H14" s="159" t="str">
        <f>IF('4A-B'!C5&lt;&gt;0,'4A-B'!C5,"")</f>
        <v/>
      </c>
      <c r="I14" s="160"/>
      <c r="J14" s="152" t="str">
        <f>IF('4A-B'!D5&lt;&gt;0,'4A-B'!D5,"")</f>
        <v/>
      </c>
      <c r="K14" s="155"/>
    </row>
    <row r="15" spans="1:11">
      <c r="A15" s="78">
        <f>IF('4A-B'!A6&lt;&gt;0,'4A-B'!A6,"")</f>
        <v>4</v>
      </c>
      <c r="B15" s="149" t="str">
        <f>IF('4A-B'!B6&lt;&gt;0,'4A-B'!B6,"")</f>
        <v/>
      </c>
      <c r="C15" s="150"/>
      <c r="D15" s="150"/>
      <c r="E15" s="151"/>
      <c r="F15" s="152" t="str">
        <f>IF('4A-B'!G6&lt;&gt;0,'4A-B'!G6,"")</f>
        <v/>
      </c>
      <c r="G15" s="153"/>
      <c r="H15" s="159" t="str">
        <f>IF('4A-B'!C6&lt;&gt;0,'4A-B'!C6,"")</f>
        <v/>
      </c>
      <c r="I15" s="160"/>
      <c r="J15" s="152" t="str">
        <f>IF('4A-B'!D6&lt;&gt;0,'4A-B'!D6,"")</f>
        <v/>
      </c>
      <c r="K15" s="155"/>
    </row>
    <row r="16" spans="1:11">
      <c r="A16" s="78">
        <f>IF('4A-B'!A7&lt;&gt;0,'4A-B'!A7,"")</f>
        <v>5</v>
      </c>
      <c r="B16" s="149" t="str">
        <f>IF('4A-B'!B7&lt;&gt;0,'4A-B'!B7,"")</f>
        <v/>
      </c>
      <c r="C16" s="150"/>
      <c r="D16" s="150"/>
      <c r="E16" s="151"/>
      <c r="F16" s="152" t="str">
        <f>IF('4A-B'!G7&lt;&gt;0,'4A-B'!G7,"")</f>
        <v/>
      </c>
      <c r="G16" s="153"/>
      <c r="H16" s="159" t="str">
        <f>IF('4A-B'!C7&lt;&gt;0,'4A-B'!C7,"")</f>
        <v/>
      </c>
      <c r="I16" s="160"/>
      <c r="J16" s="152" t="str">
        <f>IF('4A-B'!D7&lt;&gt;0,'4A-B'!D7,"")</f>
        <v/>
      </c>
      <c r="K16" s="155"/>
    </row>
    <row r="17" spans="1:11">
      <c r="A17" s="78">
        <f>IF('4A-B'!A8&lt;&gt;0,'4A-B'!A8,"")</f>
        <v>6</v>
      </c>
      <c r="B17" s="149" t="str">
        <f>IF('4A-B'!B8&lt;&gt;0,'4A-B'!B8,"")</f>
        <v/>
      </c>
      <c r="C17" s="150"/>
      <c r="D17" s="150"/>
      <c r="E17" s="151"/>
      <c r="F17" s="152" t="str">
        <f>IF('4A-B'!G8&lt;&gt;0,'4A-B'!G8,"")</f>
        <v/>
      </c>
      <c r="G17" s="153"/>
      <c r="H17" s="159" t="str">
        <f>IF('4A-B'!C8&lt;&gt;0,'4A-B'!C8,"")</f>
        <v/>
      </c>
      <c r="I17" s="160"/>
      <c r="J17" s="152" t="str">
        <f>IF('4A-B'!D8&lt;&gt;0,'4A-B'!D8,"")</f>
        <v/>
      </c>
      <c r="K17" s="155"/>
    </row>
    <row r="18" spans="1:11">
      <c r="A18" s="78">
        <f>IF('4A-B'!A9&lt;&gt;0,'4A-B'!A9,"")</f>
        <v>7</v>
      </c>
      <c r="B18" s="149" t="str">
        <f>IF('4A-B'!B9&lt;&gt;0,'4A-B'!B9,"")</f>
        <v/>
      </c>
      <c r="C18" s="150"/>
      <c r="D18" s="150"/>
      <c r="E18" s="151"/>
      <c r="F18" s="152" t="str">
        <f>IF('4A-B'!G9&lt;&gt;0,'4A-B'!G9,"")</f>
        <v/>
      </c>
      <c r="G18" s="153"/>
      <c r="H18" s="159" t="str">
        <f>IF('4A-B'!C9&lt;&gt;0,'4A-B'!C9,"")</f>
        <v/>
      </c>
      <c r="I18" s="160"/>
      <c r="J18" s="152" t="str">
        <f>IF('4A-B'!D9&lt;&gt;0,'4A-B'!D9,"")</f>
        <v/>
      </c>
      <c r="K18" s="155"/>
    </row>
    <row r="19" spans="1:11">
      <c r="A19" s="78">
        <f>IF('4A-B'!A10&lt;&gt;0,'4A-B'!A10,"")</f>
        <v>8</v>
      </c>
      <c r="B19" s="149" t="str">
        <f>IF('4A-B'!B10&lt;&gt;0,'4A-B'!B10,"")</f>
        <v/>
      </c>
      <c r="C19" s="150"/>
      <c r="D19" s="150"/>
      <c r="E19" s="151"/>
      <c r="F19" s="152" t="str">
        <f>IF('4A-B'!G10&lt;&gt;0,'4A-B'!G10,"")</f>
        <v/>
      </c>
      <c r="G19" s="153"/>
      <c r="H19" s="159" t="str">
        <f>IF('4A-B'!C10&lt;&gt;0,'4A-B'!C10,"")</f>
        <v/>
      </c>
      <c r="I19" s="160"/>
      <c r="J19" s="152" t="str">
        <f>IF('4A-B'!D10&lt;&gt;0,'4A-B'!D10,"")</f>
        <v/>
      </c>
      <c r="K19" s="155"/>
    </row>
    <row r="20" spans="1:11">
      <c r="A20" s="78">
        <f>IF('4A-B'!A11&lt;&gt;0,'4A-B'!A11,"")</f>
        <v>9</v>
      </c>
      <c r="B20" s="149" t="str">
        <f>IF('4A-B'!B11&lt;&gt;0,'4A-B'!B11,"")</f>
        <v/>
      </c>
      <c r="C20" s="150"/>
      <c r="D20" s="150"/>
      <c r="E20" s="151"/>
      <c r="F20" s="152" t="str">
        <f>IF('4A-B'!G11&lt;&gt;0,'4A-B'!G11,"")</f>
        <v/>
      </c>
      <c r="G20" s="153"/>
      <c r="H20" s="159" t="str">
        <f>IF('4A-B'!C11&lt;&gt;0,'4A-B'!C11,"")</f>
        <v/>
      </c>
      <c r="I20" s="160"/>
      <c r="J20" s="152" t="str">
        <f>IF('4A-B'!D11&lt;&gt;0,'4A-B'!D11,"")</f>
        <v/>
      </c>
      <c r="K20" s="155"/>
    </row>
    <row r="21" spans="1:11">
      <c r="A21" s="78">
        <f>IF('4A-B'!A12&lt;&gt;0,'4A-B'!A12,"")</f>
        <v>10</v>
      </c>
      <c r="B21" s="149" t="str">
        <f>IF('4A-B'!B12&lt;&gt;0,'4A-B'!B12,"")</f>
        <v/>
      </c>
      <c r="C21" s="150"/>
      <c r="D21" s="150"/>
      <c r="E21" s="151"/>
      <c r="F21" s="152" t="str">
        <f>IF('4A-B'!G12&lt;&gt;0,'4A-B'!G12,"")</f>
        <v/>
      </c>
      <c r="G21" s="153"/>
      <c r="H21" s="159" t="str">
        <f>IF('4A-B'!C12&lt;&gt;0,'4A-B'!C12,"")</f>
        <v/>
      </c>
      <c r="I21" s="160"/>
      <c r="J21" s="152" t="str">
        <f>IF('4A-B'!D12&lt;&gt;0,'4A-B'!D12,"")</f>
        <v/>
      </c>
      <c r="K21" s="155"/>
    </row>
    <row r="22" spans="1:11">
      <c r="A22" s="78">
        <f>IF('4A-B'!A13&lt;&gt;0,'4A-B'!A13,"")</f>
        <v>11</v>
      </c>
      <c r="B22" s="149" t="str">
        <f>IF('4A-B'!B13&lt;&gt;0,'4A-B'!B13,"")</f>
        <v/>
      </c>
      <c r="C22" s="150"/>
      <c r="D22" s="150"/>
      <c r="E22" s="151"/>
      <c r="F22" s="152" t="str">
        <f>IF('4A-B'!G13&lt;&gt;0,'4A-B'!G13,"")</f>
        <v/>
      </c>
      <c r="G22" s="153"/>
      <c r="H22" s="159" t="str">
        <f>IF('4A-B'!C13&lt;&gt;0,'4A-B'!C13,"")</f>
        <v/>
      </c>
      <c r="I22" s="160"/>
      <c r="J22" s="152" t="str">
        <f>IF('4A-B'!D13&lt;&gt;0,'4A-B'!D13,"")</f>
        <v/>
      </c>
      <c r="K22" s="155"/>
    </row>
    <row r="23" spans="1:11">
      <c r="A23" s="78">
        <f>IF('4A-B'!A14&lt;&gt;0,'4A-B'!A14,"")</f>
        <v>12</v>
      </c>
      <c r="B23" s="149" t="str">
        <f>IF('4A-B'!B14&lt;&gt;0,'4A-B'!B14,"")</f>
        <v/>
      </c>
      <c r="C23" s="150"/>
      <c r="D23" s="150"/>
      <c r="E23" s="151"/>
      <c r="F23" s="152" t="str">
        <f>IF('4A-B'!G14&lt;&gt;0,'4A-B'!G14,"")</f>
        <v/>
      </c>
      <c r="G23" s="153"/>
      <c r="H23" s="159" t="str">
        <f>IF('4A-B'!C14&lt;&gt;0,'4A-B'!C14,"")</f>
        <v/>
      </c>
      <c r="I23" s="160"/>
      <c r="J23" s="152" t="str">
        <f>IF('4A-B'!D14&lt;&gt;0,'4A-B'!D14,"")</f>
        <v/>
      </c>
      <c r="K23" s="155"/>
    </row>
    <row r="24" spans="1:11">
      <c r="A24" s="78">
        <f>IF('4A-B'!A15&lt;&gt;0,'4A-B'!A15,"")</f>
        <v>13</v>
      </c>
      <c r="B24" s="149" t="str">
        <f>IF('4A-B'!B15&lt;&gt;0,'4A-B'!B15,"")</f>
        <v/>
      </c>
      <c r="C24" s="150"/>
      <c r="D24" s="150"/>
      <c r="E24" s="151"/>
      <c r="F24" s="152" t="str">
        <f>IF('4A-B'!G15&lt;&gt;0,'4A-B'!G15,"")</f>
        <v/>
      </c>
      <c r="G24" s="153"/>
      <c r="H24" s="159" t="str">
        <f>IF('4A-B'!C15&lt;&gt;0,'4A-B'!C15,"")</f>
        <v/>
      </c>
      <c r="I24" s="160"/>
      <c r="J24" s="152" t="str">
        <f>IF('4A-B'!D15&lt;&gt;0,'4A-B'!D15,"")</f>
        <v/>
      </c>
      <c r="K24" s="155"/>
    </row>
    <row r="25" spans="1:11">
      <c r="A25" s="78">
        <f>IF('4A-B'!A16&lt;&gt;0,'4A-B'!A16,"")</f>
        <v>14</v>
      </c>
      <c r="B25" s="149" t="str">
        <f>IF('4A-B'!B16&lt;&gt;0,'4A-B'!B16,"")</f>
        <v/>
      </c>
      <c r="C25" s="150"/>
      <c r="D25" s="150"/>
      <c r="E25" s="151"/>
      <c r="F25" s="152" t="str">
        <f>IF('4A-B'!G16&lt;&gt;0,'4A-B'!G16,"")</f>
        <v/>
      </c>
      <c r="G25" s="153"/>
      <c r="H25" s="159" t="str">
        <f>IF('4A-B'!C16&lt;&gt;0,'4A-B'!C16,"")</f>
        <v/>
      </c>
      <c r="I25" s="160"/>
      <c r="J25" s="152" t="str">
        <f>IF('4A-B'!D16&lt;&gt;0,'4A-B'!D16,"")</f>
        <v/>
      </c>
      <c r="K25" s="155"/>
    </row>
    <row r="26" spans="1:11">
      <c r="A26" s="78">
        <f>IF('4A-B'!A17&lt;&gt;0,'4A-B'!A17,"")</f>
        <v>15</v>
      </c>
      <c r="B26" s="149" t="str">
        <f>IF('4A-B'!B17&lt;&gt;0,'4A-B'!B17,"")</f>
        <v/>
      </c>
      <c r="C26" s="150"/>
      <c r="D26" s="150"/>
      <c r="E26" s="151"/>
      <c r="F26" s="152" t="str">
        <f>IF('4A-B'!G17&lt;&gt;0,'4A-B'!G17,"")</f>
        <v/>
      </c>
      <c r="G26" s="153"/>
      <c r="H26" s="159" t="str">
        <f>IF('4A-B'!C17&lt;&gt;0,'4A-B'!C17,"")</f>
        <v/>
      </c>
      <c r="I26" s="160"/>
      <c r="J26" s="152" t="str">
        <f>IF('4A-B'!D17&lt;&gt;0,'4A-B'!D17,"")</f>
        <v/>
      </c>
      <c r="K26" s="155"/>
    </row>
    <row r="27" spans="1:11">
      <c r="A27" s="78">
        <f>IF('4A-B'!A18&lt;&gt;0,'4A-B'!A18,"")</f>
        <v>16</v>
      </c>
      <c r="B27" s="149" t="str">
        <f>IF('4A-B'!B18&lt;&gt;0,'4A-B'!B18,"")</f>
        <v/>
      </c>
      <c r="C27" s="150"/>
      <c r="D27" s="150"/>
      <c r="E27" s="151"/>
      <c r="F27" s="152" t="str">
        <f>IF('4A-B'!G18&lt;&gt;0,'4A-B'!G18,"")</f>
        <v/>
      </c>
      <c r="G27" s="153"/>
      <c r="H27" s="159" t="str">
        <f>IF('4A-B'!C18&lt;&gt;0,'4A-B'!C18,"")</f>
        <v/>
      </c>
      <c r="I27" s="160"/>
      <c r="J27" s="152" t="str">
        <f>IF('4A-B'!D18&lt;&gt;0,'4A-B'!D18,"")</f>
        <v/>
      </c>
      <c r="K27" s="155"/>
    </row>
    <row r="28" spans="1:11">
      <c r="A28" s="78">
        <f>IF('4A-B'!A19&lt;&gt;0,'4A-B'!A19,"")</f>
        <v>17</v>
      </c>
      <c r="B28" s="149" t="str">
        <f>IF('4A-B'!B19&lt;&gt;0,'4A-B'!B19,"")</f>
        <v/>
      </c>
      <c r="C28" s="150"/>
      <c r="D28" s="150"/>
      <c r="E28" s="151"/>
      <c r="F28" s="152" t="str">
        <f>IF('4A-B'!G19&lt;&gt;0,'4A-B'!G19,"")</f>
        <v/>
      </c>
      <c r="G28" s="153"/>
      <c r="H28" s="159" t="str">
        <f>IF('4A-B'!C19&lt;&gt;0,'4A-B'!C19,"")</f>
        <v/>
      </c>
      <c r="I28" s="160"/>
      <c r="J28" s="152" t="str">
        <f>IF('4A-B'!D19&lt;&gt;0,'4A-B'!D19,"")</f>
        <v/>
      </c>
      <c r="K28" s="155"/>
    </row>
    <row r="29" spans="1:11">
      <c r="A29" s="78">
        <f>IF('4A-B'!A20&lt;&gt;0,'4A-B'!A20,"")</f>
        <v>18</v>
      </c>
      <c r="B29" s="149" t="str">
        <f>IF('4A-B'!B20&lt;&gt;0,'4A-B'!B20,"")</f>
        <v/>
      </c>
      <c r="C29" s="150"/>
      <c r="D29" s="150"/>
      <c r="E29" s="151"/>
      <c r="F29" s="152" t="str">
        <f>IF('4A-B'!G20&lt;&gt;0,'4A-B'!G20,"")</f>
        <v/>
      </c>
      <c r="G29" s="153"/>
      <c r="H29" s="159" t="str">
        <f>IF('4A-B'!C20&lt;&gt;0,'4A-B'!C20,"")</f>
        <v/>
      </c>
      <c r="I29" s="160"/>
      <c r="J29" s="152" t="str">
        <f>IF('4A-B'!D20&lt;&gt;0,'4A-B'!D20,"")</f>
        <v/>
      </c>
      <c r="K29" s="155"/>
    </row>
    <row r="30" spans="1:11">
      <c r="A30" s="78">
        <f>IF('4A-B'!A21&lt;&gt;0,'4A-B'!A21,"")</f>
        <v>19</v>
      </c>
      <c r="B30" s="149" t="str">
        <f>IF('4A-B'!B21&lt;&gt;0,'4A-B'!B21,"")</f>
        <v/>
      </c>
      <c r="C30" s="150"/>
      <c r="D30" s="150"/>
      <c r="E30" s="151"/>
      <c r="F30" s="152" t="str">
        <f>IF('4A-B'!G21&lt;&gt;0,'4A-B'!G21,"")</f>
        <v/>
      </c>
      <c r="G30" s="153"/>
      <c r="H30" s="159" t="str">
        <f>IF('4A-B'!C21&lt;&gt;0,'4A-B'!C21,"")</f>
        <v/>
      </c>
      <c r="I30" s="160"/>
      <c r="J30" s="152" t="str">
        <f>IF('4A-B'!D21&lt;&gt;0,'4A-B'!D21,"")</f>
        <v/>
      </c>
      <c r="K30" s="155"/>
    </row>
    <row r="31" spans="1:11">
      <c r="A31" s="78">
        <f>IF('4A-B'!A22&lt;&gt;0,'4A-B'!A22,"")</f>
        <v>20</v>
      </c>
      <c r="B31" s="149" t="str">
        <f>IF('4A-B'!B22&lt;&gt;0,'4A-B'!B22,"")</f>
        <v/>
      </c>
      <c r="C31" s="150"/>
      <c r="D31" s="150"/>
      <c r="E31" s="151"/>
      <c r="F31" s="152" t="str">
        <f>IF('4A-B'!G22&lt;&gt;0,'4A-B'!G22,"")</f>
        <v/>
      </c>
      <c r="G31" s="153"/>
      <c r="H31" s="159" t="str">
        <f>IF('4A-B'!C22&lt;&gt;0,'4A-B'!C22,"")</f>
        <v/>
      </c>
      <c r="I31" s="160"/>
      <c r="J31" s="152" t="str">
        <f>IF('4A-B'!D22&lt;&gt;0,'4A-B'!D22,"")</f>
        <v/>
      </c>
      <c r="K31" s="155"/>
    </row>
    <row r="32" spans="1:11">
      <c r="A32" s="78">
        <f>IF('4A-B'!A23&lt;&gt;0,'4A-B'!A23,"")</f>
        <v>21</v>
      </c>
      <c r="B32" s="149" t="str">
        <f>IF('4A-B'!B23&lt;&gt;0,'4A-B'!B23,"")</f>
        <v/>
      </c>
      <c r="C32" s="150"/>
      <c r="D32" s="150"/>
      <c r="E32" s="151"/>
      <c r="F32" s="152" t="str">
        <f>IF('4A-B'!G23&lt;&gt;0,'4A-B'!G23,"")</f>
        <v/>
      </c>
      <c r="G32" s="153"/>
      <c r="H32" s="159" t="str">
        <f>IF('4A-B'!C23&lt;&gt;0,'4A-B'!C23,"")</f>
        <v/>
      </c>
      <c r="I32" s="160"/>
      <c r="J32" s="152" t="str">
        <f>IF('4A-B'!D23&lt;&gt;0,'4A-B'!D23,"")</f>
        <v/>
      </c>
      <c r="K32" s="155"/>
    </row>
    <row r="33" spans="1:11">
      <c r="A33" s="78">
        <f>IF('4A-B'!A24&lt;&gt;0,'4A-B'!A24,"")</f>
        <v>22</v>
      </c>
      <c r="B33" s="149" t="str">
        <f>IF('4A-B'!B24&lt;&gt;0,'4A-B'!B24,"")</f>
        <v/>
      </c>
      <c r="C33" s="150"/>
      <c r="D33" s="150"/>
      <c r="E33" s="151"/>
      <c r="F33" s="152" t="str">
        <f>IF('4A-B'!G24&lt;&gt;0,'4A-B'!G24,"")</f>
        <v/>
      </c>
      <c r="G33" s="153"/>
      <c r="H33" s="159" t="str">
        <f>IF('4A-B'!C24&lt;&gt;0,'4A-B'!C24,"")</f>
        <v/>
      </c>
      <c r="I33" s="160"/>
      <c r="J33" s="152" t="str">
        <f>IF('4A-B'!D24&lt;&gt;0,'4A-B'!D24,"")</f>
        <v/>
      </c>
      <c r="K33" s="155"/>
    </row>
    <row r="34" spans="1:11">
      <c r="A34" s="78">
        <f>IF('4A-B'!A25&lt;&gt;0,'4A-B'!A25,"")</f>
        <v>23</v>
      </c>
      <c r="B34" s="149" t="str">
        <f>IF('4A-B'!B25&lt;&gt;0,'4A-B'!B25,"")</f>
        <v/>
      </c>
      <c r="C34" s="150"/>
      <c r="D34" s="150"/>
      <c r="E34" s="151"/>
      <c r="F34" s="152" t="str">
        <f>IF('4A-B'!G25&lt;&gt;0,'4A-B'!G25,"")</f>
        <v/>
      </c>
      <c r="G34" s="153"/>
      <c r="H34" s="159" t="str">
        <f>IF('4A-B'!C25&lt;&gt;0,'4A-B'!C25,"")</f>
        <v/>
      </c>
      <c r="I34" s="160"/>
      <c r="J34" s="152" t="str">
        <f>IF('4A-B'!D25&lt;&gt;0,'4A-B'!D25,"")</f>
        <v/>
      </c>
      <c r="K34" s="155"/>
    </row>
    <row r="35" spans="1:11">
      <c r="A35" s="78">
        <f>IF('4A-B'!A26&lt;&gt;0,'4A-B'!A26,"")</f>
        <v>24</v>
      </c>
      <c r="B35" s="149" t="str">
        <f>IF('4A-B'!B26&lt;&gt;0,'4A-B'!B26,"")</f>
        <v/>
      </c>
      <c r="C35" s="150"/>
      <c r="D35" s="150"/>
      <c r="E35" s="151"/>
      <c r="F35" s="152" t="str">
        <f>IF('4A-B'!G26&lt;&gt;0,'4A-B'!G26,"")</f>
        <v/>
      </c>
      <c r="G35" s="153"/>
      <c r="H35" s="159" t="str">
        <f>IF('4A-B'!C26&lt;&gt;0,'4A-B'!C26,"")</f>
        <v/>
      </c>
      <c r="I35" s="160"/>
      <c r="J35" s="152" t="str">
        <f>IF('4A-B'!D26&lt;&gt;0,'4A-B'!D26,"")</f>
        <v/>
      </c>
      <c r="K35" s="155"/>
    </row>
    <row r="36" spans="1:11">
      <c r="A36" s="78">
        <f>IF('4A-B'!A27&lt;&gt;0,'4A-B'!A27,"")</f>
        <v>25</v>
      </c>
      <c r="B36" s="149" t="str">
        <f>IF('4A-B'!B27&lt;&gt;0,'4A-B'!B27,"")</f>
        <v/>
      </c>
      <c r="C36" s="150"/>
      <c r="D36" s="150"/>
      <c r="E36" s="151"/>
      <c r="F36" s="152" t="str">
        <f>IF('4A-B'!G27&lt;&gt;0,'4A-B'!G27,"")</f>
        <v/>
      </c>
      <c r="G36" s="153"/>
      <c r="H36" s="159" t="str">
        <f>IF('4A-B'!C27&lt;&gt;0,'4A-B'!C27,"")</f>
        <v/>
      </c>
      <c r="I36" s="160"/>
      <c r="J36" s="152" t="str">
        <f>IF('4A-B'!D27&lt;&gt;0,'4A-B'!D27,"")</f>
        <v/>
      </c>
      <c r="K36" s="155"/>
    </row>
    <row r="37" spans="1:11">
      <c r="A37" s="78">
        <f>IF('4A-B'!A28&lt;&gt;0,'4A-B'!A28,"")</f>
        <v>26</v>
      </c>
      <c r="B37" s="149" t="str">
        <f>IF('4A-B'!B28&lt;&gt;0,'4A-B'!B28,"")</f>
        <v/>
      </c>
      <c r="C37" s="150"/>
      <c r="D37" s="150"/>
      <c r="E37" s="151"/>
      <c r="F37" s="152" t="str">
        <f>IF('4A-B'!G28&lt;&gt;0,'4A-B'!G28,"")</f>
        <v/>
      </c>
      <c r="G37" s="153"/>
      <c r="H37" s="159" t="str">
        <f>IF('4A-B'!C28&lt;&gt;0,'4A-B'!C28,"")</f>
        <v/>
      </c>
      <c r="I37" s="160"/>
      <c r="J37" s="152" t="str">
        <f>IF('4A-B'!D28&lt;&gt;0,'4A-B'!D28,"")</f>
        <v/>
      </c>
      <c r="K37" s="155"/>
    </row>
    <row r="38" spans="1:11">
      <c r="A38" s="78">
        <f>IF('4A-B'!A29&lt;&gt;0,'4A-B'!A29,"")</f>
        <v>27</v>
      </c>
      <c r="B38" s="149" t="str">
        <f>IF('4A-B'!B29&lt;&gt;0,'4A-B'!B29,"")</f>
        <v/>
      </c>
      <c r="C38" s="150"/>
      <c r="D38" s="150"/>
      <c r="E38" s="151"/>
      <c r="F38" s="152" t="str">
        <f>IF('4A-B'!G29&lt;&gt;0,'4A-B'!G29,"")</f>
        <v/>
      </c>
      <c r="G38" s="153"/>
      <c r="H38" s="159" t="str">
        <f>IF('4A-B'!C29&lt;&gt;0,'4A-B'!C29,"")</f>
        <v/>
      </c>
      <c r="I38" s="160"/>
      <c r="J38" s="152" t="str">
        <f>IF('4A-B'!D29&lt;&gt;0,'4A-B'!D29,"")</f>
        <v/>
      </c>
      <c r="K38" s="155"/>
    </row>
    <row r="39" spans="1:11">
      <c r="A39" s="78">
        <f>IF('4A-B'!A30&lt;&gt;0,'4A-B'!A30,"")</f>
        <v>28</v>
      </c>
      <c r="B39" s="149" t="str">
        <f>IF('4A-B'!B30&lt;&gt;0,'4A-B'!B30,"")</f>
        <v/>
      </c>
      <c r="C39" s="150"/>
      <c r="D39" s="150"/>
      <c r="E39" s="151"/>
      <c r="F39" s="152" t="str">
        <f>IF('4A-B'!G30&lt;&gt;0,'4A-B'!G30,"")</f>
        <v/>
      </c>
      <c r="G39" s="153"/>
      <c r="H39" s="159" t="str">
        <f>IF('4A-B'!C30&lt;&gt;0,'4A-B'!C30,"")</f>
        <v/>
      </c>
      <c r="I39" s="160"/>
      <c r="J39" s="152" t="str">
        <f>IF('4A-B'!D30&lt;&gt;0,'4A-B'!D30,"")</f>
        <v/>
      </c>
      <c r="K39" s="155"/>
    </row>
    <row r="40" spans="1:11">
      <c r="A40" s="78">
        <f>IF('4A-B'!A31&lt;&gt;0,'4A-B'!A31,"")</f>
        <v>29</v>
      </c>
      <c r="B40" s="149" t="str">
        <f>IF('4A-B'!B31&lt;&gt;0,'4A-B'!B31,"")</f>
        <v/>
      </c>
      <c r="C40" s="150"/>
      <c r="D40" s="150"/>
      <c r="E40" s="151"/>
      <c r="F40" s="152" t="str">
        <f>IF('4A-B'!G31&lt;&gt;0,'4A-B'!G31,"")</f>
        <v/>
      </c>
      <c r="G40" s="153"/>
      <c r="H40" s="159" t="str">
        <f>IF('4A-B'!C31&lt;&gt;0,'4A-B'!C31,"")</f>
        <v/>
      </c>
      <c r="I40" s="160"/>
      <c r="J40" s="152" t="str">
        <f>IF('4A-B'!D31&lt;&gt;0,'4A-B'!D31,"")</f>
        <v/>
      </c>
      <c r="K40" s="155"/>
    </row>
    <row r="41" spans="1:11" ht="15.75" thickBot="1">
      <c r="A41" s="80">
        <f>IF('4A-B'!A32&lt;&gt;0,'4A-B'!A32,"")</f>
        <v>30</v>
      </c>
      <c r="B41" s="142" t="str">
        <f>IF('4A-B'!B32&lt;&gt;0,'4A-B'!B32,"")</f>
        <v/>
      </c>
      <c r="C41" s="143"/>
      <c r="D41" s="143"/>
      <c r="E41" s="144"/>
      <c r="F41" s="145" t="str">
        <f>IF('4A-B'!G32&lt;&gt;0,'4A-B'!G32,"")</f>
        <v/>
      </c>
      <c r="G41" s="146"/>
      <c r="H41" s="157" t="str">
        <f>IF('4A-B'!C32&lt;&gt;0,'4A-B'!C32,"")</f>
        <v/>
      </c>
      <c r="I41" s="158"/>
      <c r="J41" s="145" t="str">
        <f>IF('4A-B'!D32&lt;&gt;0,'4A-B'!D32,"")</f>
        <v/>
      </c>
      <c r="K41" s="148"/>
    </row>
    <row r="43" spans="1:11" ht="15.75">
      <c r="A43" s="119" t="s">
        <v>81</v>
      </c>
      <c r="B43" s="119"/>
      <c r="C43" s="119"/>
      <c r="D43" s="119"/>
      <c r="E43" s="120">
        <f>'4A-B'!U4</f>
        <v>0</v>
      </c>
      <c r="F43" s="120"/>
    </row>
    <row r="44" spans="1:11">
      <c r="A44" s="66" t="s">
        <v>125</v>
      </c>
      <c r="E44" s="122">
        <f ca="1">'4A-B'!Q3</f>
        <v>0</v>
      </c>
      <c r="F44" s="122"/>
    </row>
    <row r="45" spans="1:11">
      <c r="A45" s="66" t="s">
        <v>126</v>
      </c>
      <c r="E45" s="122">
        <f ca="1">'4A-B'!R3</f>
        <v>0</v>
      </c>
      <c r="F45" s="122"/>
    </row>
    <row r="48" spans="1:11">
      <c r="A48" s="66" t="s">
        <v>84</v>
      </c>
      <c r="C48" s="121">
        <f ca="1">TODAY()</f>
        <v>44871</v>
      </c>
      <c r="D48" s="122"/>
      <c r="E48" s="122"/>
    </row>
  </sheetData>
  <sheetProtection algorithmName="SHA-512" hashValue="GCftqpZA6+Iaaebquhqvxm9jMaXNwQRq3Tz0JPcOAYBAVeo1cVmF1W0OyKdCKQpJPd2eMBt1wtmrRTAtnDuRQg==" saltValue="aKZkgBMfRvVa/iwCpBTu2Q==" spinCount="100000" sheet="1" objects="1" scenarios="1" selectLockedCells="1"/>
  <mergeCells count="138">
    <mergeCell ref="A43:D43"/>
    <mergeCell ref="E43:F43"/>
    <mergeCell ref="E44:F44"/>
    <mergeCell ref="E45:F45"/>
    <mergeCell ref="C48:E48"/>
    <mergeCell ref="B40:E40"/>
    <mergeCell ref="F40:G40"/>
    <mergeCell ref="H40:I40"/>
    <mergeCell ref="J40:K40"/>
    <mergeCell ref="B41:E41"/>
    <mergeCell ref="F41:G41"/>
    <mergeCell ref="H41:I41"/>
    <mergeCell ref="J41:K41"/>
    <mergeCell ref="B38:E38"/>
    <mergeCell ref="F38:G38"/>
    <mergeCell ref="H38:I38"/>
    <mergeCell ref="J38:K38"/>
    <mergeCell ref="B39:E39"/>
    <mergeCell ref="F39:G39"/>
    <mergeCell ref="H39:I39"/>
    <mergeCell ref="J39:K39"/>
    <mergeCell ref="B36:E36"/>
    <mergeCell ref="F36:G36"/>
    <mergeCell ref="H36:I36"/>
    <mergeCell ref="J36:K36"/>
    <mergeCell ref="B37:E37"/>
    <mergeCell ref="F37:G37"/>
    <mergeCell ref="H37:I37"/>
    <mergeCell ref="J37:K37"/>
    <mergeCell ref="B34:E34"/>
    <mergeCell ref="F34:G34"/>
    <mergeCell ref="H34:I34"/>
    <mergeCell ref="J34:K34"/>
    <mergeCell ref="B35:E35"/>
    <mergeCell ref="F35:G35"/>
    <mergeCell ref="H35:I35"/>
    <mergeCell ref="J35:K35"/>
    <mergeCell ref="B32:E32"/>
    <mergeCell ref="F32:G32"/>
    <mergeCell ref="H32:I32"/>
    <mergeCell ref="J32:K32"/>
    <mergeCell ref="B33:E33"/>
    <mergeCell ref="F33:G33"/>
    <mergeCell ref="H33:I33"/>
    <mergeCell ref="J33:K33"/>
    <mergeCell ref="B30:E30"/>
    <mergeCell ref="F30:G30"/>
    <mergeCell ref="H30:I30"/>
    <mergeCell ref="J30:K30"/>
    <mergeCell ref="B31:E31"/>
    <mergeCell ref="F31:G31"/>
    <mergeCell ref="H31:I31"/>
    <mergeCell ref="J31:K31"/>
    <mergeCell ref="B28:E28"/>
    <mergeCell ref="F28:G28"/>
    <mergeCell ref="H28:I28"/>
    <mergeCell ref="J28:K28"/>
    <mergeCell ref="B29:E29"/>
    <mergeCell ref="F29:G29"/>
    <mergeCell ref="H29:I29"/>
    <mergeCell ref="J29:K29"/>
    <mergeCell ref="B26:E26"/>
    <mergeCell ref="F26:G26"/>
    <mergeCell ref="H26:I26"/>
    <mergeCell ref="J26:K26"/>
    <mergeCell ref="B27:E27"/>
    <mergeCell ref="F27:G27"/>
    <mergeCell ref="H27:I27"/>
    <mergeCell ref="J27:K27"/>
    <mergeCell ref="B24:E24"/>
    <mergeCell ref="F24:G24"/>
    <mergeCell ref="H24:I24"/>
    <mergeCell ref="J24:K24"/>
    <mergeCell ref="B25:E25"/>
    <mergeCell ref="F25:G25"/>
    <mergeCell ref="H25:I25"/>
    <mergeCell ref="J25:K25"/>
    <mergeCell ref="B22:E22"/>
    <mergeCell ref="F22:G22"/>
    <mergeCell ref="H22:I22"/>
    <mergeCell ref="J22:K22"/>
    <mergeCell ref="B23:E23"/>
    <mergeCell ref="F23:G23"/>
    <mergeCell ref="H23:I23"/>
    <mergeCell ref="J23:K23"/>
    <mergeCell ref="B20:E20"/>
    <mergeCell ref="F20:G20"/>
    <mergeCell ref="H20:I20"/>
    <mergeCell ref="J20:K20"/>
    <mergeCell ref="B21:E21"/>
    <mergeCell ref="F21:G21"/>
    <mergeCell ref="H21:I21"/>
    <mergeCell ref="J21:K21"/>
    <mergeCell ref="B18:E18"/>
    <mergeCell ref="F18:G18"/>
    <mergeCell ref="H18:I18"/>
    <mergeCell ref="J18:K18"/>
    <mergeCell ref="B19:E19"/>
    <mergeCell ref="F19:G19"/>
    <mergeCell ref="H19:I19"/>
    <mergeCell ref="J19:K19"/>
    <mergeCell ref="B16:E16"/>
    <mergeCell ref="F16:G16"/>
    <mergeCell ref="H16:I16"/>
    <mergeCell ref="J16:K16"/>
    <mergeCell ref="B17:E17"/>
    <mergeCell ref="F17:G17"/>
    <mergeCell ref="H17:I17"/>
    <mergeCell ref="J17:K17"/>
    <mergeCell ref="B14:E14"/>
    <mergeCell ref="F14:G14"/>
    <mergeCell ref="H14:I14"/>
    <mergeCell ref="J14:K14"/>
    <mergeCell ref="B15:E15"/>
    <mergeCell ref="F15:G15"/>
    <mergeCell ref="H15:I15"/>
    <mergeCell ref="J15:K15"/>
    <mergeCell ref="B12:E12"/>
    <mergeCell ref="F12:G12"/>
    <mergeCell ref="H12:I12"/>
    <mergeCell ref="J12:K12"/>
    <mergeCell ref="B13:E13"/>
    <mergeCell ref="F13:G13"/>
    <mergeCell ref="H13:I13"/>
    <mergeCell ref="J13:K13"/>
    <mergeCell ref="B7:K7"/>
    <mergeCell ref="A9:K10"/>
    <mergeCell ref="B11:E11"/>
    <mergeCell ref="F11:G11"/>
    <mergeCell ref="H11:I11"/>
    <mergeCell ref="J11:K11"/>
    <mergeCell ref="B1:K1"/>
    <mergeCell ref="B2:K2"/>
    <mergeCell ref="B3:K3"/>
    <mergeCell ref="B4:K4"/>
    <mergeCell ref="B5:K5"/>
    <mergeCell ref="A6:C6"/>
    <mergeCell ref="D6:K6"/>
  </mergeCells>
  <conditionalFormatting sqref="A12:K41">
    <cfRule type="expression" dxfId="155" priority="1">
      <formula>IF($J12&lt;&gt;"",1,0)</formula>
    </cfRule>
  </conditionalFormatting>
  <conditionalFormatting sqref="B2:B5 D6">
    <cfRule type="expression" dxfId="154" priority="2">
      <formula>ROW()=CELL("LIN")</formula>
    </cfRule>
  </conditionalFormatting>
  <pageMargins left="0.39370078740157483" right="0.3543307086614173" top="1.1417322834645669" bottom="0.39370078740157483" header="0.31496062992125984" footer="0.31496062992125984"/>
  <pageSetup paperSize="9" scale="96" fitToHeight="0" orientation="portrait" horizontalDpi="300" verticalDpi="3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02A6A-E9C4-41EE-97E4-ED60E7D200F8}">
  <sheetPr codeName="Plan12">
    <pageSetUpPr fitToPage="1"/>
  </sheetPr>
  <dimension ref="A1:U32"/>
  <sheetViews>
    <sheetView showGridLines="0" showRowColHeaders="0" view="pageBreakPreview" zoomScale="60" zoomScaleNormal="60" zoomScalePageLayoutView="40" workbookViewId="0">
      <pane ySplit="1" topLeftCell="A2" activePane="bottomLeft" state="frozen"/>
      <selection pane="bottomLeft" activeCell="B3" sqref="B3"/>
    </sheetView>
  </sheetViews>
  <sheetFormatPr defaultColWidth="9.140625" defaultRowHeight="15"/>
  <cols>
    <col min="1" max="1" width="8.5703125" style="17" customWidth="1"/>
    <col min="2" max="2" width="42" style="17" customWidth="1"/>
    <col min="3" max="3" width="17" style="18" bestFit="1" customWidth="1"/>
    <col min="4" max="4" width="23.85546875" style="19" customWidth="1"/>
    <col min="5" max="5" width="28.5703125" style="17" customWidth="1"/>
    <col min="6" max="6" width="30.5703125" style="27" bestFit="1" customWidth="1"/>
    <col min="7" max="7" width="25.7109375" style="27" customWidth="1"/>
    <col min="8" max="8" width="21.140625" style="17" customWidth="1"/>
    <col min="9" max="9" width="17.5703125" style="17" customWidth="1"/>
    <col min="10" max="10" width="44.42578125" style="17" customWidth="1"/>
    <col min="11" max="11" width="9.7109375" style="17" customWidth="1"/>
    <col min="12" max="12" width="9.28515625" style="17" customWidth="1"/>
    <col min="13" max="13" width="9.140625" style="17"/>
    <col min="14" max="14" width="16.140625" style="17" customWidth="1"/>
    <col min="15" max="15" width="12.7109375" style="17" customWidth="1"/>
    <col min="16" max="16384" width="9.140625" style="17"/>
  </cols>
  <sheetData>
    <row r="1" spans="1:21" ht="75" customHeight="1"/>
    <row r="2" spans="1:21" ht="60">
      <c r="A2" s="20" t="s">
        <v>9</v>
      </c>
      <c r="B2" s="21" t="s">
        <v>10</v>
      </c>
      <c r="C2" s="22" t="s">
        <v>13</v>
      </c>
      <c r="D2" s="23" t="s">
        <v>16</v>
      </c>
      <c r="E2" s="22" t="s">
        <v>11</v>
      </c>
      <c r="F2" s="22" t="s">
        <v>12</v>
      </c>
      <c r="G2" s="22" t="s">
        <v>14</v>
      </c>
      <c r="H2" s="22" t="s">
        <v>15</v>
      </c>
      <c r="I2" s="22" t="s">
        <v>17</v>
      </c>
      <c r="J2" s="21" t="s">
        <v>18</v>
      </c>
      <c r="K2" s="26" t="s">
        <v>19</v>
      </c>
      <c r="L2" s="67"/>
      <c r="M2" s="68"/>
      <c r="N2" s="68"/>
      <c r="O2" s="68"/>
      <c r="P2" s="69" t="s">
        <v>0</v>
      </c>
      <c r="Q2" s="70" t="s">
        <v>123</v>
      </c>
      <c r="R2" s="70" t="s">
        <v>124</v>
      </c>
      <c r="S2" s="71" t="s">
        <v>3</v>
      </c>
      <c r="T2" s="70" t="s">
        <v>4</v>
      </c>
      <c r="U2" s="68"/>
    </row>
    <row r="3" spans="1:21">
      <c r="A3" s="81">
        <v>1</v>
      </c>
      <c r="B3" s="44"/>
      <c r="C3" s="45"/>
      <c r="D3" s="47"/>
      <c r="E3" s="46">
        <v>0</v>
      </c>
      <c r="F3" s="51"/>
      <c r="G3" s="52"/>
      <c r="H3" s="52"/>
      <c r="I3" s="47"/>
      <c r="J3" s="44"/>
      <c r="K3" s="24">
        <f t="shared" ref="K3:K27" ca="1" si="0">QUOTIENT(IF(DATEDIF(C3,TODAY(),"y")&gt;90,0,DATEDIF(C3,TODAY(),"m")),12)</f>
        <v>0</v>
      </c>
      <c r="L3" s="68">
        <f t="shared" ref="L3:L32" ca="1" si="1">IF($K3=0,0,IF($K3&lt;($P$3),1,0))</f>
        <v>0</v>
      </c>
      <c r="M3" s="68">
        <f t="shared" ref="M3:M32" ca="1" si="2">IF($K3&gt;($P$3),1,0)</f>
        <v>0</v>
      </c>
      <c r="N3" s="68" t="b">
        <f ca="1">IF(IF(DATEDIF(C3,TODAY(),"y")&gt;90,0,DATEDIF(C3,TODAY(),"m"))&gt;0,CONCATENATE(QUOTIENT(IF(DATEDIF(C3,TODAY(),"y")&gt;90,0,DATEDIF(C3,TODAY(),"m")),12)," anos e ",MOD(IF(DATEDIF(C3,TODAY(),"y")&gt;90,0,DATEDIF(C3,TODAY(),"m")),12)," mês"))</f>
        <v>0</v>
      </c>
      <c r="O3" s="68" t="str">
        <f ca="1">IF(C3="","",DATEDIF($C3,TODAY(),"m"))</f>
        <v/>
      </c>
      <c r="P3" s="68">
        <v>9</v>
      </c>
      <c r="Q3" s="68">
        <f ca="1">SUM(L3:L32)</f>
        <v>0</v>
      </c>
      <c r="R3" s="68">
        <f ca="1">SUM(M3:M32)</f>
        <v>0</v>
      </c>
      <c r="S3" s="71" t="s">
        <v>7</v>
      </c>
      <c r="T3" s="68">
        <f>($P$3*12)</f>
        <v>108</v>
      </c>
      <c r="U3" s="68"/>
    </row>
    <row r="4" spans="1:21" ht="15.75">
      <c r="A4" s="81">
        <v>2</v>
      </c>
      <c r="B4" s="44"/>
      <c r="C4" s="45"/>
      <c r="D4" s="47"/>
      <c r="E4" s="46">
        <v>0</v>
      </c>
      <c r="F4" s="51"/>
      <c r="G4" s="52"/>
      <c r="H4" s="52"/>
      <c r="I4" s="47"/>
      <c r="J4" s="44"/>
      <c r="K4" s="24">
        <f t="shared" ca="1" si="0"/>
        <v>0</v>
      </c>
      <c r="L4" s="68">
        <f t="shared" ca="1" si="1"/>
        <v>0</v>
      </c>
      <c r="M4" s="68">
        <f t="shared" ca="1" si="2"/>
        <v>0</v>
      </c>
      <c r="N4" s="68" t="b">
        <f t="shared" ref="N4:N32" ca="1" si="3">IF(IF(DATEDIF(C4,TODAY(),"y")&gt;90,0,DATEDIF(C4,TODAY(),"m"))&gt;0,CONCATENATE(QUOTIENT(IF(DATEDIF(C4,TODAY(),"y")&gt;90,0,DATEDIF(C4,TODAY(),"m")),12)," anos e ",MOD(IF(DATEDIF(C4,TODAY(),"y")&gt;90,0,DATEDIF(C4,TODAY(),"m")),12)," mês"))</f>
        <v>0</v>
      </c>
      <c r="O4" s="68" t="str">
        <f ca="1">IF(C4="","",DATEDIF($C4,TODAY(),"m"))</f>
        <v/>
      </c>
      <c r="P4" s="123" t="s">
        <v>6</v>
      </c>
      <c r="Q4" s="123"/>
      <c r="R4" s="123"/>
      <c r="S4" s="123"/>
      <c r="T4" s="123"/>
      <c r="U4" s="182">
        <f>COUNTA(B3:B32)-COUNTA(D3:D32)</f>
        <v>0</v>
      </c>
    </row>
    <row r="5" spans="1:21">
      <c r="A5" s="81">
        <v>3</v>
      </c>
      <c r="B5" s="44"/>
      <c r="C5" s="45"/>
      <c r="D5" s="47"/>
      <c r="E5" s="46">
        <v>0</v>
      </c>
      <c r="F5" s="51"/>
      <c r="G5" s="52"/>
      <c r="H5" s="52"/>
      <c r="I5" s="47"/>
      <c r="J5" s="44"/>
      <c r="K5" s="24">
        <f t="shared" ca="1" si="0"/>
        <v>0</v>
      </c>
      <c r="L5" s="68">
        <f t="shared" ca="1" si="1"/>
        <v>0</v>
      </c>
      <c r="M5" s="68">
        <f t="shared" ca="1" si="2"/>
        <v>0</v>
      </c>
      <c r="N5" s="68" t="b">
        <f t="shared" ca="1" si="3"/>
        <v>0</v>
      </c>
      <c r="O5" s="68" t="str">
        <f ca="1">IF(C5="","",DATEDIF($C5,TODAY(),"m"))</f>
        <v/>
      </c>
      <c r="P5" s="68"/>
      <c r="Q5" s="68"/>
      <c r="R5" s="68"/>
      <c r="S5" s="68"/>
      <c r="T5" s="68"/>
      <c r="U5" s="68"/>
    </row>
    <row r="6" spans="1:21">
      <c r="A6" s="81">
        <v>4</v>
      </c>
      <c r="B6" s="44"/>
      <c r="C6" s="45"/>
      <c r="D6" s="47"/>
      <c r="E6" s="46">
        <v>0</v>
      </c>
      <c r="F6" s="51"/>
      <c r="G6" s="52"/>
      <c r="H6" s="52"/>
      <c r="I6" s="47"/>
      <c r="J6" s="44"/>
      <c r="K6" s="24">
        <f t="shared" ca="1" si="0"/>
        <v>0</v>
      </c>
      <c r="L6" s="68">
        <f t="shared" ca="1" si="1"/>
        <v>0</v>
      </c>
      <c r="M6" s="68">
        <f t="shared" ca="1" si="2"/>
        <v>0</v>
      </c>
      <c r="N6" s="68" t="b">
        <f t="shared" ca="1" si="3"/>
        <v>0</v>
      </c>
      <c r="O6" s="68" t="str">
        <f t="shared" ref="O6:O26" ca="1" si="4">IF(C5="","",DATEDIF($C5,TODAY(),"m"))</f>
        <v/>
      </c>
      <c r="P6" s="68"/>
      <c r="Q6" s="68"/>
      <c r="R6" s="68"/>
      <c r="S6" s="68"/>
      <c r="T6" s="68"/>
      <c r="U6" s="68"/>
    </row>
    <row r="7" spans="1:21">
      <c r="A7" s="81">
        <v>5</v>
      </c>
      <c r="B7" s="44"/>
      <c r="C7" s="45"/>
      <c r="D7" s="47"/>
      <c r="E7" s="46">
        <v>0</v>
      </c>
      <c r="F7" s="51"/>
      <c r="G7" s="52"/>
      <c r="H7" s="52"/>
      <c r="I7" s="47"/>
      <c r="J7" s="44"/>
      <c r="K7" s="24">
        <f t="shared" ca="1" si="0"/>
        <v>0</v>
      </c>
      <c r="L7" s="68">
        <f t="shared" ca="1" si="1"/>
        <v>0</v>
      </c>
      <c r="M7" s="68">
        <f t="shared" ca="1" si="2"/>
        <v>0</v>
      </c>
      <c r="N7" s="68" t="b">
        <f t="shared" ca="1" si="3"/>
        <v>0</v>
      </c>
      <c r="O7" s="68" t="str">
        <f t="shared" ca="1" si="4"/>
        <v/>
      </c>
      <c r="P7" s="68"/>
      <c r="Q7" s="68"/>
      <c r="R7" s="68"/>
      <c r="S7" s="68"/>
      <c r="T7" s="68"/>
      <c r="U7" s="68"/>
    </row>
    <row r="8" spans="1:21">
      <c r="A8" s="81">
        <v>6</v>
      </c>
      <c r="B8" s="44"/>
      <c r="C8" s="45"/>
      <c r="D8" s="47"/>
      <c r="E8" s="46">
        <v>0</v>
      </c>
      <c r="F8" s="51"/>
      <c r="G8" s="52"/>
      <c r="H8" s="52"/>
      <c r="I8" s="47"/>
      <c r="J8" s="44"/>
      <c r="K8" s="24">
        <f t="shared" ca="1" si="0"/>
        <v>0</v>
      </c>
      <c r="L8" s="68">
        <f t="shared" ca="1" si="1"/>
        <v>0</v>
      </c>
      <c r="M8" s="68">
        <f t="shared" ca="1" si="2"/>
        <v>0</v>
      </c>
      <c r="N8" s="68" t="b">
        <f t="shared" ca="1" si="3"/>
        <v>0</v>
      </c>
      <c r="O8" s="68" t="str">
        <f t="shared" ca="1" si="4"/>
        <v/>
      </c>
      <c r="P8" s="68"/>
      <c r="Q8" s="68"/>
      <c r="R8" s="68"/>
      <c r="S8" s="68"/>
      <c r="T8" s="68"/>
      <c r="U8" s="68"/>
    </row>
    <row r="9" spans="1:21">
      <c r="A9" s="81">
        <v>7</v>
      </c>
      <c r="B9" s="44"/>
      <c r="C9" s="45"/>
      <c r="D9" s="47"/>
      <c r="E9" s="46">
        <v>0</v>
      </c>
      <c r="F9" s="51"/>
      <c r="G9" s="52"/>
      <c r="H9" s="52"/>
      <c r="I9" s="47"/>
      <c r="J9" s="44"/>
      <c r="K9" s="24">
        <f t="shared" ca="1" si="0"/>
        <v>0</v>
      </c>
      <c r="L9" s="68">
        <f t="shared" ca="1" si="1"/>
        <v>0</v>
      </c>
      <c r="M9" s="68">
        <f t="shared" ca="1" si="2"/>
        <v>0</v>
      </c>
      <c r="N9" s="68" t="b">
        <f t="shared" ca="1" si="3"/>
        <v>0</v>
      </c>
      <c r="O9" s="68" t="str">
        <f t="shared" ca="1" si="4"/>
        <v/>
      </c>
      <c r="P9" s="68"/>
      <c r="Q9" s="68"/>
      <c r="R9" s="68"/>
      <c r="S9" s="68"/>
      <c r="T9" s="68"/>
      <c r="U9" s="68"/>
    </row>
    <row r="10" spans="1:21">
      <c r="A10" s="81">
        <v>8</v>
      </c>
      <c r="B10" s="44"/>
      <c r="C10" s="45"/>
      <c r="D10" s="47"/>
      <c r="E10" s="46">
        <v>0</v>
      </c>
      <c r="F10" s="51"/>
      <c r="G10" s="52"/>
      <c r="H10" s="52"/>
      <c r="I10" s="47"/>
      <c r="J10" s="44"/>
      <c r="K10" s="24">
        <f t="shared" ca="1" si="0"/>
        <v>0</v>
      </c>
      <c r="L10" s="68">
        <f t="shared" ca="1" si="1"/>
        <v>0</v>
      </c>
      <c r="M10" s="68">
        <f t="shared" ca="1" si="2"/>
        <v>0</v>
      </c>
      <c r="N10" s="68" t="b">
        <f t="shared" ca="1" si="3"/>
        <v>0</v>
      </c>
      <c r="O10" s="68" t="str">
        <f t="shared" ca="1" si="4"/>
        <v/>
      </c>
      <c r="P10" s="68"/>
      <c r="Q10" s="68"/>
      <c r="R10" s="68"/>
      <c r="S10" s="68"/>
      <c r="T10" s="68"/>
      <c r="U10" s="68"/>
    </row>
    <row r="11" spans="1:21">
      <c r="A11" s="81">
        <v>9</v>
      </c>
      <c r="B11" s="44"/>
      <c r="C11" s="45"/>
      <c r="D11" s="47"/>
      <c r="E11" s="46">
        <v>0</v>
      </c>
      <c r="F11" s="51"/>
      <c r="G11" s="52"/>
      <c r="H11" s="52"/>
      <c r="I11" s="47"/>
      <c r="J11" s="44"/>
      <c r="K11" s="24">
        <f t="shared" ca="1" si="0"/>
        <v>0</v>
      </c>
      <c r="L11" s="68">
        <f t="shared" ca="1" si="1"/>
        <v>0</v>
      </c>
      <c r="M11" s="68">
        <f t="shared" ca="1" si="2"/>
        <v>0</v>
      </c>
      <c r="N11" s="68" t="b">
        <f t="shared" ca="1" si="3"/>
        <v>0</v>
      </c>
      <c r="O11" s="68" t="str">
        <f t="shared" ca="1" si="4"/>
        <v/>
      </c>
      <c r="P11" s="68"/>
      <c r="Q11" s="68"/>
      <c r="R11" s="68"/>
      <c r="S11" s="68"/>
      <c r="T11" s="68"/>
      <c r="U11" s="68"/>
    </row>
    <row r="12" spans="1:21">
      <c r="A12" s="81">
        <v>10</v>
      </c>
      <c r="B12" s="44"/>
      <c r="C12" s="45"/>
      <c r="D12" s="47"/>
      <c r="E12" s="46">
        <v>0</v>
      </c>
      <c r="F12" s="51"/>
      <c r="G12" s="52"/>
      <c r="H12" s="52"/>
      <c r="I12" s="47"/>
      <c r="J12" s="44"/>
      <c r="K12" s="24">
        <f t="shared" ca="1" si="0"/>
        <v>0</v>
      </c>
      <c r="L12" s="68">
        <f t="shared" ca="1" si="1"/>
        <v>0</v>
      </c>
      <c r="M12" s="68">
        <f t="shared" ca="1" si="2"/>
        <v>0</v>
      </c>
      <c r="N12" s="68" t="b">
        <f t="shared" ca="1" si="3"/>
        <v>0</v>
      </c>
      <c r="O12" s="68" t="str">
        <f t="shared" ca="1" si="4"/>
        <v/>
      </c>
      <c r="P12" s="68"/>
      <c r="Q12" s="68"/>
      <c r="R12" s="68"/>
      <c r="S12" s="68"/>
      <c r="T12" s="68"/>
      <c r="U12" s="68"/>
    </row>
    <row r="13" spans="1:21">
      <c r="A13" s="81">
        <v>11</v>
      </c>
      <c r="B13" s="44"/>
      <c r="C13" s="45"/>
      <c r="D13" s="47"/>
      <c r="E13" s="46">
        <v>0</v>
      </c>
      <c r="F13" s="51"/>
      <c r="G13" s="52"/>
      <c r="H13" s="52"/>
      <c r="I13" s="47"/>
      <c r="J13" s="44"/>
      <c r="K13" s="24">
        <f t="shared" ca="1" si="0"/>
        <v>0</v>
      </c>
      <c r="L13" s="68">
        <f t="shared" ca="1" si="1"/>
        <v>0</v>
      </c>
      <c r="M13" s="68">
        <f t="shared" ca="1" si="2"/>
        <v>0</v>
      </c>
      <c r="N13" s="68" t="b">
        <f t="shared" ca="1" si="3"/>
        <v>0</v>
      </c>
      <c r="O13" s="68" t="str">
        <f t="shared" ca="1" si="4"/>
        <v/>
      </c>
      <c r="P13" s="68"/>
      <c r="Q13" s="68"/>
      <c r="R13" s="68"/>
      <c r="S13" s="68"/>
      <c r="T13" s="68"/>
      <c r="U13" s="68"/>
    </row>
    <row r="14" spans="1:21">
      <c r="A14" s="81">
        <v>12</v>
      </c>
      <c r="B14" s="44"/>
      <c r="C14" s="45"/>
      <c r="D14" s="47"/>
      <c r="E14" s="46">
        <v>0</v>
      </c>
      <c r="F14" s="51"/>
      <c r="G14" s="52"/>
      <c r="H14" s="52"/>
      <c r="I14" s="47"/>
      <c r="J14" s="44"/>
      <c r="K14" s="24">
        <f t="shared" ca="1" si="0"/>
        <v>0</v>
      </c>
      <c r="L14" s="68">
        <f t="shared" ca="1" si="1"/>
        <v>0</v>
      </c>
      <c r="M14" s="68">
        <f t="shared" ca="1" si="2"/>
        <v>0</v>
      </c>
      <c r="N14" s="68" t="b">
        <f t="shared" ca="1" si="3"/>
        <v>0</v>
      </c>
      <c r="O14" s="68" t="str">
        <f t="shared" ca="1" si="4"/>
        <v/>
      </c>
      <c r="P14" s="68"/>
      <c r="Q14" s="68"/>
      <c r="R14" s="68"/>
      <c r="S14" s="68"/>
      <c r="T14" s="68"/>
      <c r="U14" s="68"/>
    </row>
    <row r="15" spans="1:21">
      <c r="A15" s="81">
        <v>13</v>
      </c>
      <c r="B15" s="44"/>
      <c r="C15" s="45"/>
      <c r="D15" s="47"/>
      <c r="E15" s="46">
        <v>0</v>
      </c>
      <c r="F15" s="51"/>
      <c r="G15" s="52"/>
      <c r="H15" s="52"/>
      <c r="I15" s="47"/>
      <c r="J15" s="44"/>
      <c r="K15" s="24">
        <f t="shared" ca="1" si="0"/>
        <v>0</v>
      </c>
      <c r="L15" s="68">
        <f t="shared" ca="1" si="1"/>
        <v>0</v>
      </c>
      <c r="M15" s="68">
        <f t="shared" ca="1" si="2"/>
        <v>0</v>
      </c>
      <c r="N15" s="68" t="b">
        <f t="shared" ca="1" si="3"/>
        <v>0</v>
      </c>
      <c r="O15" s="68" t="str">
        <f t="shared" ca="1" si="4"/>
        <v/>
      </c>
      <c r="P15" s="68"/>
      <c r="Q15" s="68"/>
      <c r="R15" s="68"/>
      <c r="S15" s="68"/>
      <c r="T15" s="68"/>
      <c r="U15" s="68"/>
    </row>
    <row r="16" spans="1:21">
      <c r="A16" s="81">
        <v>14</v>
      </c>
      <c r="B16" s="44"/>
      <c r="C16" s="45"/>
      <c r="D16" s="47"/>
      <c r="E16" s="46">
        <v>0</v>
      </c>
      <c r="F16" s="51"/>
      <c r="G16" s="52"/>
      <c r="H16" s="52"/>
      <c r="I16" s="47"/>
      <c r="J16" s="44"/>
      <c r="K16" s="24">
        <f t="shared" ca="1" si="0"/>
        <v>0</v>
      </c>
      <c r="L16" s="68">
        <f t="shared" ca="1" si="1"/>
        <v>0</v>
      </c>
      <c r="M16" s="68">
        <f t="shared" ca="1" si="2"/>
        <v>0</v>
      </c>
      <c r="N16" s="68" t="b">
        <f t="shared" ca="1" si="3"/>
        <v>0</v>
      </c>
      <c r="O16" s="68" t="str">
        <f t="shared" ca="1" si="4"/>
        <v/>
      </c>
      <c r="P16" s="68"/>
      <c r="Q16" s="68"/>
      <c r="R16" s="68"/>
      <c r="S16" s="68"/>
      <c r="T16" s="68"/>
      <c r="U16" s="68"/>
    </row>
    <row r="17" spans="1:21">
      <c r="A17" s="81">
        <v>15</v>
      </c>
      <c r="B17" s="44"/>
      <c r="C17" s="45"/>
      <c r="D17" s="47"/>
      <c r="E17" s="46">
        <v>0</v>
      </c>
      <c r="F17" s="51"/>
      <c r="G17" s="52"/>
      <c r="H17" s="52"/>
      <c r="I17" s="53"/>
      <c r="J17" s="44"/>
      <c r="K17" s="24">
        <f t="shared" ca="1" si="0"/>
        <v>0</v>
      </c>
      <c r="L17" s="68">
        <f t="shared" ca="1" si="1"/>
        <v>0</v>
      </c>
      <c r="M17" s="68">
        <f t="shared" ca="1" si="2"/>
        <v>0</v>
      </c>
      <c r="N17" s="68" t="b">
        <f t="shared" ca="1" si="3"/>
        <v>0</v>
      </c>
      <c r="O17" s="68" t="str">
        <f t="shared" ca="1" si="4"/>
        <v/>
      </c>
      <c r="P17" s="68"/>
      <c r="Q17" s="68"/>
      <c r="R17" s="68"/>
      <c r="S17" s="68"/>
      <c r="T17" s="68"/>
      <c r="U17" s="68"/>
    </row>
    <row r="18" spans="1:21">
      <c r="A18" s="81">
        <v>16</v>
      </c>
      <c r="B18" s="44"/>
      <c r="C18" s="45"/>
      <c r="D18" s="47"/>
      <c r="E18" s="46">
        <v>0</v>
      </c>
      <c r="F18" s="51"/>
      <c r="G18" s="52"/>
      <c r="H18" s="52"/>
      <c r="I18" s="47"/>
      <c r="J18" s="44"/>
      <c r="K18" s="24">
        <f t="shared" ca="1" si="0"/>
        <v>0</v>
      </c>
      <c r="L18" s="68">
        <f t="shared" ca="1" si="1"/>
        <v>0</v>
      </c>
      <c r="M18" s="68">
        <f t="shared" ca="1" si="2"/>
        <v>0</v>
      </c>
      <c r="N18" s="68" t="b">
        <f t="shared" ca="1" si="3"/>
        <v>0</v>
      </c>
      <c r="O18" s="68" t="str">
        <f t="shared" ca="1" si="4"/>
        <v/>
      </c>
      <c r="P18" s="68"/>
      <c r="Q18" s="68"/>
      <c r="R18" s="68"/>
      <c r="S18" s="68"/>
      <c r="T18" s="68"/>
      <c r="U18" s="68"/>
    </row>
    <row r="19" spans="1:21">
      <c r="A19" s="81">
        <v>17</v>
      </c>
      <c r="B19" s="44"/>
      <c r="C19" s="45"/>
      <c r="D19" s="47"/>
      <c r="E19" s="46">
        <v>0</v>
      </c>
      <c r="F19" s="51"/>
      <c r="G19" s="52"/>
      <c r="H19" s="52"/>
      <c r="I19" s="53"/>
      <c r="J19" s="44"/>
      <c r="K19" s="24">
        <f t="shared" ca="1" si="0"/>
        <v>0</v>
      </c>
      <c r="L19" s="68">
        <f t="shared" ca="1" si="1"/>
        <v>0</v>
      </c>
      <c r="M19" s="68">
        <f t="shared" ca="1" si="2"/>
        <v>0</v>
      </c>
      <c r="N19" s="68" t="b">
        <f t="shared" ca="1" si="3"/>
        <v>0</v>
      </c>
      <c r="O19" s="68" t="str">
        <f t="shared" ca="1" si="4"/>
        <v/>
      </c>
      <c r="P19" s="68"/>
      <c r="Q19" s="68"/>
      <c r="R19" s="68"/>
      <c r="S19" s="68"/>
      <c r="T19" s="68"/>
      <c r="U19" s="68"/>
    </row>
    <row r="20" spans="1:21">
      <c r="A20" s="81">
        <v>18</v>
      </c>
      <c r="B20" s="44"/>
      <c r="C20" s="45"/>
      <c r="D20" s="47"/>
      <c r="E20" s="46">
        <v>0</v>
      </c>
      <c r="F20" s="51"/>
      <c r="G20" s="52"/>
      <c r="H20" s="52"/>
      <c r="I20" s="47"/>
      <c r="J20" s="44"/>
      <c r="K20" s="24">
        <f t="shared" ca="1" si="0"/>
        <v>0</v>
      </c>
      <c r="L20" s="68">
        <f t="shared" ca="1" si="1"/>
        <v>0</v>
      </c>
      <c r="M20" s="68">
        <f t="shared" ca="1" si="2"/>
        <v>0</v>
      </c>
      <c r="N20" s="68" t="b">
        <f t="shared" ca="1" si="3"/>
        <v>0</v>
      </c>
      <c r="O20" s="68" t="str">
        <f t="shared" ca="1" si="4"/>
        <v/>
      </c>
      <c r="P20" s="68"/>
      <c r="Q20" s="68"/>
      <c r="R20" s="68"/>
      <c r="S20" s="68"/>
      <c r="T20" s="68"/>
      <c r="U20" s="68"/>
    </row>
    <row r="21" spans="1:21">
      <c r="A21" s="81">
        <v>19</v>
      </c>
      <c r="B21" s="44"/>
      <c r="C21" s="45"/>
      <c r="D21" s="47"/>
      <c r="E21" s="46">
        <v>0</v>
      </c>
      <c r="F21" s="51"/>
      <c r="G21" s="52"/>
      <c r="H21" s="52"/>
      <c r="I21" s="47"/>
      <c r="J21" s="44"/>
      <c r="K21" s="24">
        <f t="shared" ca="1" si="0"/>
        <v>0</v>
      </c>
      <c r="L21" s="68">
        <f t="shared" ca="1" si="1"/>
        <v>0</v>
      </c>
      <c r="M21" s="68">
        <f t="shared" ca="1" si="2"/>
        <v>0</v>
      </c>
      <c r="N21" s="68" t="b">
        <f t="shared" ca="1" si="3"/>
        <v>0</v>
      </c>
      <c r="O21" s="68" t="str">
        <f t="shared" ca="1" si="4"/>
        <v/>
      </c>
      <c r="P21" s="68"/>
      <c r="Q21" s="68"/>
      <c r="R21" s="68"/>
      <c r="S21" s="68"/>
      <c r="T21" s="68"/>
      <c r="U21" s="68"/>
    </row>
    <row r="22" spans="1:21">
      <c r="A22" s="81">
        <v>20</v>
      </c>
      <c r="B22" s="44"/>
      <c r="C22" s="45"/>
      <c r="D22" s="47"/>
      <c r="E22" s="46">
        <v>0</v>
      </c>
      <c r="F22" s="51"/>
      <c r="G22" s="52"/>
      <c r="H22" s="52"/>
      <c r="I22" s="47"/>
      <c r="J22" s="44"/>
      <c r="K22" s="24">
        <f t="shared" ca="1" si="0"/>
        <v>0</v>
      </c>
      <c r="L22" s="68">
        <f t="shared" ca="1" si="1"/>
        <v>0</v>
      </c>
      <c r="M22" s="68">
        <f t="shared" ca="1" si="2"/>
        <v>0</v>
      </c>
      <c r="N22" s="68" t="b">
        <f t="shared" ca="1" si="3"/>
        <v>0</v>
      </c>
      <c r="O22" s="68" t="str">
        <f t="shared" ca="1" si="4"/>
        <v/>
      </c>
      <c r="P22" s="68"/>
      <c r="Q22" s="68"/>
      <c r="R22" s="68"/>
      <c r="S22" s="68"/>
      <c r="T22" s="68"/>
      <c r="U22" s="68"/>
    </row>
    <row r="23" spans="1:21" ht="15.75">
      <c r="A23" s="82">
        <v>21</v>
      </c>
      <c r="B23" s="44"/>
      <c r="C23" s="45"/>
      <c r="D23" s="47"/>
      <c r="E23" s="46">
        <v>0</v>
      </c>
      <c r="F23" s="51"/>
      <c r="G23" s="52"/>
      <c r="H23" s="52"/>
      <c r="I23" s="47"/>
      <c r="J23" s="44"/>
      <c r="K23" s="24">
        <f t="shared" ca="1" si="0"/>
        <v>0</v>
      </c>
      <c r="L23" s="68">
        <f t="shared" ca="1" si="1"/>
        <v>0</v>
      </c>
      <c r="M23" s="68">
        <f t="shared" ca="1" si="2"/>
        <v>0</v>
      </c>
      <c r="N23" s="68" t="b">
        <f t="shared" ca="1" si="3"/>
        <v>0</v>
      </c>
      <c r="O23" s="68" t="str">
        <f t="shared" ca="1" si="4"/>
        <v/>
      </c>
      <c r="P23" s="68"/>
      <c r="Q23" s="68"/>
      <c r="R23" s="68"/>
      <c r="S23" s="68"/>
      <c r="T23" s="68"/>
      <c r="U23" s="68"/>
    </row>
    <row r="24" spans="1:21" ht="15.75">
      <c r="A24" s="82">
        <v>22</v>
      </c>
      <c r="B24" s="44"/>
      <c r="C24" s="45"/>
      <c r="D24" s="47"/>
      <c r="E24" s="46">
        <v>0</v>
      </c>
      <c r="F24" s="51"/>
      <c r="G24" s="52"/>
      <c r="H24" s="52"/>
      <c r="I24" s="47"/>
      <c r="J24" s="44"/>
      <c r="K24" s="24">
        <f t="shared" ca="1" si="0"/>
        <v>0</v>
      </c>
      <c r="L24" s="68">
        <f t="shared" ca="1" si="1"/>
        <v>0</v>
      </c>
      <c r="M24" s="68">
        <f t="shared" ca="1" si="2"/>
        <v>0</v>
      </c>
      <c r="N24" s="68" t="b">
        <f t="shared" ca="1" si="3"/>
        <v>0</v>
      </c>
      <c r="O24" s="68" t="str">
        <f t="shared" ca="1" si="4"/>
        <v/>
      </c>
      <c r="P24" s="68"/>
      <c r="Q24" s="68"/>
      <c r="R24" s="68"/>
      <c r="S24" s="68"/>
      <c r="T24" s="68"/>
      <c r="U24" s="68"/>
    </row>
    <row r="25" spans="1:21" ht="15.75">
      <c r="A25" s="82">
        <v>23</v>
      </c>
      <c r="B25" s="44"/>
      <c r="C25" s="45"/>
      <c r="D25" s="47"/>
      <c r="E25" s="46">
        <v>0</v>
      </c>
      <c r="F25" s="51"/>
      <c r="G25" s="52"/>
      <c r="H25" s="52"/>
      <c r="I25" s="47"/>
      <c r="J25" s="44"/>
      <c r="K25" s="24">
        <f t="shared" ca="1" si="0"/>
        <v>0</v>
      </c>
      <c r="L25" s="68">
        <f t="shared" ca="1" si="1"/>
        <v>0</v>
      </c>
      <c r="M25" s="68">
        <f t="shared" ca="1" si="2"/>
        <v>0</v>
      </c>
      <c r="N25" s="68" t="b">
        <f t="shared" ca="1" si="3"/>
        <v>0</v>
      </c>
      <c r="O25" s="68" t="str">
        <f t="shared" ca="1" si="4"/>
        <v/>
      </c>
      <c r="P25" s="68"/>
      <c r="Q25" s="68"/>
      <c r="R25" s="68"/>
      <c r="S25" s="68"/>
      <c r="T25" s="68"/>
      <c r="U25" s="68"/>
    </row>
    <row r="26" spans="1:21" ht="15.75">
      <c r="A26" s="82">
        <v>24</v>
      </c>
      <c r="B26" s="44"/>
      <c r="C26" s="45"/>
      <c r="D26" s="54"/>
      <c r="E26" s="46">
        <v>0</v>
      </c>
      <c r="F26" s="51"/>
      <c r="G26" s="52"/>
      <c r="H26" s="52"/>
      <c r="I26" s="47"/>
      <c r="J26" s="44"/>
      <c r="K26" s="24">
        <f t="shared" ca="1" si="0"/>
        <v>0</v>
      </c>
      <c r="L26" s="68">
        <f t="shared" ca="1" si="1"/>
        <v>0</v>
      </c>
      <c r="M26" s="68">
        <f t="shared" ca="1" si="2"/>
        <v>0</v>
      </c>
      <c r="N26" s="68" t="b">
        <f t="shared" ca="1" si="3"/>
        <v>0</v>
      </c>
      <c r="O26" s="68" t="str">
        <f t="shared" ca="1" si="4"/>
        <v/>
      </c>
      <c r="P26" s="68"/>
      <c r="Q26" s="68"/>
      <c r="R26" s="68"/>
      <c r="S26" s="68"/>
      <c r="T26" s="68"/>
      <c r="U26" s="68"/>
    </row>
    <row r="27" spans="1:21" ht="15.75">
      <c r="A27" s="83">
        <v>25</v>
      </c>
      <c r="B27" s="48"/>
      <c r="C27" s="49"/>
      <c r="D27" s="50"/>
      <c r="E27" s="46">
        <v>0</v>
      </c>
      <c r="F27" s="55"/>
      <c r="G27" s="56"/>
      <c r="H27" s="56"/>
      <c r="I27" s="50"/>
      <c r="J27" s="48"/>
      <c r="K27" s="25">
        <f t="shared" ca="1" si="0"/>
        <v>0</v>
      </c>
      <c r="L27" s="68">
        <f t="shared" ca="1" si="1"/>
        <v>0</v>
      </c>
      <c r="M27" s="68">
        <f t="shared" ca="1" si="2"/>
        <v>0</v>
      </c>
      <c r="N27" s="68" t="b">
        <f t="shared" ca="1" si="3"/>
        <v>0</v>
      </c>
      <c r="O27" s="68" t="str">
        <f ca="1">IF(C27="","",DATEDIF($C27,TODAY(),"m"))</f>
        <v/>
      </c>
      <c r="P27" s="68"/>
      <c r="Q27" s="68"/>
      <c r="R27" s="68"/>
      <c r="S27" s="68"/>
      <c r="T27" s="68"/>
      <c r="U27" s="68"/>
    </row>
    <row r="28" spans="1:21" ht="15.75">
      <c r="A28" s="174">
        <v>26</v>
      </c>
      <c r="B28" s="175"/>
      <c r="C28" s="176"/>
      <c r="D28" s="176"/>
      <c r="E28" s="177">
        <v>0</v>
      </c>
      <c r="F28" s="178"/>
      <c r="G28" s="179"/>
      <c r="H28" s="179"/>
      <c r="I28" s="180"/>
      <c r="J28" s="175"/>
      <c r="K28" s="181">
        <f ca="1">QUOTIENT(IF(DATEDIF(C28,TODAY(),"y")&gt;90,0,DATEDIF(C28,TODAY(),"m")),12)</f>
        <v>0</v>
      </c>
      <c r="L28" s="68">
        <f t="shared" ca="1" si="1"/>
        <v>0</v>
      </c>
      <c r="M28" s="68">
        <f t="shared" ca="1" si="2"/>
        <v>0</v>
      </c>
      <c r="N28" s="68" t="b">
        <f t="shared" ca="1" si="3"/>
        <v>0</v>
      </c>
    </row>
    <row r="29" spans="1:21" ht="15.75">
      <c r="A29" s="174">
        <v>27</v>
      </c>
      <c r="B29" s="175"/>
      <c r="C29" s="176"/>
      <c r="D29" s="176"/>
      <c r="E29" s="177">
        <v>0</v>
      </c>
      <c r="F29" s="178"/>
      <c r="G29" s="179"/>
      <c r="H29" s="179"/>
      <c r="I29" s="180"/>
      <c r="J29" s="175"/>
      <c r="K29" s="181">
        <f ca="1">QUOTIENT(IF(DATEDIF(C29,TODAY(),"y")&gt;90,0,DATEDIF(C29,TODAY(),"m")),12)</f>
        <v>0</v>
      </c>
      <c r="L29" s="68">
        <f t="shared" ca="1" si="1"/>
        <v>0</v>
      </c>
      <c r="M29" s="68">
        <f t="shared" ca="1" si="2"/>
        <v>0</v>
      </c>
      <c r="N29" s="68" t="b">
        <f t="shared" ca="1" si="3"/>
        <v>0</v>
      </c>
    </row>
    <row r="30" spans="1:21" ht="15.75">
      <c r="A30" s="174">
        <v>28</v>
      </c>
      <c r="B30" s="175"/>
      <c r="C30" s="176"/>
      <c r="D30" s="176"/>
      <c r="E30" s="177">
        <v>0</v>
      </c>
      <c r="F30" s="178"/>
      <c r="G30" s="179"/>
      <c r="H30" s="179"/>
      <c r="I30" s="180"/>
      <c r="J30" s="175"/>
      <c r="K30" s="181">
        <f ca="1">QUOTIENT(IF(DATEDIF(C30,TODAY(),"y")&gt;90,0,DATEDIF(C30,TODAY(),"m")),12)</f>
        <v>0</v>
      </c>
      <c r="L30" s="68">
        <f t="shared" ca="1" si="1"/>
        <v>0</v>
      </c>
      <c r="M30" s="68">
        <f t="shared" ca="1" si="2"/>
        <v>0</v>
      </c>
      <c r="N30" s="68" t="b">
        <f t="shared" ca="1" si="3"/>
        <v>0</v>
      </c>
    </row>
    <row r="31" spans="1:21" ht="15.75">
      <c r="A31" s="174">
        <v>29</v>
      </c>
      <c r="B31" s="175"/>
      <c r="C31" s="176"/>
      <c r="D31" s="176"/>
      <c r="E31" s="177">
        <v>0</v>
      </c>
      <c r="F31" s="178"/>
      <c r="G31" s="179"/>
      <c r="H31" s="179"/>
      <c r="I31" s="180"/>
      <c r="J31" s="175"/>
      <c r="K31" s="181">
        <f ca="1">QUOTIENT(IF(DATEDIF(C31,TODAY(),"y")&gt;90,0,DATEDIF(C31,TODAY(),"m")),12)</f>
        <v>0</v>
      </c>
      <c r="L31" s="68">
        <f t="shared" ca="1" si="1"/>
        <v>0</v>
      </c>
      <c r="M31" s="68">
        <f t="shared" ca="1" si="2"/>
        <v>0</v>
      </c>
      <c r="N31" s="68" t="b">
        <f t="shared" ca="1" si="3"/>
        <v>0</v>
      </c>
    </row>
    <row r="32" spans="1:21" ht="15.75">
      <c r="A32" s="174">
        <v>30</v>
      </c>
      <c r="B32" s="175"/>
      <c r="C32" s="176"/>
      <c r="D32" s="176"/>
      <c r="E32" s="177">
        <v>0</v>
      </c>
      <c r="F32" s="178"/>
      <c r="G32" s="179"/>
      <c r="H32" s="179"/>
      <c r="I32" s="180"/>
      <c r="J32" s="175"/>
      <c r="K32" s="181">
        <f ca="1">QUOTIENT(IF(DATEDIF(C32,TODAY(),"y")&gt;90,0,DATEDIF(C32,TODAY(),"m")),12)</f>
        <v>0</v>
      </c>
      <c r="L32" s="68">
        <f t="shared" ca="1" si="1"/>
        <v>0</v>
      </c>
      <c r="M32" s="68">
        <f t="shared" ca="1" si="2"/>
        <v>0</v>
      </c>
      <c r="N32" s="68" t="b">
        <f t="shared" ca="1" si="3"/>
        <v>0</v>
      </c>
    </row>
  </sheetData>
  <sheetProtection algorithmName="SHA-512" hashValue="pXL+iymn2AD0pd9PwCUxtkuDSH1Ai4UuHzfdg54SqmCeZpyU6aMv1xkeadCjEr864mEK5er1aORI4svL7J6flg==" saltValue="hVvZpd6Y7TEfcggX4CwWXg==" spinCount="100000" sheet="1" objects="1" scenarios="1" selectLockedCells="1"/>
  <mergeCells count="1">
    <mergeCell ref="P4:T4"/>
  </mergeCells>
  <conditionalFormatting sqref="A3:K32">
    <cfRule type="expression" dxfId="153" priority="1">
      <formula>ROW()=CELL("LIN")</formula>
    </cfRule>
    <cfRule type="expression" dxfId="152" priority="2">
      <formula>IF($D3&lt;&gt;"",1,0)</formula>
    </cfRule>
  </conditionalFormatting>
  <conditionalFormatting sqref="O3:O27">
    <cfRule type="cellIs" dxfId="151" priority="3" operator="lessThan">
      <formula>$T$3</formula>
    </cfRule>
  </conditionalFormatting>
  <pageMargins left="1" right="1" top="1" bottom="1" header="0.5" footer="0.5"/>
  <pageSetup paperSize="9" scale="51" fitToHeight="0" orientation="landscape" horizontalDpi="300" verticalDpi="300" r:id="rId1"/>
  <drawing r:id="rId2"/>
  <tableParts count="1">
    <tablePart r:id="rId3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99F4CB-28DD-467E-9786-86FC848293F5}">
  <sheetPr codeName="Planilha13"/>
  <dimension ref="A1:AE34"/>
  <sheetViews>
    <sheetView showGridLines="0" showRowColHeaders="0" view="pageBreakPreview" zoomScale="60" zoomScaleNormal="70" workbookViewId="0">
      <pane xSplit="4" topLeftCell="E1" activePane="topRight" state="frozen"/>
      <selection sqref="A1:D3"/>
      <selection pane="topRight" activeCell="E6" sqref="E6"/>
    </sheetView>
  </sheetViews>
  <sheetFormatPr defaultRowHeight="12.75"/>
  <cols>
    <col min="2" max="2" width="39.28515625" bestFit="1" customWidth="1"/>
    <col min="3" max="3" width="14.28515625" customWidth="1"/>
    <col min="4" max="4" width="40.140625" customWidth="1"/>
    <col min="5" max="5" width="15.28515625" customWidth="1"/>
    <col min="6" max="6" width="16.28515625" customWidth="1"/>
    <col min="7" max="7" width="24.7109375" customWidth="1"/>
    <col min="8" max="8" width="15.140625" customWidth="1"/>
    <col min="9" max="9" width="14.5703125" customWidth="1"/>
    <col min="10" max="10" width="24.5703125" customWidth="1"/>
    <col min="12" max="12" width="14.140625" customWidth="1"/>
    <col min="13" max="13" width="15.140625" customWidth="1"/>
    <col min="14" max="14" width="23.5703125" customWidth="1"/>
    <col min="15" max="15" width="14.85546875" customWidth="1"/>
    <col min="16" max="16" width="15.85546875" customWidth="1"/>
    <col min="17" max="17" width="24.28515625" customWidth="1"/>
    <col min="19" max="19" width="15.140625" customWidth="1"/>
    <col min="20" max="20" width="16.140625" customWidth="1"/>
    <col min="21" max="21" width="24.5703125" customWidth="1"/>
    <col min="22" max="22" width="14.7109375" customWidth="1"/>
    <col min="23" max="23" width="15.7109375" customWidth="1"/>
    <col min="24" max="24" width="24.140625" customWidth="1"/>
    <col min="26" max="26" width="15" customWidth="1"/>
    <col min="27" max="27" width="16" customWidth="1"/>
    <col min="28" max="28" width="24.42578125" customWidth="1"/>
    <col min="29" max="29" width="15.140625" customWidth="1"/>
    <col min="30" max="30" width="16.140625" customWidth="1"/>
    <col min="31" max="31" width="24.5703125" customWidth="1"/>
  </cols>
  <sheetData>
    <row r="1" spans="1:31" ht="30" customHeight="1" thickBot="1">
      <c r="A1" s="124" t="str">
        <f>CONCATENATE('4A-B-Turma'!B2&amp;" - ",'4A-B-Turma'!B3)</f>
        <v>4º Ano - B - Tarde</v>
      </c>
      <c r="B1" s="124"/>
      <c r="C1" s="124"/>
      <c r="D1" s="125"/>
      <c r="E1" s="128" t="s">
        <v>41</v>
      </c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  <c r="V1" s="129"/>
      <c r="W1" s="129"/>
      <c r="X1" s="129"/>
      <c r="Y1" s="129"/>
      <c r="Z1" s="129"/>
      <c r="AA1" s="129"/>
      <c r="AB1" s="129"/>
      <c r="AC1" s="129"/>
      <c r="AD1" s="129"/>
      <c r="AE1" s="130"/>
    </row>
    <row r="2" spans="1:31" ht="16.5" thickBot="1">
      <c r="A2" s="124"/>
      <c r="B2" s="124"/>
      <c r="C2" s="124"/>
      <c r="D2" s="125"/>
      <c r="E2" s="131" t="s">
        <v>37</v>
      </c>
      <c r="F2" s="132"/>
      <c r="G2" s="132"/>
      <c r="H2" s="132"/>
      <c r="I2" s="132"/>
      <c r="J2" s="132"/>
      <c r="K2" s="132"/>
      <c r="L2" s="132"/>
      <c r="M2" s="132"/>
      <c r="N2" s="132"/>
      <c r="O2" s="132"/>
      <c r="P2" s="132"/>
      <c r="Q2" s="133"/>
      <c r="R2" s="64"/>
      <c r="S2" s="131" t="s">
        <v>38</v>
      </c>
      <c r="T2" s="132"/>
      <c r="U2" s="132"/>
      <c r="V2" s="132"/>
      <c r="W2" s="132"/>
      <c r="X2" s="132"/>
      <c r="Y2" s="132"/>
      <c r="Z2" s="132"/>
      <c r="AA2" s="132"/>
      <c r="AB2" s="132"/>
      <c r="AC2" s="132"/>
      <c r="AD2" s="132"/>
      <c r="AE2" s="133"/>
    </row>
    <row r="3" spans="1:31" ht="15">
      <c r="A3" s="126"/>
      <c r="B3" s="126"/>
      <c r="C3" s="126"/>
      <c r="D3" s="127"/>
      <c r="E3" s="134" t="s">
        <v>33</v>
      </c>
      <c r="F3" s="135"/>
      <c r="G3" s="136"/>
      <c r="H3" s="202" t="s">
        <v>34</v>
      </c>
      <c r="I3" s="203"/>
      <c r="J3" s="204"/>
      <c r="K3" s="64"/>
      <c r="L3" s="194" t="s">
        <v>35</v>
      </c>
      <c r="M3" s="195"/>
      <c r="N3" s="196"/>
      <c r="O3" s="202" t="s">
        <v>36</v>
      </c>
      <c r="P3" s="203"/>
      <c r="Q3" s="204"/>
      <c r="R3" s="64"/>
      <c r="S3" s="201" t="s">
        <v>39</v>
      </c>
      <c r="T3" s="195"/>
      <c r="U3" s="196"/>
      <c r="V3" s="209" t="s">
        <v>40</v>
      </c>
      <c r="W3" s="203"/>
      <c r="X3" s="204"/>
      <c r="Y3" s="64"/>
      <c r="Z3" s="194" t="s">
        <v>31</v>
      </c>
      <c r="AA3" s="195"/>
      <c r="AB3" s="196"/>
      <c r="AC3" s="138" t="s">
        <v>32</v>
      </c>
      <c r="AD3" s="139"/>
      <c r="AE3" s="140"/>
    </row>
    <row r="4" spans="1:31" ht="15.75">
      <c r="A4" s="63" t="s">
        <v>9</v>
      </c>
      <c r="B4" s="57" t="s">
        <v>10</v>
      </c>
      <c r="C4" s="58" t="s">
        <v>13</v>
      </c>
      <c r="D4" s="59" t="s">
        <v>16</v>
      </c>
      <c r="E4" s="31" t="s">
        <v>42</v>
      </c>
      <c r="F4" s="32" t="s">
        <v>43</v>
      </c>
      <c r="G4" s="33" t="s">
        <v>44</v>
      </c>
      <c r="H4" s="34" t="s">
        <v>46</v>
      </c>
      <c r="I4" s="35" t="s">
        <v>45</v>
      </c>
      <c r="J4" s="36" t="s">
        <v>51</v>
      </c>
      <c r="K4" s="65" t="s">
        <v>47</v>
      </c>
      <c r="L4" s="37" t="s">
        <v>48</v>
      </c>
      <c r="M4" s="32" t="s">
        <v>49</v>
      </c>
      <c r="N4" s="33" t="s">
        <v>50</v>
      </c>
      <c r="O4" s="34" t="s">
        <v>52</v>
      </c>
      <c r="P4" s="35" t="s">
        <v>53</v>
      </c>
      <c r="Q4" s="36" t="s">
        <v>54</v>
      </c>
      <c r="R4" s="65" t="s">
        <v>55</v>
      </c>
      <c r="S4" s="37" t="s">
        <v>56</v>
      </c>
      <c r="T4" s="32" t="s">
        <v>57</v>
      </c>
      <c r="U4" s="33" t="s">
        <v>58</v>
      </c>
      <c r="V4" s="34" t="s">
        <v>59</v>
      </c>
      <c r="W4" s="35" t="s">
        <v>60</v>
      </c>
      <c r="X4" s="36" t="s">
        <v>61</v>
      </c>
      <c r="Y4" s="65" t="s">
        <v>62</v>
      </c>
      <c r="Z4" s="37" t="s">
        <v>63</v>
      </c>
      <c r="AA4" s="32" t="s">
        <v>64</v>
      </c>
      <c r="AB4" s="33" t="s">
        <v>65</v>
      </c>
      <c r="AC4" s="34" t="s">
        <v>66</v>
      </c>
      <c r="AD4" s="35" t="s">
        <v>67</v>
      </c>
      <c r="AE4" s="38" t="s">
        <v>68</v>
      </c>
    </row>
    <row r="5" spans="1:31" ht="15">
      <c r="A5" s="72">
        <v>1</v>
      </c>
      <c r="B5" s="60" t="str">
        <f>IF('4A-B'!B3&lt;&gt;0,'4A-B'!B3,"")</f>
        <v/>
      </c>
      <c r="C5" s="61" t="str">
        <f>IF('4A-B'!C3&lt;&gt;0,'4A-B'!C3,"")</f>
        <v/>
      </c>
      <c r="D5" s="62" t="str">
        <f>IF('4A-B'!D3&lt;&gt;0,'4A-B'!D3,"")</f>
        <v/>
      </c>
      <c r="E5" s="43"/>
      <c r="F5" s="42"/>
      <c r="G5" s="28" t="e">
        <f t="shared" ref="G5:G29" si="0">ROUND((E5*100)/(E5+F5),0)/100</f>
        <v>#DIV/0!</v>
      </c>
      <c r="H5" s="39"/>
      <c r="I5" s="40"/>
      <c r="J5" s="29" t="e">
        <f t="shared" ref="J5:J29" si="1">ROUND((H5*100)/(H5+I5),0)/100</f>
        <v>#DIV/0!</v>
      </c>
      <c r="K5" s="87">
        <f>Tabela273681012141619212325[[#This Row],[Nº]]</f>
        <v>1</v>
      </c>
      <c r="L5" s="41"/>
      <c r="M5" s="42"/>
      <c r="N5" s="28" t="e">
        <f t="shared" ref="N5:N29" si="2">ROUND((L5*100)/(L5+M5),0)/100</f>
        <v>#DIV/0!</v>
      </c>
      <c r="O5" s="39"/>
      <c r="P5" s="40"/>
      <c r="Q5" s="29" t="e">
        <f t="shared" ref="Q5:Q29" si="3">ROUND((O5*100)/(O5+P5),0)/100</f>
        <v>#DIV/0!</v>
      </c>
      <c r="R5" s="87">
        <f>Tabela273681012141619212325[[#This Row],[Nº]]</f>
        <v>1</v>
      </c>
      <c r="S5" s="41"/>
      <c r="T5" s="42"/>
      <c r="U5" s="28" t="e">
        <f t="shared" ref="U5:U29" si="4">ROUND((S5*100)/(S5+T5),0)/100</f>
        <v>#DIV/0!</v>
      </c>
      <c r="V5" s="39"/>
      <c r="W5" s="40"/>
      <c r="X5" s="29" t="e">
        <f t="shared" ref="X5:X29" si="5">ROUND((V5*100)/(V5+W5),0)/100</f>
        <v>#DIV/0!</v>
      </c>
      <c r="Y5" s="87">
        <f>Tabela273681012141619212325[[#This Row],[Nº]]</f>
        <v>1</v>
      </c>
      <c r="Z5" s="41"/>
      <c r="AA5" s="42"/>
      <c r="AB5" s="28" t="e">
        <f t="shared" ref="AB5:AB29" si="6">ROUND((Z5*100)/(Z5+AA5),0)/100</f>
        <v>#DIV/0!</v>
      </c>
      <c r="AC5" s="39"/>
      <c r="AD5" s="40"/>
      <c r="AE5" s="30" t="e">
        <f t="shared" ref="AE5:AE29" si="7">ROUND((AC5*100)/(AC5+AD5),0)/100</f>
        <v>#DIV/0!</v>
      </c>
    </row>
    <row r="6" spans="1:31" ht="15">
      <c r="A6" s="72">
        <v>2</v>
      </c>
      <c r="B6" s="60" t="str">
        <f>IF('4A-B'!B4&lt;&gt;0,'4A-B'!B4,"")</f>
        <v/>
      </c>
      <c r="C6" s="61" t="str">
        <f>IF('4A-B'!C4&lt;&gt;0,'4A-B'!C4,"")</f>
        <v/>
      </c>
      <c r="D6" s="62" t="str">
        <f>IF('4A-B'!D4&lt;&gt;0,'4A-B'!D4,"")</f>
        <v/>
      </c>
      <c r="E6" s="43"/>
      <c r="F6" s="42"/>
      <c r="G6" s="28" t="e">
        <f t="shared" si="0"/>
        <v>#DIV/0!</v>
      </c>
      <c r="H6" s="39"/>
      <c r="I6" s="40"/>
      <c r="J6" s="29" t="e">
        <f t="shared" si="1"/>
        <v>#DIV/0!</v>
      </c>
      <c r="K6" s="87">
        <f>Tabela273681012141619212325[[#This Row],[Nº]]</f>
        <v>2</v>
      </c>
      <c r="L6" s="41"/>
      <c r="M6" s="42"/>
      <c r="N6" s="28" t="e">
        <f t="shared" si="2"/>
        <v>#DIV/0!</v>
      </c>
      <c r="O6" s="39"/>
      <c r="P6" s="40"/>
      <c r="Q6" s="29" t="e">
        <f t="shared" si="3"/>
        <v>#DIV/0!</v>
      </c>
      <c r="R6" s="87">
        <f>Tabela273681012141619212325[[#This Row],[Nº]]</f>
        <v>2</v>
      </c>
      <c r="S6" s="41"/>
      <c r="T6" s="42"/>
      <c r="U6" s="28" t="e">
        <f t="shared" si="4"/>
        <v>#DIV/0!</v>
      </c>
      <c r="V6" s="39"/>
      <c r="W6" s="40"/>
      <c r="X6" s="29" t="e">
        <f t="shared" si="5"/>
        <v>#DIV/0!</v>
      </c>
      <c r="Y6" s="87">
        <f>Tabela273681012141619212325[[#This Row],[Nº]]</f>
        <v>2</v>
      </c>
      <c r="Z6" s="41"/>
      <c r="AA6" s="42"/>
      <c r="AB6" s="28" t="e">
        <f t="shared" si="6"/>
        <v>#DIV/0!</v>
      </c>
      <c r="AC6" s="39"/>
      <c r="AD6" s="40"/>
      <c r="AE6" s="30" t="e">
        <f t="shared" si="7"/>
        <v>#DIV/0!</v>
      </c>
    </row>
    <row r="7" spans="1:31" ht="15">
      <c r="A7" s="72">
        <v>3</v>
      </c>
      <c r="B7" s="60" t="str">
        <f>IF('4A-B'!B5&lt;&gt;0,'4A-B'!B5,"")</f>
        <v/>
      </c>
      <c r="C7" s="61" t="str">
        <f>IF('4A-B'!C5&lt;&gt;0,'4A-B'!C5,"")</f>
        <v/>
      </c>
      <c r="D7" s="62" t="str">
        <f>IF('4A-B'!D5&lt;&gt;0,'4A-B'!D5,"")</f>
        <v/>
      </c>
      <c r="E7" s="43"/>
      <c r="F7" s="42"/>
      <c r="G7" s="28" t="e">
        <f t="shared" si="0"/>
        <v>#DIV/0!</v>
      </c>
      <c r="H7" s="39"/>
      <c r="I7" s="40"/>
      <c r="J7" s="29" t="e">
        <f t="shared" si="1"/>
        <v>#DIV/0!</v>
      </c>
      <c r="K7" s="87">
        <f>Tabela273681012141619212325[[#This Row],[Nº]]</f>
        <v>3</v>
      </c>
      <c r="L7" s="41"/>
      <c r="M7" s="42"/>
      <c r="N7" s="28" t="e">
        <f t="shared" si="2"/>
        <v>#DIV/0!</v>
      </c>
      <c r="O7" s="39"/>
      <c r="P7" s="40"/>
      <c r="Q7" s="29" t="e">
        <f t="shared" si="3"/>
        <v>#DIV/0!</v>
      </c>
      <c r="R7" s="87">
        <f>Tabela273681012141619212325[[#This Row],[Nº]]</f>
        <v>3</v>
      </c>
      <c r="S7" s="41"/>
      <c r="T7" s="42"/>
      <c r="U7" s="28" t="e">
        <f t="shared" si="4"/>
        <v>#DIV/0!</v>
      </c>
      <c r="V7" s="39"/>
      <c r="W7" s="40"/>
      <c r="X7" s="29" t="e">
        <f t="shared" si="5"/>
        <v>#DIV/0!</v>
      </c>
      <c r="Y7" s="87">
        <f>Tabela273681012141619212325[[#This Row],[Nº]]</f>
        <v>3</v>
      </c>
      <c r="Z7" s="41"/>
      <c r="AA7" s="42"/>
      <c r="AB7" s="28" t="e">
        <f t="shared" si="6"/>
        <v>#DIV/0!</v>
      </c>
      <c r="AC7" s="39"/>
      <c r="AD7" s="40"/>
      <c r="AE7" s="30" t="e">
        <f t="shared" si="7"/>
        <v>#DIV/0!</v>
      </c>
    </row>
    <row r="8" spans="1:31" ht="15">
      <c r="A8" s="72">
        <v>4</v>
      </c>
      <c r="B8" s="60" t="str">
        <f>IF('4A-B'!B6&lt;&gt;0,'4A-B'!B6,"")</f>
        <v/>
      </c>
      <c r="C8" s="61" t="str">
        <f>IF('4A-B'!C6&lt;&gt;0,'4A-B'!C6,"")</f>
        <v/>
      </c>
      <c r="D8" s="62" t="str">
        <f>IF('4A-B'!D6&lt;&gt;0,'4A-B'!D6,"")</f>
        <v/>
      </c>
      <c r="E8" s="43"/>
      <c r="F8" s="42"/>
      <c r="G8" s="28" t="e">
        <f t="shared" si="0"/>
        <v>#DIV/0!</v>
      </c>
      <c r="H8" s="39"/>
      <c r="I8" s="40"/>
      <c r="J8" s="29" t="e">
        <f t="shared" si="1"/>
        <v>#DIV/0!</v>
      </c>
      <c r="K8" s="87">
        <f>Tabela273681012141619212325[[#This Row],[Nº]]</f>
        <v>4</v>
      </c>
      <c r="L8" s="41"/>
      <c r="M8" s="42"/>
      <c r="N8" s="28" t="e">
        <f t="shared" si="2"/>
        <v>#DIV/0!</v>
      </c>
      <c r="O8" s="39"/>
      <c r="P8" s="40"/>
      <c r="Q8" s="29" t="e">
        <f t="shared" si="3"/>
        <v>#DIV/0!</v>
      </c>
      <c r="R8" s="87">
        <f>Tabela273681012141619212325[[#This Row],[Nº]]</f>
        <v>4</v>
      </c>
      <c r="S8" s="41"/>
      <c r="T8" s="42"/>
      <c r="U8" s="28" t="e">
        <f t="shared" si="4"/>
        <v>#DIV/0!</v>
      </c>
      <c r="V8" s="39"/>
      <c r="W8" s="40"/>
      <c r="X8" s="29" t="e">
        <f t="shared" si="5"/>
        <v>#DIV/0!</v>
      </c>
      <c r="Y8" s="87">
        <f>Tabela273681012141619212325[[#This Row],[Nº]]</f>
        <v>4</v>
      </c>
      <c r="Z8" s="41"/>
      <c r="AA8" s="42"/>
      <c r="AB8" s="28" t="e">
        <f t="shared" si="6"/>
        <v>#DIV/0!</v>
      </c>
      <c r="AC8" s="39"/>
      <c r="AD8" s="40"/>
      <c r="AE8" s="30" t="e">
        <f t="shared" si="7"/>
        <v>#DIV/0!</v>
      </c>
    </row>
    <row r="9" spans="1:31" ht="15">
      <c r="A9" s="72">
        <v>5</v>
      </c>
      <c r="B9" s="60" t="str">
        <f>IF('4A-B'!B7&lt;&gt;0,'4A-B'!B7,"")</f>
        <v/>
      </c>
      <c r="C9" s="61" t="str">
        <f>IF('4A-B'!C7&lt;&gt;0,'4A-B'!C7,"")</f>
        <v/>
      </c>
      <c r="D9" s="62" t="str">
        <f>IF('4A-B'!D7&lt;&gt;0,'4A-B'!D7,"")</f>
        <v/>
      </c>
      <c r="E9" s="43"/>
      <c r="F9" s="42"/>
      <c r="G9" s="28" t="e">
        <f t="shared" si="0"/>
        <v>#DIV/0!</v>
      </c>
      <c r="H9" s="39"/>
      <c r="I9" s="40"/>
      <c r="J9" s="29" t="e">
        <f t="shared" si="1"/>
        <v>#DIV/0!</v>
      </c>
      <c r="K9" s="87">
        <f>Tabela273681012141619212325[[#This Row],[Nº]]</f>
        <v>5</v>
      </c>
      <c r="L9" s="41"/>
      <c r="M9" s="42"/>
      <c r="N9" s="28" t="e">
        <f t="shared" si="2"/>
        <v>#DIV/0!</v>
      </c>
      <c r="O9" s="39"/>
      <c r="P9" s="40"/>
      <c r="Q9" s="29" t="e">
        <f t="shared" si="3"/>
        <v>#DIV/0!</v>
      </c>
      <c r="R9" s="87">
        <f>Tabela273681012141619212325[[#This Row],[Nº]]</f>
        <v>5</v>
      </c>
      <c r="S9" s="41"/>
      <c r="T9" s="42"/>
      <c r="U9" s="28" t="e">
        <f t="shared" si="4"/>
        <v>#DIV/0!</v>
      </c>
      <c r="V9" s="39"/>
      <c r="W9" s="40"/>
      <c r="X9" s="29" t="e">
        <f t="shared" si="5"/>
        <v>#DIV/0!</v>
      </c>
      <c r="Y9" s="87">
        <f>Tabela273681012141619212325[[#This Row],[Nº]]</f>
        <v>5</v>
      </c>
      <c r="Z9" s="41"/>
      <c r="AA9" s="42"/>
      <c r="AB9" s="28" t="e">
        <f t="shared" si="6"/>
        <v>#DIV/0!</v>
      </c>
      <c r="AC9" s="39"/>
      <c r="AD9" s="40"/>
      <c r="AE9" s="30" t="e">
        <f t="shared" si="7"/>
        <v>#DIV/0!</v>
      </c>
    </row>
    <row r="10" spans="1:31" ht="15">
      <c r="A10" s="72">
        <v>6</v>
      </c>
      <c r="B10" s="60" t="str">
        <f>IF('4A-B'!B8&lt;&gt;0,'4A-B'!B8,"")</f>
        <v/>
      </c>
      <c r="C10" s="61" t="str">
        <f>IF('4A-B'!C8&lt;&gt;0,'4A-B'!C8,"")</f>
        <v/>
      </c>
      <c r="D10" s="62" t="str">
        <f>IF('4A-B'!D8&lt;&gt;0,'4A-B'!D8,"")</f>
        <v/>
      </c>
      <c r="E10" s="43"/>
      <c r="F10" s="42"/>
      <c r="G10" s="28" t="e">
        <f t="shared" si="0"/>
        <v>#DIV/0!</v>
      </c>
      <c r="H10" s="39"/>
      <c r="I10" s="40"/>
      <c r="J10" s="29" t="e">
        <f t="shared" si="1"/>
        <v>#DIV/0!</v>
      </c>
      <c r="K10" s="87">
        <f>Tabela273681012141619212325[[#This Row],[Nº]]</f>
        <v>6</v>
      </c>
      <c r="L10" s="41"/>
      <c r="M10" s="42"/>
      <c r="N10" s="28" t="e">
        <f t="shared" si="2"/>
        <v>#DIV/0!</v>
      </c>
      <c r="O10" s="39"/>
      <c r="P10" s="40"/>
      <c r="Q10" s="29" t="e">
        <f t="shared" si="3"/>
        <v>#DIV/0!</v>
      </c>
      <c r="R10" s="87">
        <f>Tabela273681012141619212325[[#This Row],[Nº]]</f>
        <v>6</v>
      </c>
      <c r="S10" s="41"/>
      <c r="T10" s="42"/>
      <c r="U10" s="28" t="e">
        <f t="shared" si="4"/>
        <v>#DIV/0!</v>
      </c>
      <c r="V10" s="39"/>
      <c r="W10" s="40"/>
      <c r="X10" s="29" t="e">
        <f t="shared" si="5"/>
        <v>#DIV/0!</v>
      </c>
      <c r="Y10" s="87">
        <f>Tabela273681012141619212325[[#This Row],[Nº]]</f>
        <v>6</v>
      </c>
      <c r="Z10" s="41"/>
      <c r="AA10" s="42"/>
      <c r="AB10" s="28" t="e">
        <f t="shared" si="6"/>
        <v>#DIV/0!</v>
      </c>
      <c r="AC10" s="39"/>
      <c r="AD10" s="40"/>
      <c r="AE10" s="30" t="e">
        <f t="shared" si="7"/>
        <v>#DIV/0!</v>
      </c>
    </row>
    <row r="11" spans="1:31" ht="15">
      <c r="A11" s="72">
        <v>7</v>
      </c>
      <c r="B11" s="60" t="str">
        <f>IF('4A-B'!B9&lt;&gt;0,'4A-B'!B9,"")</f>
        <v/>
      </c>
      <c r="C11" s="61" t="str">
        <f>IF('4A-B'!C9&lt;&gt;0,'4A-B'!C9,"")</f>
        <v/>
      </c>
      <c r="D11" s="62" t="str">
        <f>IF('4A-B'!D9&lt;&gt;0,'4A-B'!D9,"")</f>
        <v/>
      </c>
      <c r="E11" s="43"/>
      <c r="F11" s="42"/>
      <c r="G11" s="28" t="e">
        <f t="shared" si="0"/>
        <v>#DIV/0!</v>
      </c>
      <c r="H11" s="39"/>
      <c r="I11" s="40"/>
      <c r="J11" s="29" t="e">
        <f t="shared" si="1"/>
        <v>#DIV/0!</v>
      </c>
      <c r="K11" s="87">
        <f>Tabela273681012141619212325[[#This Row],[Nº]]</f>
        <v>7</v>
      </c>
      <c r="L11" s="41"/>
      <c r="M11" s="42"/>
      <c r="N11" s="28" t="e">
        <f t="shared" si="2"/>
        <v>#DIV/0!</v>
      </c>
      <c r="O11" s="39"/>
      <c r="P11" s="40"/>
      <c r="Q11" s="29" t="e">
        <f t="shared" si="3"/>
        <v>#DIV/0!</v>
      </c>
      <c r="R11" s="87">
        <f>Tabela273681012141619212325[[#This Row],[Nº]]</f>
        <v>7</v>
      </c>
      <c r="S11" s="41"/>
      <c r="T11" s="42"/>
      <c r="U11" s="28" t="e">
        <f t="shared" si="4"/>
        <v>#DIV/0!</v>
      </c>
      <c r="V11" s="39"/>
      <c r="W11" s="40"/>
      <c r="X11" s="29" t="e">
        <f t="shared" si="5"/>
        <v>#DIV/0!</v>
      </c>
      <c r="Y11" s="87">
        <f>Tabela273681012141619212325[[#This Row],[Nº]]</f>
        <v>7</v>
      </c>
      <c r="Z11" s="41"/>
      <c r="AA11" s="42"/>
      <c r="AB11" s="28" t="e">
        <f t="shared" si="6"/>
        <v>#DIV/0!</v>
      </c>
      <c r="AC11" s="39"/>
      <c r="AD11" s="40"/>
      <c r="AE11" s="30" t="e">
        <f t="shared" si="7"/>
        <v>#DIV/0!</v>
      </c>
    </row>
    <row r="12" spans="1:31" ht="15">
      <c r="A12" s="72">
        <v>8</v>
      </c>
      <c r="B12" s="60" t="str">
        <f>IF('4A-B'!B10&lt;&gt;0,'4A-B'!B10,"")</f>
        <v/>
      </c>
      <c r="C12" s="61" t="str">
        <f>IF('4A-B'!C10&lt;&gt;0,'4A-B'!C10,"")</f>
        <v/>
      </c>
      <c r="D12" s="62" t="str">
        <f>IF('4A-B'!D10&lt;&gt;0,'4A-B'!D10,"")</f>
        <v/>
      </c>
      <c r="E12" s="43"/>
      <c r="F12" s="42"/>
      <c r="G12" s="28" t="e">
        <f t="shared" si="0"/>
        <v>#DIV/0!</v>
      </c>
      <c r="H12" s="39"/>
      <c r="I12" s="40"/>
      <c r="J12" s="29" t="e">
        <f t="shared" si="1"/>
        <v>#DIV/0!</v>
      </c>
      <c r="K12" s="87">
        <f>Tabela273681012141619212325[[#This Row],[Nº]]</f>
        <v>8</v>
      </c>
      <c r="L12" s="41"/>
      <c r="M12" s="42"/>
      <c r="N12" s="28" t="e">
        <f t="shared" si="2"/>
        <v>#DIV/0!</v>
      </c>
      <c r="O12" s="39"/>
      <c r="P12" s="40"/>
      <c r="Q12" s="29" t="e">
        <f t="shared" si="3"/>
        <v>#DIV/0!</v>
      </c>
      <c r="R12" s="87">
        <f>Tabela273681012141619212325[[#This Row],[Nº]]</f>
        <v>8</v>
      </c>
      <c r="S12" s="41"/>
      <c r="T12" s="42"/>
      <c r="U12" s="28" t="e">
        <f t="shared" si="4"/>
        <v>#DIV/0!</v>
      </c>
      <c r="V12" s="39"/>
      <c r="W12" s="40"/>
      <c r="X12" s="29" t="e">
        <f t="shared" si="5"/>
        <v>#DIV/0!</v>
      </c>
      <c r="Y12" s="87">
        <f>Tabela273681012141619212325[[#This Row],[Nº]]</f>
        <v>8</v>
      </c>
      <c r="Z12" s="41"/>
      <c r="AA12" s="42"/>
      <c r="AB12" s="28" t="e">
        <f t="shared" si="6"/>
        <v>#DIV/0!</v>
      </c>
      <c r="AC12" s="39"/>
      <c r="AD12" s="40"/>
      <c r="AE12" s="30" t="e">
        <f t="shared" si="7"/>
        <v>#DIV/0!</v>
      </c>
    </row>
    <row r="13" spans="1:31" ht="15">
      <c r="A13" s="72">
        <v>9</v>
      </c>
      <c r="B13" s="60" t="str">
        <f>IF('4A-B'!B11&lt;&gt;0,'4A-B'!B11,"")</f>
        <v/>
      </c>
      <c r="C13" s="61" t="str">
        <f>IF('4A-B'!C11&lt;&gt;0,'4A-B'!C11,"")</f>
        <v/>
      </c>
      <c r="D13" s="62" t="str">
        <f>IF('4A-B'!D11&lt;&gt;0,'4A-B'!D11,"")</f>
        <v/>
      </c>
      <c r="E13" s="43"/>
      <c r="F13" s="42"/>
      <c r="G13" s="28" t="e">
        <f t="shared" si="0"/>
        <v>#DIV/0!</v>
      </c>
      <c r="H13" s="39"/>
      <c r="I13" s="40"/>
      <c r="J13" s="29" t="e">
        <f t="shared" si="1"/>
        <v>#DIV/0!</v>
      </c>
      <c r="K13" s="87">
        <f>Tabela273681012141619212325[[#This Row],[Nº]]</f>
        <v>9</v>
      </c>
      <c r="L13" s="41"/>
      <c r="M13" s="42"/>
      <c r="N13" s="28" t="e">
        <f t="shared" si="2"/>
        <v>#DIV/0!</v>
      </c>
      <c r="O13" s="39"/>
      <c r="P13" s="40"/>
      <c r="Q13" s="29" t="e">
        <f t="shared" si="3"/>
        <v>#DIV/0!</v>
      </c>
      <c r="R13" s="87">
        <f>Tabela273681012141619212325[[#This Row],[Nº]]</f>
        <v>9</v>
      </c>
      <c r="S13" s="41"/>
      <c r="T13" s="42"/>
      <c r="U13" s="28" t="e">
        <f t="shared" si="4"/>
        <v>#DIV/0!</v>
      </c>
      <c r="V13" s="39"/>
      <c r="W13" s="40"/>
      <c r="X13" s="29" t="e">
        <f t="shared" si="5"/>
        <v>#DIV/0!</v>
      </c>
      <c r="Y13" s="87">
        <f>Tabela273681012141619212325[[#This Row],[Nº]]</f>
        <v>9</v>
      </c>
      <c r="Z13" s="41"/>
      <c r="AA13" s="42"/>
      <c r="AB13" s="28" t="e">
        <f t="shared" si="6"/>
        <v>#DIV/0!</v>
      </c>
      <c r="AC13" s="39"/>
      <c r="AD13" s="40"/>
      <c r="AE13" s="30" t="e">
        <f t="shared" si="7"/>
        <v>#DIV/0!</v>
      </c>
    </row>
    <row r="14" spans="1:31" ht="15">
      <c r="A14" s="72">
        <v>10</v>
      </c>
      <c r="B14" s="60" t="str">
        <f>IF('4A-B'!B12&lt;&gt;0,'4A-B'!B12,"")</f>
        <v/>
      </c>
      <c r="C14" s="61" t="str">
        <f>IF('4A-B'!C12&lt;&gt;0,'4A-B'!C12,"")</f>
        <v/>
      </c>
      <c r="D14" s="62" t="str">
        <f>IF('4A-B'!D12&lt;&gt;0,'4A-B'!D12,"")</f>
        <v/>
      </c>
      <c r="E14" s="43"/>
      <c r="F14" s="42"/>
      <c r="G14" s="28" t="e">
        <f t="shared" si="0"/>
        <v>#DIV/0!</v>
      </c>
      <c r="H14" s="39"/>
      <c r="I14" s="40"/>
      <c r="J14" s="29" t="e">
        <f t="shared" si="1"/>
        <v>#DIV/0!</v>
      </c>
      <c r="K14" s="87">
        <f>Tabela273681012141619212325[[#This Row],[Nº]]</f>
        <v>10</v>
      </c>
      <c r="L14" s="41"/>
      <c r="M14" s="42"/>
      <c r="N14" s="28" t="e">
        <f t="shared" si="2"/>
        <v>#DIV/0!</v>
      </c>
      <c r="O14" s="39"/>
      <c r="P14" s="40"/>
      <c r="Q14" s="29" t="e">
        <f t="shared" si="3"/>
        <v>#DIV/0!</v>
      </c>
      <c r="R14" s="87">
        <f>Tabela273681012141619212325[[#This Row],[Nº]]</f>
        <v>10</v>
      </c>
      <c r="S14" s="41"/>
      <c r="T14" s="42"/>
      <c r="U14" s="28" t="e">
        <f t="shared" si="4"/>
        <v>#DIV/0!</v>
      </c>
      <c r="V14" s="39"/>
      <c r="W14" s="40"/>
      <c r="X14" s="29" t="e">
        <f t="shared" si="5"/>
        <v>#DIV/0!</v>
      </c>
      <c r="Y14" s="87">
        <f>Tabela273681012141619212325[[#This Row],[Nº]]</f>
        <v>10</v>
      </c>
      <c r="Z14" s="41"/>
      <c r="AA14" s="42"/>
      <c r="AB14" s="28" t="e">
        <f t="shared" si="6"/>
        <v>#DIV/0!</v>
      </c>
      <c r="AC14" s="39"/>
      <c r="AD14" s="40"/>
      <c r="AE14" s="30" t="e">
        <f t="shared" si="7"/>
        <v>#DIV/0!</v>
      </c>
    </row>
    <row r="15" spans="1:31" ht="15">
      <c r="A15" s="72">
        <v>11</v>
      </c>
      <c r="B15" s="60" t="str">
        <f>IF('4A-B'!B13&lt;&gt;0,'4A-B'!B13,"")</f>
        <v/>
      </c>
      <c r="C15" s="61" t="str">
        <f>IF('4A-B'!C13&lt;&gt;0,'4A-B'!C13,"")</f>
        <v/>
      </c>
      <c r="D15" s="62" t="str">
        <f>IF('4A-B'!D13&lt;&gt;0,'4A-B'!D13,"")</f>
        <v/>
      </c>
      <c r="E15" s="43"/>
      <c r="F15" s="42"/>
      <c r="G15" s="28" t="e">
        <f t="shared" si="0"/>
        <v>#DIV/0!</v>
      </c>
      <c r="H15" s="39"/>
      <c r="I15" s="40"/>
      <c r="J15" s="29" t="e">
        <f t="shared" si="1"/>
        <v>#DIV/0!</v>
      </c>
      <c r="K15" s="87">
        <f>Tabela273681012141619212325[[#This Row],[Nº]]</f>
        <v>11</v>
      </c>
      <c r="L15" s="41"/>
      <c r="M15" s="42"/>
      <c r="N15" s="28" t="e">
        <f t="shared" si="2"/>
        <v>#DIV/0!</v>
      </c>
      <c r="O15" s="39"/>
      <c r="P15" s="40"/>
      <c r="Q15" s="29" t="e">
        <f t="shared" si="3"/>
        <v>#DIV/0!</v>
      </c>
      <c r="R15" s="87">
        <f>Tabela273681012141619212325[[#This Row],[Nº]]</f>
        <v>11</v>
      </c>
      <c r="S15" s="41"/>
      <c r="T15" s="42"/>
      <c r="U15" s="28" t="e">
        <f t="shared" si="4"/>
        <v>#DIV/0!</v>
      </c>
      <c r="V15" s="39"/>
      <c r="W15" s="40"/>
      <c r="X15" s="29" t="e">
        <f t="shared" si="5"/>
        <v>#DIV/0!</v>
      </c>
      <c r="Y15" s="87">
        <f>Tabela273681012141619212325[[#This Row],[Nº]]</f>
        <v>11</v>
      </c>
      <c r="Z15" s="41"/>
      <c r="AA15" s="42"/>
      <c r="AB15" s="28" t="e">
        <f t="shared" si="6"/>
        <v>#DIV/0!</v>
      </c>
      <c r="AC15" s="39"/>
      <c r="AD15" s="40"/>
      <c r="AE15" s="30" t="e">
        <f t="shared" si="7"/>
        <v>#DIV/0!</v>
      </c>
    </row>
    <row r="16" spans="1:31" ht="15">
      <c r="A16" s="72">
        <v>12</v>
      </c>
      <c r="B16" s="60" t="str">
        <f>IF('4A-B'!B14&lt;&gt;0,'4A-B'!B14,"")</f>
        <v/>
      </c>
      <c r="C16" s="61" t="str">
        <f>IF('4A-B'!C14&lt;&gt;0,'4A-B'!C14,"")</f>
        <v/>
      </c>
      <c r="D16" s="62" t="str">
        <f>IF('4A-B'!D14&lt;&gt;0,'4A-B'!D14,"")</f>
        <v/>
      </c>
      <c r="E16" s="43"/>
      <c r="F16" s="42"/>
      <c r="G16" s="28" t="e">
        <f t="shared" si="0"/>
        <v>#DIV/0!</v>
      </c>
      <c r="H16" s="39"/>
      <c r="I16" s="40"/>
      <c r="J16" s="29" t="e">
        <f t="shared" si="1"/>
        <v>#DIV/0!</v>
      </c>
      <c r="K16" s="87">
        <f>Tabela273681012141619212325[[#This Row],[Nº]]</f>
        <v>12</v>
      </c>
      <c r="L16" s="41"/>
      <c r="M16" s="42"/>
      <c r="N16" s="28" t="e">
        <f t="shared" si="2"/>
        <v>#DIV/0!</v>
      </c>
      <c r="O16" s="39"/>
      <c r="P16" s="40"/>
      <c r="Q16" s="29" t="e">
        <f t="shared" si="3"/>
        <v>#DIV/0!</v>
      </c>
      <c r="R16" s="87">
        <f>Tabela273681012141619212325[[#This Row],[Nº]]</f>
        <v>12</v>
      </c>
      <c r="S16" s="41"/>
      <c r="T16" s="42"/>
      <c r="U16" s="28" t="e">
        <f t="shared" si="4"/>
        <v>#DIV/0!</v>
      </c>
      <c r="V16" s="39"/>
      <c r="W16" s="40"/>
      <c r="X16" s="29" t="e">
        <f t="shared" si="5"/>
        <v>#DIV/0!</v>
      </c>
      <c r="Y16" s="87">
        <f>Tabela273681012141619212325[[#This Row],[Nº]]</f>
        <v>12</v>
      </c>
      <c r="Z16" s="41"/>
      <c r="AA16" s="42"/>
      <c r="AB16" s="28" t="e">
        <f t="shared" si="6"/>
        <v>#DIV/0!</v>
      </c>
      <c r="AC16" s="39"/>
      <c r="AD16" s="40"/>
      <c r="AE16" s="30" t="e">
        <f t="shared" si="7"/>
        <v>#DIV/0!</v>
      </c>
    </row>
    <row r="17" spans="1:31" ht="15">
      <c r="A17" s="72">
        <v>13</v>
      </c>
      <c r="B17" s="60" t="str">
        <f>IF('4A-B'!B15&lt;&gt;0,'4A-B'!B15,"")</f>
        <v/>
      </c>
      <c r="C17" s="61" t="str">
        <f>IF('4A-B'!C15&lt;&gt;0,'4A-B'!C15,"")</f>
        <v/>
      </c>
      <c r="D17" s="62" t="str">
        <f>IF('4A-B'!D15&lt;&gt;0,'4A-B'!D15,"")</f>
        <v/>
      </c>
      <c r="E17" s="43"/>
      <c r="F17" s="42"/>
      <c r="G17" s="28" t="e">
        <f t="shared" si="0"/>
        <v>#DIV/0!</v>
      </c>
      <c r="H17" s="39"/>
      <c r="I17" s="40"/>
      <c r="J17" s="29" t="e">
        <f t="shared" si="1"/>
        <v>#DIV/0!</v>
      </c>
      <c r="K17" s="87">
        <f>Tabela273681012141619212325[[#This Row],[Nº]]</f>
        <v>13</v>
      </c>
      <c r="L17" s="41"/>
      <c r="M17" s="42"/>
      <c r="N17" s="28" t="e">
        <f t="shared" si="2"/>
        <v>#DIV/0!</v>
      </c>
      <c r="O17" s="39"/>
      <c r="P17" s="40"/>
      <c r="Q17" s="29" t="e">
        <f t="shared" si="3"/>
        <v>#DIV/0!</v>
      </c>
      <c r="R17" s="87">
        <f>Tabela273681012141619212325[[#This Row],[Nº]]</f>
        <v>13</v>
      </c>
      <c r="S17" s="41"/>
      <c r="T17" s="42"/>
      <c r="U17" s="28" t="e">
        <f t="shared" si="4"/>
        <v>#DIV/0!</v>
      </c>
      <c r="V17" s="39"/>
      <c r="W17" s="40"/>
      <c r="X17" s="29" t="e">
        <f t="shared" si="5"/>
        <v>#DIV/0!</v>
      </c>
      <c r="Y17" s="87">
        <f>Tabela273681012141619212325[[#This Row],[Nº]]</f>
        <v>13</v>
      </c>
      <c r="Z17" s="41"/>
      <c r="AA17" s="42"/>
      <c r="AB17" s="28" t="e">
        <f t="shared" si="6"/>
        <v>#DIV/0!</v>
      </c>
      <c r="AC17" s="39"/>
      <c r="AD17" s="40"/>
      <c r="AE17" s="30" t="e">
        <f t="shared" si="7"/>
        <v>#DIV/0!</v>
      </c>
    </row>
    <row r="18" spans="1:31" ht="15">
      <c r="A18" s="72">
        <v>14</v>
      </c>
      <c r="B18" s="60" t="str">
        <f>IF('4A-B'!B16&lt;&gt;0,'4A-B'!B16,"")</f>
        <v/>
      </c>
      <c r="C18" s="61" t="str">
        <f>IF('4A-B'!C16&lt;&gt;0,'4A-B'!C16,"")</f>
        <v/>
      </c>
      <c r="D18" s="62" t="str">
        <f>IF('4A-B'!D16&lt;&gt;0,'4A-B'!D16,"")</f>
        <v/>
      </c>
      <c r="E18" s="43"/>
      <c r="F18" s="42"/>
      <c r="G18" s="28" t="e">
        <f t="shared" si="0"/>
        <v>#DIV/0!</v>
      </c>
      <c r="H18" s="39"/>
      <c r="I18" s="40"/>
      <c r="J18" s="29" t="e">
        <f t="shared" si="1"/>
        <v>#DIV/0!</v>
      </c>
      <c r="K18" s="87">
        <f>Tabela273681012141619212325[[#This Row],[Nº]]</f>
        <v>14</v>
      </c>
      <c r="L18" s="41"/>
      <c r="M18" s="42"/>
      <c r="N18" s="28" t="e">
        <f t="shared" si="2"/>
        <v>#DIV/0!</v>
      </c>
      <c r="O18" s="39"/>
      <c r="P18" s="40"/>
      <c r="Q18" s="29" t="e">
        <f t="shared" si="3"/>
        <v>#DIV/0!</v>
      </c>
      <c r="R18" s="87">
        <f>Tabela273681012141619212325[[#This Row],[Nº]]</f>
        <v>14</v>
      </c>
      <c r="S18" s="41"/>
      <c r="T18" s="42"/>
      <c r="U18" s="28" t="e">
        <f t="shared" si="4"/>
        <v>#DIV/0!</v>
      </c>
      <c r="V18" s="39"/>
      <c r="W18" s="40"/>
      <c r="X18" s="29" t="e">
        <f t="shared" si="5"/>
        <v>#DIV/0!</v>
      </c>
      <c r="Y18" s="87">
        <f>Tabela273681012141619212325[[#This Row],[Nº]]</f>
        <v>14</v>
      </c>
      <c r="Z18" s="41"/>
      <c r="AA18" s="42"/>
      <c r="AB18" s="28" t="e">
        <f t="shared" si="6"/>
        <v>#DIV/0!</v>
      </c>
      <c r="AC18" s="39"/>
      <c r="AD18" s="40"/>
      <c r="AE18" s="30" t="e">
        <f t="shared" si="7"/>
        <v>#DIV/0!</v>
      </c>
    </row>
    <row r="19" spans="1:31" ht="15">
      <c r="A19" s="72">
        <v>15</v>
      </c>
      <c r="B19" s="60" t="str">
        <f>IF('4A-B'!B17&lt;&gt;0,'4A-B'!B17,"")</f>
        <v/>
      </c>
      <c r="C19" s="61" t="str">
        <f>IF('4A-B'!C17&lt;&gt;0,'4A-B'!C17,"")</f>
        <v/>
      </c>
      <c r="D19" s="62" t="str">
        <f>IF('4A-B'!D17&lt;&gt;0,'4A-B'!D17,"")</f>
        <v/>
      </c>
      <c r="E19" s="43"/>
      <c r="F19" s="42"/>
      <c r="G19" s="28" t="e">
        <f t="shared" si="0"/>
        <v>#DIV/0!</v>
      </c>
      <c r="H19" s="39"/>
      <c r="I19" s="40"/>
      <c r="J19" s="29" t="e">
        <f t="shared" si="1"/>
        <v>#DIV/0!</v>
      </c>
      <c r="K19" s="87">
        <f>Tabela273681012141619212325[[#This Row],[Nº]]</f>
        <v>15</v>
      </c>
      <c r="L19" s="41"/>
      <c r="M19" s="42"/>
      <c r="N19" s="28" t="e">
        <f t="shared" si="2"/>
        <v>#DIV/0!</v>
      </c>
      <c r="O19" s="39"/>
      <c r="P19" s="40"/>
      <c r="Q19" s="29" t="e">
        <f t="shared" si="3"/>
        <v>#DIV/0!</v>
      </c>
      <c r="R19" s="87">
        <f>Tabela273681012141619212325[[#This Row],[Nº]]</f>
        <v>15</v>
      </c>
      <c r="S19" s="41"/>
      <c r="T19" s="42"/>
      <c r="U19" s="28" t="e">
        <f t="shared" si="4"/>
        <v>#DIV/0!</v>
      </c>
      <c r="V19" s="39"/>
      <c r="W19" s="40"/>
      <c r="X19" s="29" t="e">
        <f t="shared" si="5"/>
        <v>#DIV/0!</v>
      </c>
      <c r="Y19" s="87">
        <f>Tabela273681012141619212325[[#This Row],[Nº]]</f>
        <v>15</v>
      </c>
      <c r="Z19" s="41"/>
      <c r="AA19" s="42"/>
      <c r="AB19" s="28" t="e">
        <f t="shared" si="6"/>
        <v>#DIV/0!</v>
      </c>
      <c r="AC19" s="39"/>
      <c r="AD19" s="40"/>
      <c r="AE19" s="30" t="e">
        <f t="shared" si="7"/>
        <v>#DIV/0!</v>
      </c>
    </row>
    <row r="20" spans="1:31" ht="15">
      <c r="A20" s="72">
        <v>16</v>
      </c>
      <c r="B20" s="60" t="str">
        <f>IF('4A-B'!B18&lt;&gt;0,'4A-B'!B18,"")</f>
        <v/>
      </c>
      <c r="C20" s="61" t="str">
        <f>IF('4A-B'!C18&lt;&gt;0,'4A-B'!C18,"")</f>
        <v/>
      </c>
      <c r="D20" s="62" t="str">
        <f>IF('4A-B'!D18&lt;&gt;0,'4A-B'!D18,"")</f>
        <v/>
      </c>
      <c r="E20" s="43"/>
      <c r="F20" s="42"/>
      <c r="G20" s="28" t="e">
        <f t="shared" si="0"/>
        <v>#DIV/0!</v>
      </c>
      <c r="H20" s="39"/>
      <c r="I20" s="40"/>
      <c r="J20" s="29" t="e">
        <f t="shared" si="1"/>
        <v>#DIV/0!</v>
      </c>
      <c r="K20" s="87">
        <f>Tabela273681012141619212325[[#This Row],[Nº]]</f>
        <v>16</v>
      </c>
      <c r="L20" s="41"/>
      <c r="M20" s="42"/>
      <c r="N20" s="28" t="e">
        <f t="shared" si="2"/>
        <v>#DIV/0!</v>
      </c>
      <c r="O20" s="39"/>
      <c r="P20" s="40"/>
      <c r="Q20" s="29" t="e">
        <f t="shared" si="3"/>
        <v>#DIV/0!</v>
      </c>
      <c r="R20" s="87">
        <f>Tabela273681012141619212325[[#This Row],[Nº]]</f>
        <v>16</v>
      </c>
      <c r="S20" s="41"/>
      <c r="T20" s="42"/>
      <c r="U20" s="28" t="e">
        <f t="shared" si="4"/>
        <v>#DIV/0!</v>
      </c>
      <c r="V20" s="39"/>
      <c r="W20" s="40"/>
      <c r="X20" s="29" t="e">
        <f t="shared" si="5"/>
        <v>#DIV/0!</v>
      </c>
      <c r="Y20" s="87">
        <f>Tabela273681012141619212325[[#This Row],[Nº]]</f>
        <v>16</v>
      </c>
      <c r="Z20" s="41"/>
      <c r="AA20" s="42"/>
      <c r="AB20" s="28" t="e">
        <f t="shared" si="6"/>
        <v>#DIV/0!</v>
      </c>
      <c r="AC20" s="39"/>
      <c r="AD20" s="40"/>
      <c r="AE20" s="30" t="e">
        <f t="shared" si="7"/>
        <v>#DIV/0!</v>
      </c>
    </row>
    <row r="21" spans="1:31" ht="15">
      <c r="A21" s="72">
        <v>17</v>
      </c>
      <c r="B21" s="60" t="str">
        <f>IF('4A-B'!B19&lt;&gt;0,'4A-B'!B19,"")</f>
        <v/>
      </c>
      <c r="C21" s="61" t="str">
        <f>IF('4A-B'!C19&lt;&gt;0,'4A-B'!C19,"")</f>
        <v/>
      </c>
      <c r="D21" s="62" t="str">
        <f>IF('4A-B'!D19&lt;&gt;0,'4A-B'!D19,"")</f>
        <v/>
      </c>
      <c r="E21" s="43"/>
      <c r="F21" s="42"/>
      <c r="G21" s="28" t="e">
        <f t="shared" si="0"/>
        <v>#DIV/0!</v>
      </c>
      <c r="H21" s="39"/>
      <c r="I21" s="40"/>
      <c r="J21" s="29" t="e">
        <f t="shared" si="1"/>
        <v>#DIV/0!</v>
      </c>
      <c r="K21" s="87">
        <f>Tabela273681012141619212325[[#This Row],[Nº]]</f>
        <v>17</v>
      </c>
      <c r="L21" s="41"/>
      <c r="M21" s="42"/>
      <c r="N21" s="28" t="e">
        <f t="shared" si="2"/>
        <v>#DIV/0!</v>
      </c>
      <c r="O21" s="39"/>
      <c r="P21" s="40"/>
      <c r="Q21" s="29" t="e">
        <f t="shared" si="3"/>
        <v>#DIV/0!</v>
      </c>
      <c r="R21" s="87">
        <f>Tabela273681012141619212325[[#This Row],[Nº]]</f>
        <v>17</v>
      </c>
      <c r="S21" s="41"/>
      <c r="T21" s="42"/>
      <c r="U21" s="28" t="e">
        <f t="shared" si="4"/>
        <v>#DIV/0!</v>
      </c>
      <c r="V21" s="39"/>
      <c r="W21" s="40"/>
      <c r="X21" s="29" t="e">
        <f t="shared" si="5"/>
        <v>#DIV/0!</v>
      </c>
      <c r="Y21" s="87">
        <f>Tabela273681012141619212325[[#This Row],[Nº]]</f>
        <v>17</v>
      </c>
      <c r="Z21" s="41"/>
      <c r="AA21" s="42"/>
      <c r="AB21" s="28" t="e">
        <f t="shared" si="6"/>
        <v>#DIV/0!</v>
      </c>
      <c r="AC21" s="39"/>
      <c r="AD21" s="40"/>
      <c r="AE21" s="30" t="e">
        <f t="shared" si="7"/>
        <v>#DIV/0!</v>
      </c>
    </row>
    <row r="22" spans="1:31" ht="15">
      <c r="A22" s="72">
        <v>18</v>
      </c>
      <c r="B22" s="60" t="str">
        <f>IF('4A-B'!B20&lt;&gt;0,'4A-B'!B20,"")</f>
        <v/>
      </c>
      <c r="C22" s="61" t="str">
        <f>IF('4A-B'!C20&lt;&gt;0,'4A-B'!C20,"")</f>
        <v/>
      </c>
      <c r="D22" s="62" t="str">
        <f>IF('4A-B'!D20&lt;&gt;0,'4A-B'!D20,"")</f>
        <v/>
      </c>
      <c r="E22" s="43"/>
      <c r="F22" s="42"/>
      <c r="G22" s="28" t="e">
        <f t="shared" si="0"/>
        <v>#DIV/0!</v>
      </c>
      <c r="H22" s="39"/>
      <c r="I22" s="40"/>
      <c r="J22" s="29" t="e">
        <f t="shared" si="1"/>
        <v>#DIV/0!</v>
      </c>
      <c r="K22" s="87">
        <f>Tabela273681012141619212325[[#This Row],[Nº]]</f>
        <v>18</v>
      </c>
      <c r="L22" s="41"/>
      <c r="M22" s="42"/>
      <c r="N22" s="28" t="e">
        <f t="shared" si="2"/>
        <v>#DIV/0!</v>
      </c>
      <c r="O22" s="39"/>
      <c r="P22" s="40"/>
      <c r="Q22" s="29" t="e">
        <f t="shared" si="3"/>
        <v>#DIV/0!</v>
      </c>
      <c r="R22" s="87">
        <f>Tabela273681012141619212325[[#This Row],[Nº]]</f>
        <v>18</v>
      </c>
      <c r="S22" s="41"/>
      <c r="T22" s="42"/>
      <c r="U22" s="28" t="e">
        <f t="shared" si="4"/>
        <v>#DIV/0!</v>
      </c>
      <c r="V22" s="39"/>
      <c r="W22" s="40"/>
      <c r="X22" s="29" t="e">
        <f t="shared" si="5"/>
        <v>#DIV/0!</v>
      </c>
      <c r="Y22" s="87">
        <f>Tabela273681012141619212325[[#This Row],[Nº]]</f>
        <v>18</v>
      </c>
      <c r="Z22" s="41"/>
      <c r="AA22" s="42"/>
      <c r="AB22" s="28" t="e">
        <f t="shared" si="6"/>
        <v>#DIV/0!</v>
      </c>
      <c r="AC22" s="39"/>
      <c r="AD22" s="40"/>
      <c r="AE22" s="30" t="e">
        <f t="shared" si="7"/>
        <v>#DIV/0!</v>
      </c>
    </row>
    <row r="23" spans="1:31" ht="15">
      <c r="A23" s="72">
        <v>19</v>
      </c>
      <c r="B23" s="60" t="str">
        <f>IF('4A-B'!B21&lt;&gt;0,'4A-B'!B21,"")</f>
        <v/>
      </c>
      <c r="C23" s="61" t="str">
        <f>IF('4A-B'!C21&lt;&gt;0,'4A-B'!C21,"")</f>
        <v/>
      </c>
      <c r="D23" s="62" t="str">
        <f>IF('4A-B'!D21&lt;&gt;0,'4A-B'!D21,"")</f>
        <v/>
      </c>
      <c r="E23" s="43"/>
      <c r="F23" s="42"/>
      <c r="G23" s="28" t="e">
        <f t="shared" si="0"/>
        <v>#DIV/0!</v>
      </c>
      <c r="H23" s="39"/>
      <c r="I23" s="40"/>
      <c r="J23" s="29" t="e">
        <f t="shared" si="1"/>
        <v>#DIV/0!</v>
      </c>
      <c r="K23" s="87">
        <f>Tabela273681012141619212325[[#This Row],[Nº]]</f>
        <v>19</v>
      </c>
      <c r="L23" s="41"/>
      <c r="M23" s="42"/>
      <c r="N23" s="28" t="e">
        <f t="shared" si="2"/>
        <v>#DIV/0!</v>
      </c>
      <c r="O23" s="39"/>
      <c r="P23" s="40"/>
      <c r="Q23" s="29" t="e">
        <f t="shared" si="3"/>
        <v>#DIV/0!</v>
      </c>
      <c r="R23" s="87">
        <f>Tabela273681012141619212325[[#This Row],[Nº]]</f>
        <v>19</v>
      </c>
      <c r="S23" s="41"/>
      <c r="T23" s="42"/>
      <c r="U23" s="28" t="e">
        <f t="shared" si="4"/>
        <v>#DIV/0!</v>
      </c>
      <c r="V23" s="39"/>
      <c r="W23" s="40"/>
      <c r="X23" s="29" t="e">
        <f t="shared" si="5"/>
        <v>#DIV/0!</v>
      </c>
      <c r="Y23" s="87">
        <f>Tabela273681012141619212325[[#This Row],[Nº]]</f>
        <v>19</v>
      </c>
      <c r="Z23" s="41"/>
      <c r="AA23" s="42"/>
      <c r="AB23" s="28" t="e">
        <f t="shared" si="6"/>
        <v>#DIV/0!</v>
      </c>
      <c r="AC23" s="39"/>
      <c r="AD23" s="40"/>
      <c r="AE23" s="30" t="e">
        <f t="shared" si="7"/>
        <v>#DIV/0!</v>
      </c>
    </row>
    <row r="24" spans="1:31" ht="15">
      <c r="A24" s="72">
        <v>20</v>
      </c>
      <c r="B24" s="60" t="str">
        <f>IF('4A-B'!B22&lt;&gt;0,'4A-B'!B22,"")</f>
        <v/>
      </c>
      <c r="C24" s="61" t="str">
        <f>IF('4A-B'!C22&lt;&gt;0,'4A-B'!C22,"")</f>
        <v/>
      </c>
      <c r="D24" s="62" t="str">
        <f>IF('4A-B'!D22&lt;&gt;0,'4A-B'!D22,"")</f>
        <v/>
      </c>
      <c r="E24" s="43"/>
      <c r="F24" s="42"/>
      <c r="G24" s="28" t="e">
        <f t="shared" si="0"/>
        <v>#DIV/0!</v>
      </c>
      <c r="H24" s="39"/>
      <c r="I24" s="40"/>
      <c r="J24" s="29" t="e">
        <f t="shared" si="1"/>
        <v>#DIV/0!</v>
      </c>
      <c r="K24" s="87">
        <f>Tabela273681012141619212325[[#This Row],[Nº]]</f>
        <v>20</v>
      </c>
      <c r="L24" s="41"/>
      <c r="M24" s="42"/>
      <c r="N24" s="28" t="e">
        <f t="shared" si="2"/>
        <v>#DIV/0!</v>
      </c>
      <c r="O24" s="39"/>
      <c r="P24" s="40"/>
      <c r="Q24" s="29" t="e">
        <f t="shared" si="3"/>
        <v>#DIV/0!</v>
      </c>
      <c r="R24" s="87">
        <f>Tabela273681012141619212325[[#This Row],[Nº]]</f>
        <v>20</v>
      </c>
      <c r="S24" s="41"/>
      <c r="T24" s="42"/>
      <c r="U24" s="28" t="e">
        <f t="shared" si="4"/>
        <v>#DIV/0!</v>
      </c>
      <c r="V24" s="39"/>
      <c r="W24" s="40"/>
      <c r="X24" s="29" t="e">
        <f t="shared" si="5"/>
        <v>#DIV/0!</v>
      </c>
      <c r="Y24" s="87">
        <f>Tabela273681012141619212325[[#This Row],[Nº]]</f>
        <v>20</v>
      </c>
      <c r="Z24" s="41"/>
      <c r="AA24" s="42"/>
      <c r="AB24" s="28" t="e">
        <f t="shared" si="6"/>
        <v>#DIV/0!</v>
      </c>
      <c r="AC24" s="39"/>
      <c r="AD24" s="40"/>
      <c r="AE24" s="30" t="e">
        <f t="shared" si="7"/>
        <v>#DIV/0!</v>
      </c>
    </row>
    <row r="25" spans="1:31" ht="15">
      <c r="A25" s="72">
        <v>21</v>
      </c>
      <c r="B25" s="60" t="str">
        <f>IF('4A-B'!B23&lt;&gt;0,'4A-B'!B23,"")</f>
        <v/>
      </c>
      <c r="C25" s="61" t="str">
        <f>IF('4A-B'!C23&lt;&gt;0,'4A-B'!C23,"")</f>
        <v/>
      </c>
      <c r="D25" s="62" t="str">
        <f>IF('4A-B'!D23&lt;&gt;0,'4A-B'!D23,"")</f>
        <v/>
      </c>
      <c r="E25" s="43"/>
      <c r="F25" s="42"/>
      <c r="G25" s="28" t="e">
        <f t="shared" si="0"/>
        <v>#DIV/0!</v>
      </c>
      <c r="H25" s="39"/>
      <c r="I25" s="40"/>
      <c r="J25" s="29" t="e">
        <f t="shared" si="1"/>
        <v>#DIV/0!</v>
      </c>
      <c r="K25" s="87">
        <f>Tabela273681012141619212325[[#This Row],[Nº]]</f>
        <v>21</v>
      </c>
      <c r="L25" s="41"/>
      <c r="M25" s="42"/>
      <c r="N25" s="28" t="e">
        <f t="shared" si="2"/>
        <v>#DIV/0!</v>
      </c>
      <c r="O25" s="39"/>
      <c r="P25" s="40"/>
      <c r="Q25" s="29" t="e">
        <f t="shared" si="3"/>
        <v>#DIV/0!</v>
      </c>
      <c r="R25" s="87">
        <f>Tabela273681012141619212325[[#This Row],[Nº]]</f>
        <v>21</v>
      </c>
      <c r="S25" s="41"/>
      <c r="T25" s="42"/>
      <c r="U25" s="28" t="e">
        <f t="shared" si="4"/>
        <v>#DIV/0!</v>
      </c>
      <c r="V25" s="39"/>
      <c r="W25" s="40"/>
      <c r="X25" s="29" t="e">
        <f t="shared" si="5"/>
        <v>#DIV/0!</v>
      </c>
      <c r="Y25" s="87">
        <f>Tabela273681012141619212325[[#This Row],[Nº]]</f>
        <v>21</v>
      </c>
      <c r="Z25" s="41"/>
      <c r="AA25" s="42"/>
      <c r="AB25" s="28" t="e">
        <f t="shared" si="6"/>
        <v>#DIV/0!</v>
      </c>
      <c r="AC25" s="39"/>
      <c r="AD25" s="40"/>
      <c r="AE25" s="30" t="e">
        <f t="shared" si="7"/>
        <v>#DIV/0!</v>
      </c>
    </row>
    <row r="26" spans="1:31" ht="15">
      <c r="A26" s="72">
        <v>22</v>
      </c>
      <c r="B26" s="60" t="str">
        <f>IF('4A-B'!B24&lt;&gt;0,'4A-B'!B24,"")</f>
        <v/>
      </c>
      <c r="C26" s="61" t="str">
        <f>IF('4A-B'!C24&lt;&gt;0,'4A-B'!C24,"")</f>
        <v/>
      </c>
      <c r="D26" s="62" t="str">
        <f>IF('4A-B'!D24&lt;&gt;0,'4A-B'!D24,"")</f>
        <v/>
      </c>
      <c r="E26" s="43"/>
      <c r="F26" s="42"/>
      <c r="G26" s="28" t="e">
        <f t="shared" si="0"/>
        <v>#DIV/0!</v>
      </c>
      <c r="H26" s="39"/>
      <c r="I26" s="40"/>
      <c r="J26" s="29" t="e">
        <f t="shared" si="1"/>
        <v>#DIV/0!</v>
      </c>
      <c r="K26" s="87">
        <f>Tabela273681012141619212325[[#This Row],[Nº]]</f>
        <v>22</v>
      </c>
      <c r="L26" s="41"/>
      <c r="M26" s="42"/>
      <c r="N26" s="28" t="e">
        <f t="shared" si="2"/>
        <v>#DIV/0!</v>
      </c>
      <c r="O26" s="39"/>
      <c r="P26" s="40"/>
      <c r="Q26" s="29" t="e">
        <f t="shared" si="3"/>
        <v>#DIV/0!</v>
      </c>
      <c r="R26" s="87">
        <f>Tabela273681012141619212325[[#This Row],[Nº]]</f>
        <v>22</v>
      </c>
      <c r="S26" s="41"/>
      <c r="T26" s="42"/>
      <c r="U26" s="28" t="e">
        <f t="shared" si="4"/>
        <v>#DIV/0!</v>
      </c>
      <c r="V26" s="39"/>
      <c r="W26" s="40"/>
      <c r="X26" s="29" t="e">
        <f t="shared" si="5"/>
        <v>#DIV/0!</v>
      </c>
      <c r="Y26" s="87">
        <f>Tabela273681012141619212325[[#This Row],[Nº]]</f>
        <v>22</v>
      </c>
      <c r="Z26" s="41"/>
      <c r="AA26" s="42"/>
      <c r="AB26" s="28" t="e">
        <f t="shared" si="6"/>
        <v>#DIV/0!</v>
      </c>
      <c r="AC26" s="39"/>
      <c r="AD26" s="40"/>
      <c r="AE26" s="30" t="e">
        <f t="shared" si="7"/>
        <v>#DIV/0!</v>
      </c>
    </row>
    <row r="27" spans="1:31" ht="15">
      <c r="A27" s="72">
        <v>23</v>
      </c>
      <c r="B27" s="60" t="str">
        <f>IF('4A-B'!B25&lt;&gt;0,'4A-B'!B25,"")</f>
        <v/>
      </c>
      <c r="C27" s="61" t="str">
        <f>IF('4A-B'!C25&lt;&gt;0,'4A-B'!C25,"")</f>
        <v/>
      </c>
      <c r="D27" s="62" t="str">
        <f>IF('4A-B'!D25&lt;&gt;0,'4A-B'!D25,"")</f>
        <v/>
      </c>
      <c r="E27" s="43"/>
      <c r="F27" s="42"/>
      <c r="G27" s="28" t="e">
        <f t="shared" si="0"/>
        <v>#DIV/0!</v>
      </c>
      <c r="H27" s="39"/>
      <c r="I27" s="40"/>
      <c r="J27" s="29" t="e">
        <f t="shared" si="1"/>
        <v>#DIV/0!</v>
      </c>
      <c r="K27" s="87">
        <f>Tabela273681012141619212325[[#This Row],[Nº]]</f>
        <v>23</v>
      </c>
      <c r="L27" s="41"/>
      <c r="M27" s="42"/>
      <c r="N27" s="28" t="e">
        <f t="shared" si="2"/>
        <v>#DIV/0!</v>
      </c>
      <c r="O27" s="39"/>
      <c r="P27" s="40"/>
      <c r="Q27" s="29" t="e">
        <f t="shared" si="3"/>
        <v>#DIV/0!</v>
      </c>
      <c r="R27" s="87">
        <f>Tabela273681012141619212325[[#This Row],[Nº]]</f>
        <v>23</v>
      </c>
      <c r="S27" s="41"/>
      <c r="T27" s="42"/>
      <c r="U27" s="28" t="e">
        <f t="shared" si="4"/>
        <v>#DIV/0!</v>
      </c>
      <c r="V27" s="39"/>
      <c r="W27" s="40"/>
      <c r="X27" s="29" t="e">
        <f t="shared" si="5"/>
        <v>#DIV/0!</v>
      </c>
      <c r="Y27" s="87">
        <f>Tabela273681012141619212325[[#This Row],[Nº]]</f>
        <v>23</v>
      </c>
      <c r="Z27" s="41"/>
      <c r="AA27" s="42"/>
      <c r="AB27" s="28" t="e">
        <f t="shared" si="6"/>
        <v>#DIV/0!</v>
      </c>
      <c r="AC27" s="39"/>
      <c r="AD27" s="40"/>
      <c r="AE27" s="30" t="e">
        <f t="shared" si="7"/>
        <v>#DIV/0!</v>
      </c>
    </row>
    <row r="28" spans="1:31" ht="15">
      <c r="A28" s="72">
        <v>24</v>
      </c>
      <c r="B28" s="60" t="str">
        <f>IF('4A-B'!B26&lt;&gt;0,'4A-B'!B26,"")</f>
        <v/>
      </c>
      <c r="C28" s="61" t="str">
        <f>IF('4A-B'!C26&lt;&gt;0,'4A-B'!C26,"")</f>
        <v/>
      </c>
      <c r="D28" s="62" t="str">
        <f>IF('4A-B'!D26&lt;&gt;0,'4A-B'!D26,"")</f>
        <v/>
      </c>
      <c r="E28" s="43"/>
      <c r="F28" s="42"/>
      <c r="G28" s="28" t="e">
        <f t="shared" si="0"/>
        <v>#DIV/0!</v>
      </c>
      <c r="H28" s="39"/>
      <c r="I28" s="40"/>
      <c r="J28" s="29" t="e">
        <f t="shared" si="1"/>
        <v>#DIV/0!</v>
      </c>
      <c r="K28" s="87">
        <f>Tabela273681012141619212325[[#This Row],[Nº]]</f>
        <v>24</v>
      </c>
      <c r="L28" s="41"/>
      <c r="M28" s="42"/>
      <c r="N28" s="28" t="e">
        <f t="shared" si="2"/>
        <v>#DIV/0!</v>
      </c>
      <c r="O28" s="39"/>
      <c r="P28" s="40"/>
      <c r="Q28" s="29" t="e">
        <f t="shared" si="3"/>
        <v>#DIV/0!</v>
      </c>
      <c r="R28" s="87">
        <f>Tabela273681012141619212325[[#This Row],[Nº]]</f>
        <v>24</v>
      </c>
      <c r="S28" s="41"/>
      <c r="T28" s="42"/>
      <c r="U28" s="28" t="e">
        <f t="shared" si="4"/>
        <v>#DIV/0!</v>
      </c>
      <c r="V28" s="39"/>
      <c r="W28" s="40"/>
      <c r="X28" s="29" t="e">
        <f t="shared" si="5"/>
        <v>#DIV/0!</v>
      </c>
      <c r="Y28" s="87">
        <f>Tabela273681012141619212325[[#This Row],[Nº]]</f>
        <v>24</v>
      </c>
      <c r="Z28" s="41"/>
      <c r="AA28" s="42"/>
      <c r="AB28" s="28" t="e">
        <f t="shared" si="6"/>
        <v>#DIV/0!</v>
      </c>
      <c r="AC28" s="39"/>
      <c r="AD28" s="40"/>
      <c r="AE28" s="30" t="e">
        <f t="shared" si="7"/>
        <v>#DIV/0!</v>
      </c>
    </row>
    <row r="29" spans="1:31" ht="15">
      <c r="A29" s="72">
        <v>25</v>
      </c>
      <c r="B29" s="60" t="str">
        <f>IF('4A-B'!B27&lt;&gt;0,'4A-B'!B27,"")</f>
        <v/>
      </c>
      <c r="C29" s="61" t="str">
        <f>IF('4A-B'!C27&lt;&gt;0,'4A-B'!C27,"")</f>
        <v/>
      </c>
      <c r="D29" s="62" t="str">
        <f>IF('4A-B'!D27&lt;&gt;0,'4A-B'!D27,"")</f>
        <v/>
      </c>
      <c r="E29" s="43"/>
      <c r="F29" s="42"/>
      <c r="G29" s="28" t="e">
        <f t="shared" si="0"/>
        <v>#DIV/0!</v>
      </c>
      <c r="H29" s="39"/>
      <c r="I29" s="40"/>
      <c r="J29" s="29" t="e">
        <f t="shared" si="1"/>
        <v>#DIV/0!</v>
      </c>
      <c r="K29" s="87">
        <f>Tabela273681012141619212325[[#This Row],[Nº]]</f>
        <v>25</v>
      </c>
      <c r="L29" s="41"/>
      <c r="M29" s="42"/>
      <c r="N29" s="28" t="e">
        <f t="shared" si="2"/>
        <v>#DIV/0!</v>
      </c>
      <c r="O29" s="39"/>
      <c r="P29" s="40"/>
      <c r="Q29" s="29" t="e">
        <f t="shared" si="3"/>
        <v>#DIV/0!</v>
      </c>
      <c r="R29" s="87">
        <f>Tabela273681012141619212325[[#This Row],[Nº]]</f>
        <v>25</v>
      </c>
      <c r="S29" s="41"/>
      <c r="T29" s="42"/>
      <c r="U29" s="28" t="e">
        <f t="shared" si="4"/>
        <v>#DIV/0!</v>
      </c>
      <c r="V29" s="39"/>
      <c r="W29" s="40"/>
      <c r="X29" s="29" t="e">
        <f t="shared" si="5"/>
        <v>#DIV/0!</v>
      </c>
      <c r="Y29" s="87">
        <f>Tabela273681012141619212325[[#This Row],[Nº]]</f>
        <v>25</v>
      </c>
      <c r="Z29" s="41"/>
      <c r="AA29" s="42"/>
      <c r="AB29" s="28" t="e">
        <f t="shared" si="6"/>
        <v>#DIV/0!</v>
      </c>
      <c r="AC29" s="39"/>
      <c r="AD29" s="40"/>
      <c r="AE29" s="30" t="e">
        <f t="shared" si="7"/>
        <v>#DIV/0!</v>
      </c>
    </row>
    <row r="30" spans="1:31" ht="15.75">
      <c r="A30" s="183">
        <v>26</v>
      </c>
      <c r="B30" s="184" t="str">
        <f>IF('4A-B'!B28&lt;&gt;0,'4A-B'!B28,"")</f>
        <v/>
      </c>
      <c r="C30" s="185" t="str">
        <f>IF('4A-B'!C28&lt;&gt;0,'4A-B'!C28,"")</f>
        <v/>
      </c>
      <c r="D30" s="186" t="str">
        <f>IF('4A-B'!D28&lt;&gt;0,'4A-B'!D28,"")</f>
        <v/>
      </c>
      <c r="E30" s="187"/>
      <c r="F30" s="188"/>
      <c r="G30" s="189" t="e">
        <f>ROUND((E30*100)/(E30+F30),0)/100</f>
        <v>#DIV/0!</v>
      </c>
      <c r="H30" s="190"/>
      <c r="I30" s="191"/>
      <c r="J30" s="205" t="e">
        <f>ROUND((H30*100)/(H30+I30),0)/100</f>
        <v>#DIV/0!</v>
      </c>
      <c r="K30" s="193">
        <f>Tabela273681012141619212325[[#This Row],[Nº]]</f>
        <v>26</v>
      </c>
      <c r="L30" s="197"/>
      <c r="M30" s="188"/>
      <c r="N30" s="189" t="e">
        <f>ROUND((L30*100)/(L30+M30),0)/100</f>
        <v>#DIV/0!</v>
      </c>
      <c r="O30" s="190"/>
      <c r="P30" s="191"/>
      <c r="Q30" s="205" t="e">
        <f>ROUND((O30*100)/(O30+P30),0)/100</f>
        <v>#DIV/0!</v>
      </c>
      <c r="R30" s="193">
        <f>Tabela273681012141619212325[[#This Row],[Nº]]</f>
        <v>26</v>
      </c>
      <c r="S30" s="197"/>
      <c r="T30" s="188"/>
      <c r="U30" s="189" t="e">
        <f>ROUND((S30*100)/(S30+T30),0)/100</f>
        <v>#DIV/0!</v>
      </c>
      <c r="V30" s="190"/>
      <c r="W30" s="191"/>
      <c r="X30" s="205" t="e">
        <f>ROUND((V30*100)/(V30+W30),0)/100</f>
        <v>#DIV/0!</v>
      </c>
      <c r="Y30" s="193">
        <f>Tabela273681012141619212325[[#This Row],[Nº]]</f>
        <v>26</v>
      </c>
      <c r="Z30" s="197"/>
      <c r="AA30" s="188"/>
      <c r="AB30" s="189" t="e">
        <f>ROUND((Z30*100)/(Z30+AA30),0)/100</f>
        <v>#DIV/0!</v>
      </c>
      <c r="AC30" s="190"/>
      <c r="AD30" s="191"/>
      <c r="AE30" s="192" t="e">
        <f>ROUND((AC30*100)/(AC30+AD30),0)/100</f>
        <v>#DIV/0!</v>
      </c>
    </row>
    <row r="31" spans="1:31" ht="15.75">
      <c r="A31" s="183">
        <v>27</v>
      </c>
      <c r="B31" s="184" t="str">
        <f>IF('4A-B'!B29&lt;&gt;0,'4A-B'!B29,"")</f>
        <v/>
      </c>
      <c r="C31" s="185" t="str">
        <f>IF('4A-B'!C29&lt;&gt;0,'4A-B'!C29,"")</f>
        <v/>
      </c>
      <c r="D31" s="186" t="str">
        <f>IF('4A-B'!D29&lt;&gt;0,'4A-B'!D29,"")</f>
        <v/>
      </c>
      <c r="E31" s="187"/>
      <c r="F31" s="188"/>
      <c r="G31" s="189" t="e">
        <f>ROUND((E31*100)/(E31+F31),0)/100</f>
        <v>#DIV/0!</v>
      </c>
      <c r="H31" s="190"/>
      <c r="I31" s="191"/>
      <c r="J31" s="205" t="e">
        <f>ROUND((H31*100)/(H31+I31),0)/100</f>
        <v>#DIV/0!</v>
      </c>
      <c r="K31" s="193">
        <f>Tabela273681012141619212325[[#This Row],[Nº]]</f>
        <v>27</v>
      </c>
      <c r="L31" s="197"/>
      <c r="M31" s="188"/>
      <c r="N31" s="189" t="e">
        <f>ROUND((L31*100)/(L31+M31),0)/100</f>
        <v>#DIV/0!</v>
      </c>
      <c r="O31" s="190"/>
      <c r="P31" s="191"/>
      <c r="Q31" s="205" t="e">
        <f>ROUND((O31*100)/(O31+P31),0)/100</f>
        <v>#DIV/0!</v>
      </c>
      <c r="R31" s="193">
        <f>Tabela273681012141619212325[[#This Row],[Nº]]</f>
        <v>27</v>
      </c>
      <c r="S31" s="197"/>
      <c r="T31" s="188"/>
      <c r="U31" s="189" t="e">
        <f>ROUND((S31*100)/(S31+T31),0)/100</f>
        <v>#DIV/0!</v>
      </c>
      <c r="V31" s="190"/>
      <c r="W31" s="191"/>
      <c r="X31" s="205" t="e">
        <f>ROUND((V31*100)/(V31+W31),0)/100</f>
        <v>#DIV/0!</v>
      </c>
      <c r="Y31" s="193">
        <f>Tabela273681012141619212325[[#This Row],[Nº]]</f>
        <v>27</v>
      </c>
      <c r="Z31" s="197"/>
      <c r="AA31" s="188"/>
      <c r="AB31" s="189" t="e">
        <f>ROUND((Z31*100)/(Z31+AA31),0)/100</f>
        <v>#DIV/0!</v>
      </c>
      <c r="AC31" s="190"/>
      <c r="AD31" s="191"/>
      <c r="AE31" s="192" t="e">
        <f>ROUND((AC31*100)/(AC31+AD31),0)/100</f>
        <v>#DIV/0!</v>
      </c>
    </row>
    <row r="32" spans="1:31" ht="15.75">
      <c r="A32" s="183">
        <v>28</v>
      </c>
      <c r="B32" s="184" t="str">
        <f>IF('4A-B'!B30&lt;&gt;0,'4A-B'!B30,"")</f>
        <v/>
      </c>
      <c r="C32" s="185" t="str">
        <f>IF('4A-B'!C30&lt;&gt;0,'4A-B'!C30,"")</f>
        <v/>
      </c>
      <c r="D32" s="186" t="str">
        <f>IF('4A-B'!D30&lt;&gt;0,'4A-B'!D30,"")</f>
        <v/>
      </c>
      <c r="E32" s="187"/>
      <c r="F32" s="188"/>
      <c r="G32" s="189" t="e">
        <f>ROUND((E32*100)/(E32+F32),0)/100</f>
        <v>#DIV/0!</v>
      </c>
      <c r="H32" s="190"/>
      <c r="I32" s="191"/>
      <c r="J32" s="205" t="e">
        <f>ROUND((H32*100)/(H32+I32),0)/100</f>
        <v>#DIV/0!</v>
      </c>
      <c r="K32" s="193">
        <f>Tabela273681012141619212325[[#This Row],[Nº]]</f>
        <v>28</v>
      </c>
      <c r="L32" s="197"/>
      <c r="M32" s="188"/>
      <c r="N32" s="189" t="e">
        <f>ROUND((L32*100)/(L32+M32),0)/100</f>
        <v>#DIV/0!</v>
      </c>
      <c r="O32" s="190"/>
      <c r="P32" s="191"/>
      <c r="Q32" s="205" t="e">
        <f>ROUND((O32*100)/(O32+P32),0)/100</f>
        <v>#DIV/0!</v>
      </c>
      <c r="R32" s="193">
        <f>Tabela273681012141619212325[[#This Row],[Nº]]</f>
        <v>28</v>
      </c>
      <c r="S32" s="197"/>
      <c r="T32" s="188"/>
      <c r="U32" s="189" t="e">
        <f>ROUND((S32*100)/(S32+T32),0)/100</f>
        <v>#DIV/0!</v>
      </c>
      <c r="V32" s="190"/>
      <c r="W32" s="191"/>
      <c r="X32" s="205" t="e">
        <f>ROUND((V32*100)/(V32+W32),0)/100</f>
        <v>#DIV/0!</v>
      </c>
      <c r="Y32" s="193">
        <f>Tabela273681012141619212325[[#This Row],[Nº]]</f>
        <v>28</v>
      </c>
      <c r="Z32" s="197"/>
      <c r="AA32" s="188"/>
      <c r="AB32" s="189" t="e">
        <f>ROUND((Z32*100)/(Z32+AA32),0)/100</f>
        <v>#DIV/0!</v>
      </c>
      <c r="AC32" s="190"/>
      <c r="AD32" s="191"/>
      <c r="AE32" s="192" t="e">
        <f>ROUND((AC32*100)/(AC32+AD32),0)/100</f>
        <v>#DIV/0!</v>
      </c>
    </row>
    <row r="33" spans="1:31" ht="15.75">
      <c r="A33" s="183">
        <v>29</v>
      </c>
      <c r="B33" s="184" t="str">
        <f>IF('4A-B'!B31&lt;&gt;0,'4A-B'!B31,"")</f>
        <v/>
      </c>
      <c r="C33" s="185" t="str">
        <f>IF('4A-B'!C31&lt;&gt;0,'4A-B'!C31,"")</f>
        <v/>
      </c>
      <c r="D33" s="186" t="str">
        <f>IF('4A-B'!D31&lt;&gt;0,'4A-B'!D31,"")</f>
        <v/>
      </c>
      <c r="E33" s="187"/>
      <c r="F33" s="188"/>
      <c r="G33" s="189" t="e">
        <f>ROUND((E33*100)/(E33+F33),0)/100</f>
        <v>#DIV/0!</v>
      </c>
      <c r="H33" s="190"/>
      <c r="I33" s="191"/>
      <c r="J33" s="205" t="e">
        <f>ROUND((H33*100)/(H33+I33),0)/100</f>
        <v>#DIV/0!</v>
      </c>
      <c r="K33" s="193">
        <f>Tabela273681012141619212325[[#This Row],[Nº]]</f>
        <v>29</v>
      </c>
      <c r="L33" s="197"/>
      <c r="M33" s="188"/>
      <c r="N33" s="189" t="e">
        <f>ROUND((L33*100)/(L33+M33),0)/100</f>
        <v>#DIV/0!</v>
      </c>
      <c r="O33" s="190"/>
      <c r="P33" s="191"/>
      <c r="Q33" s="205" t="e">
        <f>ROUND((O33*100)/(O33+P33),0)/100</f>
        <v>#DIV/0!</v>
      </c>
      <c r="R33" s="193">
        <f>Tabela273681012141619212325[[#This Row],[Nº]]</f>
        <v>29</v>
      </c>
      <c r="S33" s="197"/>
      <c r="T33" s="188"/>
      <c r="U33" s="189" t="e">
        <f>ROUND((S33*100)/(S33+T33),0)/100</f>
        <v>#DIV/0!</v>
      </c>
      <c r="V33" s="190"/>
      <c r="W33" s="191"/>
      <c r="X33" s="205" t="e">
        <f>ROUND((V33*100)/(V33+W33),0)/100</f>
        <v>#DIV/0!</v>
      </c>
      <c r="Y33" s="193">
        <f>Tabela273681012141619212325[[#This Row],[Nº]]</f>
        <v>29</v>
      </c>
      <c r="Z33" s="197"/>
      <c r="AA33" s="188"/>
      <c r="AB33" s="189" t="e">
        <f>ROUND((Z33*100)/(Z33+AA33),0)/100</f>
        <v>#DIV/0!</v>
      </c>
      <c r="AC33" s="190"/>
      <c r="AD33" s="191"/>
      <c r="AE33" s="192" t="e">
        <f>ROUND((AC33*100)/(AC33+AD33),0)/100</f>
        <v>#DIV/0!</v>
      </c>
    </row>
    <row r="34" spans="1:31" ht="16.5" thickBot="1">
      <c r="A34" s="183">
        <v>30</v>
      </c>
      <c r="B34" s="184" t="str">
        <f>IF('4A-B'!B32&lt;&gt;0,'4A-B'!B32,"")</f>
        <v/>
      </c>
      <c r="C34" s="185" t="str">
        <f>IF('4A-B'!C32&lt;&gt;0,'4A-B'!C32,"")</f>
        <v/>
      </c>
      <c r="D34" s="186" t="str">
        <f>IF('4A-B'!D32&lt;&gt;0,'4A-B'!D32,"")</f>
        <v/>
      </c>
      <c r="E34" s="187"/>
      <c r="F34" s="188"/>
      <c r="G34" s="189" t="e">
        <f>ROUND((E34*100)/(E34+F34),0)/100</f>
        <v>#DIV/0!</v>
      </c>
      <c r="H34" s="206"/>
      <c r="I34" s="207"/>
      <c r="J34" s="208" t="e">
        <f>ROUND((H34*100)/(H34+I34),0)/100</f>
        <v>#DIV/0!</v>
      </c>
      <c r="K34" s="193">
        <f>Tabela273681012141619212325[[#This Row],[Nº]]</f>
        <v>30</v>
      </c>
      <c r="L34" s="198"/>
      <c r="M34" s="199"/>
      <c r="N34" s="200" t="e">
        <f>ROUND((L34*100)/(L34+M34),0)/100</f>
        <v>#DIV/0!</v>
      </c>
      <c r="O34" s="206"/>
      <c r="P34" s="207"/>
      <c r="Q34" s="208" t="e">
        <f>ROUND((O34*100)/(O34+P34),0)/100</f>
        <v>#DIV/0!</v>
      </c>
      <c r="R34" s="193">
        <f>Tabela273681012141619212325[[#This Row],[Nº]]</f>
        <v>30</v>
      </c>
      <c r="S34" s="198"/>
      <c r="T34" s="199"/>
      <c r="U34" s="200" t="e">
        <f>ROUND((S34*100)/(S34+T34),0)/100</f>
        <v>#DIV/0!</v>
      </c>
      <c r="V34" s="206"/>
      <c r="W34" s="207"/>
      <c r="X34" s="208" t="e">
        <f>ROUND((V34*100)/(V34+W34),0)/100</f>
        <v>#DIV/0!</v>
      </c>
      <c r="Y34" s="193">
        <f>Tabela273681012141619212325[[#This Row],[Nº]]</f>
        <v>30</v>
      </c>
      <c r="Z34" s="198"/>
      <c r="AA34" s="199"/>
      <c r="AB34" s="200" t="e">
        <f>ROUND((Z34*100)/(Z34+AA34),0)/100</f>
        <v>#DIV/0!</v>
      </c>
      <c r="AC34" s="190"/>
      <c r="AD34" s="191"/>
      <c r="AE34" s="192" t="e">
        <f>ROUND((AC34*100)/(AC34+AD34),0)/100</f>
        <v>#DIV/0!</v>
      </c>
    </row>
  </sheetData>
  <sheetProtection algorithmName="SHA-512" hashValue="4kpLPbmgdLv3B533GbT88cbZhhfa6PPM0GP7pgY1UJi+Qb3P+3O6NneR6xR6har+i4SnL+LTRpxMc6IBIqyalA==" saltValue="xmTj+tHdcxgjEMWlT7hSeA==" spinCount="100000" sheet="1" objects="1" scenarios="1" selectLockedCells="1"/>
  <mergeCells count="12">
    <mergeCell ref="Z3:AB3"/>
    <mergeCell ref="AC3:AE3"/>
    <mergeCell ref="A1:D3"/>
    <mergeCell ref="E1:AE1"/>
    <mergeCell ref="E2:Q2"/>
    <mergeCell ref="S2:AE2"/>
    <mergeCell ref="E3:G3"/>
    <mergeCell ref="H3:J3"/>
    <mergeCell ref="L3:N3"/>
    <mergeCell ref="O3:Q3"/>
    <mergeCell ref="S3:U3"/>
    <mergeCell ref="V3:X3"/>
  </mergeCells>
  <conditionalFormatting sqref="A5:D34">
    <cfRule type="expression" dxfId="139" priority="11">
      <formula>ROW()=CELL("LIN")</formula>
    </cfRule>
    <cfRule type="expression" dxfId="138" priority="12">
      <formula>IF($D5&lt;&gt;"",1,0)</formula>
    </cfRule>
  </conditionalFormatting>
  <conditionalFormatting sqref="G5:G34">
    <cfRule type="iconSet" priority="8">
      <iconSet iconSet="3Symbols">
        <cfvo type="percent" val="0"/>
        <cfvo type="num" val="0.75"/>
        <cfvo type="num" val="0.8"/>
      </iconSet>
    </cfRule>
  </conditionalFormatting>
  <conditionalFormatting sqref="J5:J34">
    <cfRule type="iconSet" priority="7">
      <iconSet iconSet="3Symbols">
        <cfvo type="percent" val="0"/>
        <cfvo type="num" val="0.75"/>
        <cfvo type="num" val="0.8"/>
      </iconSet>
    </cfRule>
  </conditionalFormatting>
  <conditionalFormatting sqref="N5:N34">
    <cfRule type="iconSet" priority="6">
      <iconSet iconSet="3Symbols">
        <cfvo type="percent" val="0"/>
        <cfvo type="num" val="0.75"/>
        <cfvo type="num" val="0.8"/>
      </iconSet>
    </cfRule>
  </conditionalFormatting>
  <conditionalFormatting sqref="Q5:Q34">
    <cfRule type="iconSet" priority="5">
      <iconSet iconSet="3Symbols">
        <cfvo type="percent" val="0"/>
        <cfvo type="num" val="0.75"/>
        <cfvo type="num" val="0.8"/>
      </iconSet>
    </cfRule>
  </conditionalFormatting>
  <conditionalFormatting sqref="U5:U34">
    <cfRule type="iconSet" priority="4">
      <iconSet iconSet="3Symbols">
        <cfvo type="percent" val="0"/>
        <cfvo type="num" val="0.75"/>
        <cfvo type="num" val="0.8"/>
      </iconSet>
    </cfRule>
  </conditionalFormatting>
  <conditionalFormatting sqref="X5:X34">
    <cfRule type="iconSet" priority="3">
      <iconSet iconSet="3Symbols">
        <cfvo type="percent" val="0"/>
        <cfvo type="num" val="0.75"/>
        <cfvo type="num" val="0.8"/>
      </iconSet>
    </cfRule>
  </conditionalFormatting>
  <conditionalFormatting sqref="AB5:AB34">
    <cfRule type="iconSet" priority="2">
      <iconSet iconSet="3Symbols">
        <cfvo type="percent" val="0"/>
        <cfvo type="num" val="0.75"/>
        <cfvo type="num" val="0.8"/>
      </iconSet>
    </cfRule>
  </conditionalFormatting>
  <conditionalFormatting sqref="AE5:AE34">
    <cfRule type="iconSet" priority="1">
      <iconSet iconSet="3Symbols">
        <cfvo type="percent" val="0"/>
        <cfvo type="num" val="0.75"/>
        <cfvo type="num" val="0.8"/>
      </iconSet>
    </cfRule>
  </conditionalFormatting>
  <conditionalFormatting sqref="E5:AE34">
    <cfRule type="expression" dxfId="137" priority="9">
      <formula>ROW()=CELL("LIN")</formula>
    </cfRule>
    <cfRule type="expression" dxfId="136" priority="10">
      <formula>IF($D5&lt;&gt;"",1,0)</formula>
    </cfRule>
  </conditionalFormatting>
  <pageMargins left="0.511811024" right="0.511811024" top="0.78740157499999996" bottom="0.78740157499999996" header="0.31496062000000002" footer="0.31496062000000002"/>
  <pageSetup paperSize="9" scale="54" orientation="landscape" r:id="rId1"/>
  <colBreaks count="2" manualBreakCount="2">
    <brk id="10" max="1048575" man="1"/>
    <brk id="24" max="1048575" man="1"/>
  </colBreaks>
  <drawing r:id="rId2"/>
  <tableParts count="1">
    <tablePart r:id="rId3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4DDF1-35C8-4F56-9083-93CDEB9E78ED}">
  <sheetPr codeName="Plan28">
    <pageSetUpPr fitToPage="1"/>
  </sheetPr>
  <dimension ref="A1:K48"/>
  <sheetViews>
    <sheetView showGridLines="0" showRowColHeaders="0" view="pageBreakPreview" zoomScaleNormal="60" zoomScaleSheetLayoutView="100" zoomScalePageLayoutView="91" workbookViewId="0">
      <selection activeCell="B2" sqref="B2:K2"/>
    </sheetView>
  </sheetViews>
  <sheetFormatPr defaultColWidth="9.140625" defaultRowHeight="15"/>
  <cols>
    <col min="1" max="1" width="19.85546875" style="17" customWidth="1"/>
    <col min="2" max="16384" width="9.140625" style="17"/>
  </cols>
  <sheetData>
    <row r="1" spans="1:11" ht="15.75">
      <c r="A1" s="73" t="s">
        <v>69</v>
      </c>
      <c r="B1" s="92" t="str">
        <f>MENU!C2</f>
        <v>E.M.E.I.E.F. Ficticio</v>
      </c>
      <c r="C1" s="92"/>
      <c r="D1" s="92"/>
      <c r="E1" s="92"/>
      <c r="F1" s="92"/>
      <c r="G1" s="92"/>
      <c r="H1" s="92"/>
      <c r="I1" s="92"/>
      <c r="J1" s="92"/>
      <c r="K1" s="93"/>
    </row>
    <row r="2" spans="1:11" ht="15.75">
      <c r="A2" s="74" t="s">
        <v>71</v>
      </c>
      <c r="B2" s="156" t="s">
        <v>131</v>
      </c>
      <c r="C2" s="95"/>
      <c r="D2" s="95"/>
      <c r="E2" s="95"/>
      <c r="F2" s="95"/>
      <c r="G2" s="95"/>
      <c r="H2" s="95"/>
      <c r="I2" s="95"/>
      <c r="J2" s="95"/>
      <c r="K2" s="96"/>
    </row>
    <row r="3" spans="1:11" ht="15.75">
      <c r="A3" s="74" t="s">
        <v>70</v>
      </c>
      <c r="B3" s="94" t="s">
        <v>21</v>
      </c>
      <c r="C3" s="95"/>
      <c r="D3" s="95"/>
      <c r="E3" s="95"/>
      <c r="F3" s="95"/>
      <c r="G3" s="95"/>
      <c r="H3" s="95"/>
      <c r="I3" s="95"/>
      <c r="J3" s="95"/>
      <c r="K3" s="96"/>
    </row>
    <row r="4" spans="1:11" ht="15.75">
      <c r="A4" s="74" t="s">
        <v>5</v>
      </c>
      <c r="B4" s="94" t="s">
        <v>132</v>
      </c>
      <c r="C4" s="95"/>
      <c r="D4" s="95"/>
      <c r="E4" s="95"/>
      <c r="F4" s="95"/>
      <c r="G4" s="95"/>
      <c r="H4" s="95"/>
      <c r="I4" s="95"/>
      <c r="J4" s="95"/>
      <c r="K4" s="96"/>
    </row>
    <row r="5" spans="1:11" ht="15.75">
      <c r="A5" s="74" t="s">
        <v>73</v>
      </c>
      <c r="B5" s="95"/>
      <c r="C5" s="95"/>
      <c r="D5" s="95"/>
      <c r="E5" s="95"/>
      <c r="F5" s="95"/>
      <c r="G5" s="95"/>
      <c r="H5" s="95"/>
      <c r="I5" s="95"/>
      <c r="J5" s="95"/>
      <c r="K5" s="96"/>
    </row>
    <row r="6" spans="1:11" ht="15.75">
      <c r="A6" s="99" t="s">
        <v>74</v>
      </c>
      <c r="B6" s="100"/>
      <c r="C6" s="100"/>
      <c r="D6" s="95"/>
      <c r="E6" s="95"/>
      <c r="F6" s="95"/>
      <c r="G6" s="95"/>
      <c r="H6" s="95"/>
      <c r="I6" s="95"/>
      <c r="J6" s="95"/>
      <c r="K6" s="96"/>
    </row>
    <row r="7" spans="1:11" ht="16.5" thickBot="1">
      <c r="A7" s="75" t="s">
        <v>72</v>
      </c>
      <c r="B7" s="97">
        <f>MENU!D10</f>
        <v>2022</v>
      </c>
      <c r="C7" s="97"/>
      <c r="D7" s="97"/>
      <c r="E7" s="97"/>
      <c r="F7" s="97"/>
      <c r="G7" s="97"/>
      <c r="H7" s="97"/>
      <c r="I7" s="97"/>
      <c r="J7" s="97"/>
      <c r="K7" s="98"/>
    </row>
    <row r="8" spans="1:11" ht="15.75" thickBot="1"/>
    <row r="9" spans="1:11">
      <c r="A9" s="107" t="s">
        <v>77</v>
      </c>
      <c r="B9" s="108"/>
      <c r="C9" s="108"/>
      <c r="D9" s="108"/>
      <c r="E9" s="108"/>
      <c r="F9" s="108"/>
      <c r="G9" s="108"/>
      <c r="H9" s="108"/>
      <c r="I9" s="108"/>
      <c r="J9" s="108"/>
      <c r="K9" s="109"/>
    </row>
    <row r="10" spans="1:11" ht="15.75" thickBot="1">
      <c r="A10" s="110"/>
      <c r="B10" s="111"/>
      <c r="C10" s="111"/>
      <c r="D10" s="111"/>
      <c r="E10" s="111"/>
      <c r="F10" s="111"/>
      <c r="G10" s="111"/>
      <c r="H10" s="111"/>
      <c r="I10" s="111"/>
      <c r="J10" s="111"/>
      <c r="K10" s="112"/>
    </row>
    <row r="11" spans="1:11" ht="15.75">
      <c r="A11" s="79" t="s">
        <v>9</v>
      </c>
      <c r="B11" s="107" t="s">
        <v>78</v>
      </c>
      <c r="C11" s="108"/>
      <c r="D11" s="108"/>
      <c r="E11" s="109"/>
      <c r="F11" s="107" t="s">
        <v>79</v>
      </c>
      <c r="G11" s="109"/>
      <c r="H11" s="107" t="s">
        <v>80</v>
      </c>
      <c r="I11" s="109"/>
      <c r="J11" s="107" t="s">
        <v>99</v>
      </c>
      <c r="K11" s="109"/>
    </row>
    <row r="12" spans="1:11">
      <c r="A12" s="78">
        <f>IF('5A-A'!A3&lt;&gt;0,'5A-A'!A3,"")</f>
        <v>1</v>
      </c>
      <c r="B12" s="149" t="str">
        <f>IF('5A-A'!B3&lt;&gt;0,'5A-A'!B3,"")</f>
        <v/>
      </c>
      <c r="C12" s="150"/>
      <c r="D12" s="150"/>
      <c r="E12" s="151"/>
      <c r="F12" s="152" t="str">
        <f>IF('5A-A'!G3&lt;&gt;0,'5A-A'!G3,"")</f>
        <v/>
      </c>
      <c r="G12" s="153"/>
      <c r="H12" s="159" t="str">
        <f>IF('5A-A'!C3&lt;&gt;0,'5A-A'!C3,"")</f>
        <v/>
      </c>
      <c r="I12" s="160"/>
      <c r="J12" s="152" t="str">
        <f>IF('5A-A'!D3&lt;&gt;0,'5A-A'!D3,"")</f>
        <v/>
      </c>
      <c r="K12" s="155"/>
    </row>
    <row r="13" spans="1:11">
      <c r="A13" s="78">
        <f>IF('5A-A'!A4&lt;&gt;0,'5A-A'!A4,"")</f>
        <v>2</v>
      </c>
      <c r="B13" s="149" t="str">
        <f>IF('5A-A'!B4&lt;&gt;0,'5A-A'!B4,"")</f>
        <v/>
      </c>
      <c r="C13" s="150"/>
      <c r="D13" s="150"/>
      <c r="E13" s="151"/>
      <c r="F13" s="152" t="str">
        <f>IF('5A-A'!G4&lt;&gt;0,'5A-A'!G4,"")</f>
        <v/>
      </c>
      <c r="G13" s="153"/>
      <c r="H13" s="159" t="str">
        <f>IF('5A-A'!C4&lt;&gt;0,'5A-A'!C4,"")</f>
        <v/>
      </c>
      <c r="I13" s="160"/>
      <c r="J13" s="152" t="str">
        <f>IF('5A-A'!D4&lt;&gt;0,'5A-A'!D4,"")</f>
        <v/>
      </c>
      <c r="K13" s="155"/>
    </row>
    <row r="14" spans="1:11">
      <c r="A14" s="78">
        <f>IF('5A-A'!A5&lt;&gt;0,'5A-A'!A5,"")</f>
        <v>3</v>
      </c>
      <c r="B14" s="149" t="str">
        <f>IF('5A-A'!B5&lt;&gt;0,'5A-A'!B5,"")</f>
        <v/>
      </c>
      <c r="C14" s="150"/>
      <c r="D14" s="150"/>
      <c r="E14" s="151"/>
      <c r="F14" s="152" t="str">
        <f>IF('5A-A'!G5&lt;&gt;0,'5A-A'!G5,"")</f>
        <v/>
      </c>
      <c r="G14" s="153"/>
      <c r="H14" s="159" t="str">
        <f>IF('5A-A'!C5&lt;&gt;0,'5A-A'!C5,"")</f>
        <v/>
      </c>
      <c r="I14" s="160"/>
      <c r="J14" s="152" t="str">
        <f>IF('5A-A'!D5&lt;&gt;0,'5A-A'!D5,"")</f>
        <v/>
      </c>
      <c r="K14" s="155"/>
    </row>
    <row r="15" spans="1:11">
      <c r="A15" s="78">
        <f>IF('5A-A'!A6&lt;&gt;0,'5A-A'!A6,"")</f>
        <v>4</v>
      </c>
      <c r="B15" s="149" t="str">
        <f>IF('5A-A'!B6&lt;&gt;0,'5A-A'!B6,"")</f>
        <v/>
      </c>
      <c r="C15" s="150"/>
      <c r="D15" s="150"/>
      <c r="E15" s="151"/>
      <c r="F15" s="152" t="str">
        <f>IF('5A-A'!G6&lt;&gt;0,'5A-A'!G6,"")</f>
        <v/>
      </c>
      <c r="G15" s="153"/>
      <c r="H15" s="159" t="str">
        <f>IF('5A-A'!C6&lt;&gt;0,'5A-A'!C6,"")</f>
        <v/>
      </c>
      <c r="I15" s="160"/>
      <c r="J15" s="152" t="str">
        <f>IF('5A-A'!D6&lt;&gt;0,'5A-A'!D6,"")</f>
        <v/>
      </c>
      <c r="K15" s="155"/>
    </row>
    <row r="16" spans="1:11">
      <c r="A16" s="78">
        <f>IF('5A-A'!A7&lt;&gt;0,'5A-A'!A7,"")</f>
        <v>5</v>
      </c>
      <c r="B16" s="149" t="str">
        <f>IF('5A-A'!B7&lt;&gt;0,'5A-A'!B7,"")</f>
        <v/>
      </c>
      <c r="C16" s="150"/>
      <c r="D16" s="150"/>
      <c r="E16" s="151"/>
      <c r="F16" s="152" t="str">
        <f>IF('5A-A'!G7&lt;&gt;0,'5A-A'!G7,"")</f>
        <v/>
      </c>
      <c r="G16" s="153"/>
      <c r="H16" s="159" t="str">
        <f>IF('5A-A'!C7&lt;&gt;0,'5A-A'!C7,"")</f>
        <v/>
      </c>
      <c r="I16" s="160"/>
      <c r="J16" s="152" t="str">
        <f>IF('5A-A'!D7&lt;&gt;0,'5A-A'!D7,"")</f>
        <v/>
      </c>
      <c r="K16" s="155"/>
    </row>
    <row r="17" spans="1:11">
      <c r="A17" s="78">
        <f>IF('5A-A'!A8&lt;&gt;0,'5A-A'!A8,"")</f>
        <v>6</v>
      </c>
      <c r="B17" s="149" t="str">
        <f>IF('5A-A'!B8&lt;&gt;0,'5A-A'!B8,"")</f>
        <v/>
      </c>
      <c r="C17" s="150"/>
      <c r="D17" s="150"/>
      <c r="E17" s="151"/>
      <c r="F17" s="152" t="str">
        <f>IF('5A-A'!G8&lt;&gt;0,'5A-A'!G8,"")</f>
        <v/>
      </c>
      <c r="G17" s="153"/>
      <c r="H17" s="159" t="str">
        <f>IF('5A-A'!C8&lt;&gt;0,'5A-A'!C8,"")</f>
        <v/>
      </c>
      <c r="I17" s="160"/>
      <c r="J17" s="152" t="str">
        <f>IF('5A-A'!D8&lt;&gt;0,'5A-A'!D8,"")</f>
        <v/>
      </c>
      <c r="K17" s="155"/>
    </row>
    <row r="18" spans="1:11">
      <c r="A18" s="78">
        <f>IF('5A-A'!A9&lt;&gt;0,'5A-A'!A9,"")</f>
        <v>7</v>
      </c>
      <c r="B18" s="149" t="str">
        <f>IF('5A-A'!B9&lt;&gt;0,'5A-A'!B9,"")</f>
        <v/>
      </c>
      <c r="C18" s="150"/>
      <c r="D18" s="150"/>
      <c r="E18" s="151"/>
      <c r="F18" s="152" t="str">
        <f>IF('5A-A'!G9&lt;&gt;0,'5A-A'!G9,"")</f>
        <v/>
      </c>
      <c r="G18" s="153"/>
      <c r="H18" s="159" t="str">
        <f>IF('5A-A'!C9&lt;&gt;0,'5A-A'!C9,"")</f>
        <v/>
      </c>
      <c r="I18" s="160"/>
      <c r="J18" s="152" t="str">
        <f>IF('5A-A'!D9&lt;&gt;0,'5A-A'!D9,"")</f>
        <v/>
      </c>
      <c r="K18" s="155"/>
    </row>
    <row r="19" spans="1:11">
      <c r="A19" s="78">
        <f>IF('5A-A'!A10&lt;&gt;0,'5A-A'!A10,"")</f>
        <v>8</v>
      </c>
      <c r="B19" s="149" t="str">
        <f>IF('5A-A'!B10&lt;&gt;0,'5A-A'!B10,"")</f>
        <v/>
      </c>
      <c r="C19" s="150"/>
      <c r="D19" s="150"/>
      <c r="E19" s="151"/>
      <c r="F19" s="152" t="str">
        <f>IF('5A-A'!G10&lt;&gt;0,'5A-A'!G10,"")</f>
        <v/>
      </c>
      <c r="G19" s="153"/>
      <c r="H19" s="159" t="str">
        <f>IF('5A-A'!C10&lt;&gt;0,'5A-A'!C10,"")</f>
        <v/>
      </c>
      <c r="I19" s="160"/>
      <c r="J19" s="152" t="str">
        <f>IF('5A-A'!D10&lt;&gt;0,'5A-A'!D10,"")</f>
        <v/>
      </c>
      <c r="K19" s="155"/>
    </row>
    <row r="20" spans="1:11">
      <c r="A20" s="78">
        <f>IF('5A-A'!A11&lt;&gt;0,'5A-A'!A11,"")</f>
        <v>9</v>
      </c>
      <c r="B20" s="149" t="str">
        <f>IF('5A-A'!B11&lt;&gt;0,'5A-A'!B11,"")</f>
        <v/>
      </c>
      <c r="C20" s="150"/>
      <c r="D20" s="150"/>
      <c r="E20" s="151"/>
      <c r="F20" s="152" t="str">
        <f>IF('5A-A'!G11&lt;&gt;0,'5A-A'!G11,"")</f>
        <v/>
      </c>
      <c r="G20" s="153"/>
      <c r="H20" s="159" t="str">
        <f>IF('5A-A'!C11&lt;&gt;0,'5A-A'!C11,"")</f>
        <v/>
      </c>
      <c r="I20" s="160"/>
      <c r="J20" s="152" t="str">
        <f>IF('5A-A'!D11&lt;&gt;0,'5A-A'!D11,"")</f>
        <v/>
      </c>
      <c r="K20" s="155"/>
    </row>
    <row r="21" spans="1:11">
      <c r="A21" s="78">
        <f>IF('5A-A'!A12&lt;&gt;0,'5A-A'!A12,"")</f>
        <v>10</v>
      </c>
      <c r="B21" s="149" t="str">
        <f>IF('5A-A'!B12&lt;&gt;0,'5A-A'!B12,"")</f>
        <v/>
      </c>
      <c r="C21" s="150"/>
      <c r="D21" s="150"/>
      <c r="E21" s="151"/>
      <c r="F21" s="152" t="str">
        <f>IF('5A-A'!G12&lt;&gt;0,'5A-A'!G12,"")</f>
        <v/>
      </c>
      <c r="G21" s="153"/>
      <c r="H21" s="159" t="str">
        <f>IF('5A-A'!C12&lt;&gt;0,'5A-A'!C12,"")</f>
        <v/>
      </c>
      <c r="I21" s="160"/>
      <c r="J21" s="152" t="str">
        <f>IF('5A-A'!D12&lt;&gt;0,'5A-A'!D12,"")</f>
        <v/>
      </c>
      <c r="K21" s="155"/>
    </row>
    <row r="22" spans="1:11">
      <c r="A22" s="78">
        <f>IF('5A-A'!A13&lt;&gt;0,'5A-A'!A13,"")</f>
        <v>11</v>
      </c>
      <c r="B22" s="149" t="str">
        <f>IF('5A-A'!B13&lt;&gt;0,'5A-A'!B13,"")</f>
        <v/>
      </c>
      <c r="C22" s="150"/>
      <c r="D22" s="150"/>
      <c r="E22" s="151"/>
      <c r="F22" s="152" t="str">
        <f>IF('5A-A'!G13&lt;&gt;0,'5A-A'!G13,"")</f>
        <v/>
      </c>
      <c r="G22" s="153"/>
      <c r="H22" s="159" t="str">
        <f>IF('5A-A'!C13&lt;&gt;0,'5A-A'!C13,"")</f>
        <v/>
      </c>
      <c r="I22" s="160"/>
      <c r="J22" s="152" t="str">
        <f>IF('5A-A'!D13&lt;&gt;0,'5A-A'!D13,"")</f>
        <v/>
      </c>
      <c r="K22" s="155"/>
    </row>
    <row r="23" spans="1:11">
      <c r="A23" s="78">
        <f>IF('5A-A'!A14&lt;&gt;0,'5A-A'!A14,"")</f>
        <v>12</v>
      </c>
      <c r="B23" s="149" t="str">
        <f>IF('5A-A'!B14&lt;&gt;0,'5A-A'!B14,"")</f>
        <v/>
      </c>
      <c r="C23" s="150"/>
      <c r="D23" s="150"/>
      <c r="E23" s="151"/>
      <c r="F23" s="152" t="str">
        <f>IF('5A-A'!G14&lt;&gt;0,'5A-A'!G14,"")</f>
        <v/>
      </c>
      <c r="G23" s="153"/>
      <c r="H23" s="159" t="str">
        <f>IF('5A-A'!C14&lt;&gt;0,'5A-A'!C14,"")</f>
        <v/>
      </c>
      <c r="I23" s="160"/>
      <c r="J23" s="152" t="str">
        <f>IF('5A-A'!D14&lt;&gt;0,'5A-A'!D14,"")</f>
        <v/>
      </c>
      <c r="K23" s="155"/>
    </row>
    <row r="24" spans="1:11">
      <c r="A24" s="78">
        <f>IF('5A-A'!A15&lt;&gt;0,'5A-A'!A15,"")</f>
        <v>13</v>
      </c>
      <c r="B24" s="149" t="str">
        <f>IF('5A-A'!B15&lt;&gt;0,'5A-A'!B15,"")</f>
        <v/>
      </c>
      <c r="C24" s="150"/>
      <c r="D24" s="150"/>
      <c r="E24" s="151"/>
      <c r="F24" s="152" t="str">
        <f>IF('5A-A'!G15&lt;&gt;0,'5A-A'!G15,"")</f>
        <v/>
      </c>
      <c r="G24" s="153"/>
      <c r="H24" s="159" t="str">
        <f>IF('5A-A'!C15&lt;&gt;0,'5A-A'!C15,"")</f>
        <v/>
      </c>
      <c r="I24" s="160"/>
      <c r="J24" s="152" t="str">
        <f>IF('5A-A'!D15&lt;&gt;0,'5A-A'!D15,"")</f>
        <v/>
      </c>
      <c r="K24" s="155"/>
    </row>
    <row r="25" spans="1:11">
      <c r="A25" s="78">
        <f>IF('5A-A'!A16&lt;&gt;0,'5A-A'!A16,"")</f>
        <v>14</v>
      </c>
      <c r="B25" s="149" t="str">
        <f>IF('5A-A'!B16&lt;&gt;0,'5A-A'!B16,"")</f>
        <v/>
      </c>
      <c r="C25" s="150"/>
      <c r="D25" s="150"/>
      <c r="E25" s="151"/>
      <c r="F25" s="152" t="str">
        <f>IF('5A-A'!G16&lt;&gt;0,'5A-A'!G16,"")</f>
        <v/>
      </c>
      <c r="G25" s="153"/>
      <c r="H25" s="159" t="str">
        <f>IF('5A-A'!C16&lt;&gt;0,'5A-A'!C16,"")</f>
        <v/>
      </c>
      <c r="I25" s="160"/>
      <c r="J25" s="152" t="str">
        <f>IF('5A-A'!D16&lt;&gt;0,'5A-A'!D16,"")</f>
        <v/>
      </c>
      <c r="K25" s="155"/>
    </row>
    <row r="26" spans="1:11">
      <c r="A26" s="78">
        <f>IF('5A-A'!A17&lt;&gt;0,'5A-A'!A17,"")</f>
        <v>15</v>
      </c>
      <c r="B26" s="149" t="str">
        <f>IF('5A-A'!B17&lt;&gt;0,'5A-A'!B17,"")</f>
        <v/>
      </c>
      <c r="C26" s="150"/>
      <c r="D26" s="150"/>
      <c r="E26" s="151"/>
      <c r="F26" s="152" t="str">
        <f>IF('5A-A'!G17&lt;&gt;0,'5A-A'!G17,"")</f>
        <v/>
      </c>
      <c r="G26" s="153"/>
      <c r="H26" s="159" t="str">
        <f>IF('5A-A'!C17&lt;&gt;0,'5A-A'!C17,"")</f>
        <v/>
      </c>
      <c r="I26" s="160"/>
      <c r="J26" s="152" t="str">
        <f>IF('5A-A'!D17&lt;&gt;0,'5A-A'!D17,"")</f>
        <v/>
      </c>
      <c r="K26" s="155"/>
    </row>
    <row r="27" spans="1:11">
      <c r="A27" s="78">
        <f>IF('5A-A'!A18&lt;&gt;0,'5A-A'!A18,"")</f>
        <v>16</v>
      </c>
      <c r="B27" s="149" t="str">
        <f>IF('5A-A'!B18&lt;&gt;0,'5A-A'!B18,"")</f>
        <v/>
      </c>
      <c r="C27" s="150"/>
      <c r="D27" s="150"/>
      <c r="E27" s="151"/>
      <c r="F27" s="152" t="str">
        <f>IF('5A-A'!G18&lt;&gt;0,'5A-A'!G18,"")</f>
        <v/>
      </c>
      <c r="G27" s="153"/>
      <c r="H27" s="159" t="str">
        <f>IF('5A-A'!C18&lt;&gt;0,'5A-A'!C18,"")</f>
        <v/>
      </c>
      <c r="I27" s="160"/>
      <c r="J27" s="152" t="str">
        <f>IF('5A-A'!D18&lt;&gt;0,'5A-A'!D18,"")</f>
        <v/>
      </c>
      <c r="K27" s="155"/>
    </row>
    <row r="28" spans="1:11">
      <c r="A28" s="78">
        <f>IF('5A-A'!A19&lt;&gt;0,'5A-A'!A19,"")</f>
        <v>17</v>
      </c>
      <c r="B28" s="149" t="str">
        <f>IF('5A-A'!B19&lt;&gt;0,'5A-A'!B19,"")</f>
        <v/>
      </c>
      <c r="C28" s="150"/>
      <c r="D28" s="150"/>
      <c r="E28" s="151"/>
      <c r="F28" s="152" t="str">
        <f>IF('5A-A'!G19&lt;&gt;0,'5A-A'!G19,"")</f>
        <v/>
      </c>
      <c r="G28" s="153"/>
      <c r="H28" s="159" t="str">
        <f>IF('5A-A'!C19&lt;&gt;0,'5A-A'!C19,"")</f>
        <v/>
      </c>
      <c r="I28" s="160"/>
      <c r="J28" s="152" t="str">
        <f>IF('5A-A'!D19&lt;&gt;0,'5A-A'!D19,"")</f>
        <v/>
      </c>
      <c r="K28" s="155"/>
    </row>
    <row r="29" spans="1:11">
      <c r="A29" s="78">
        <f>IF('5A-A'!A20&lt;&gt;0,'5A-A'!A20,"")</f>
        <v>18</v>
      </c>
      <c r="B29" s="149" t="str">
        <f>IF('5A-A'!B20&lt;&gt;0,'5A-A'!B20,"")</f>
        <v/>
      </c>
      <c r="C29" s="150"/>
      <c r="D29" s="150"/>
      <c r="E29" s="151"/>
      <c r="F29" s="152" t="str">
        <f>IF('5A-A'!G20&lt;&gt;0,'5A-A'!G20,"")</f>
        <v/>
      </c>
      <c r="G29" s="153"/>
      <c r="H29" s="159" t="str">
        <f>IF('5A-A'!C20&lt;&gt;0,'5A-A'!C20,"")</f>
        <v/>
      </c>
      <c r="I29" s="160"/>
      <c r="J29" s="152" t="str">
        <f>IF('5A-A'!D20&lt;&gt;0,'5A-A'!D20,"")</f>
        <v/>
      </c>
      <c r="K29" s="155"/>
    </row>
    <row r="30" spans="1:11">
      <c r="A30" s="78">
        <f>IF('5A-A'!A21&lt;&gt;0,'5A-A'!A21,"")</f>
        <v>19</v>
      </c>
      <c r="B30" s="149" t="str">
        <f>IF('5A-A'!B21&lt;&gt;0,'5A-A'!B21,"")</f>
        <v/>
      </c>
      <c r="C30" s="150"/>
      <c r="D30" s="150"/>
      <c r="E30" s="151"/>
      <c r="F30" s="152" t="str">
        <f>IF('5A-A'!G21&lt;&gt;0,'5A-A'!G21,"")</f>
        <v/>
      </c>
      <c r="G30" s="153"/>
      <c r="H30" s="159" t="str">
        <f>IF('5A-A'!C21&lt;&gt;0,'5A-A'!C21,"")</f>
        <v/>
      </c>
      <c r="I30" s="160"/>
      <c r="J30" s="152" t="str">
        <f>IF('5A-A'!D21&lt;&gt;0,'5A-A'!D21,"")</f>
        <v/>
      </c>
      <c r="K30" s="155"/>
    </row>
    <row r="31" spans="1:11">
      <c r="A31" s="78">
        <f>IF('5A-A'!A22&lt;&gt;0,'5A-A'!A22,"")</f>
        <v>20</v>
      </c>
      <c r="B31" s="149" t="str">
        <f>IF('5A-A'!B22&lt;&gt;0,'5A-A'!B22,"")</f>
        <v/>
      </c>
      <c r="C31" s="150"/>
      <c r="D31" s="150"/>
      <c r="E31" s="151"/>
      <c r="F31" s="152" t="str">
        <f>IF('5A-A'!G22&lt;&gt;0,'5A-A'!G22,"")</f>
        <v/>
      </c>
      <c r="G31" s="153"/>
      <c r="H31" s="159" t="str">
        <f>IF('5A-A'!C22&lt;&gt;0,'5A-A'!C22,"")</f>
        <v/>
      </c>
      <c r="I31" s="160"/>
      <c r="J31" s="152" t="str">
        <f>IF('5A-A'!D22&lt;&gt;0,'5A-A'!D22,"")</f>
        <v/>
      </c>
      <c r="K31" s="155"/>
    </row>
    <row r="32" spans="1:11">
      <c r="A32" s="78">
        <f>IF('5A-A'!A23&lt;&gt;0,'5A-A'!A23,"")</f>
        <v>21</v>
      </c>
      <c r="B32" s="149" t="str">
        <f>IF('5A-A'!B23&lt;&gt;0,'5A-A'!B23,"")</f>
        <v/>
      </c>
      <c r="C32" s="150"/>
      <c r="D32" s="150"/>
      <c r="E32" s="151"/>
      <c r="F32" s="152" t="str">
        <f>IF('5A-A'!G23&lt;&gt;0,'5A-A'!G23,"")</f>
        <v/>
      </c>
      <c r="G32" s="153"/>
      <c r="H32" s="159" t="str">
        <f>IF('5A-A'!C23&lt;&gt;0,'5A-A'!C23,"")</f>
        <v/>
      </c>
      <c r="I32" s="160"/>
      <c r="J32" s="152" t="str">
        <f>IF('5A-A'!D23&lt;&gt;0,'5A-A'!D23,"")</f>
        <v/>
      </c>
      <c r="K32" s="155"/>
    </row>
    <row r="33" spans="1:11">
      <c r="A33" s="78">
        <f>IF('5A-A'!A24&lt;&gt;0,'5A-A'!A24,"")</f>
        <v>22</v>
      </c>
      <c r="B33" s="149" t="str">
        <f>IF('5A-A'!B24&lt;&gt;0,'5A-A'!B24,"")</f>
        <v/>
      </c>
      <c r="C33" s="150"/>
      <c r="D33" s="150"/>
      <c r="E33" s="151"/>
      <c r="F33" s="152" t="str">
        <f>IF('5A-A'!G24&lt;&gt;0,'5A-A'!G24,"")</f>
        <v/>
      </c>
      <c r="G33" s="153"/>
      <c r="H33" s="159" t="str">
        <f>IF('5A-A'!C24&lt;&gt;0,'5A-A'!C24,"")</f>
        <v/>
      </c>
      <c r="I33" s="160"/>
      <c r="J33" s="152" t="str">
        <f>IF('5A-A'!D24&lt;&gt;0,'5A-A'!D24,"")</f>
        <v/>
      </c>
      <c r="K33" s="155"/>
    </row>
    <row r="34" spans="1:11">
      <c r="A34" s="78">
        <f>IF('5A-A'!A25&lt;&gt;0,'5A-A'!A25,"")</f>
        <v>23</v>
      </c>
      <c r="B34" s="149" t="str">
        <f>IF('5A-A'!B25&lt;&gt;0,'5A-A'!B25,"")</f>
        <v/>
      </c>
      <c r="C34" s="150"/>
      <c r="D34" s="150"/>
      <c r="E34" s="151"/>
      <c r="F34" s="152" t="str">
        <f>IF('5A-A'!G25&lt;&gt;0,'5A-A'!G25,"")</f>
        <v/>
      </c>
      <c r="G34" s="153"/>
      <c r="H34" s="159" t="str">
        <f>IF('5A-A'!C25&lt;&gt;0,'5A-A'!C25,"")</f>
        <v/>
      </c>
      <c r="I34" s="160"/>
      <c r="J34" s="152" t="str">
        <f>IF('5A-A'!D25&lt;&gt;0,'5A-A'!D25,"")</f>
        <v/>
      </c>
      <c r="K34" s="155"/>
    </row>
    <row r="35" spans="1:11">
      <c r="A35" s="78">
        <f>IF('5A-A'!A26&lt;&gt;0,'5A-A'!A26,"")</f>
        <v>24</v>
      </c>
      <c r="B35" s="149" t="str">
        <f>IF('5A-A'!B26&lt;&gt;0,'5A-A'!B26,"")</f>
        <v/>
      </c>
      <c r="C35" s="150"/>
      <c r="D35" s="150"/>
      <c r="E35" s="151"/>
      <c r="F35" s="152" t="str">
        <f>IF('5A-A'!G26&lt;&gt;0,'5A-A'!G26,"")</f>
        <v/>
      </c>
      <c r="G35" s="153"/>
      <c r="H35" s="159" t="str">
        <f>IF('5A-A'!C26&lt;&gt;0,'5A-A'!C26,"")</f>
        <v/>
      </c>
      <c r="I35" s="160"/>
      <c r="J35" s="152" t="str">
        <f>IF('5A-A'!D26&lt;&gt;0,'5A-A'!D26,"")</f>
        <v/>
      </c>
      <c r="K35" s="155"/>
    </row>
    <row r="36" spans="1:11">
      <c r="A36" s="78">
        <f>IF('5A-A'!A27&lt;&gt;0,'5A-A'!A27,"")</f>
        <v>25</v>
      </c>
      <c r="B36" s="149" t="str">
        <f>IF('5A-A'!B27&lt;&gt;0,'5A-A'!B27,"")</f>
        <v/>
      </c>
      <c r="C36" s="150"/>
      <c r="D36" s="150"/>
      <c r="E36" s="151"/>
      <c r="F36" s="152" t="str">
        <f>IF('5A-A'!G27&lt;&gt;0,'5A-A'!G27,"")</f>
        <v/>
      </c>
      <c r="G36" s="153"/>
      <c r="H36" s="159" t="str">
        <f>IF('5A-A'!C27&lt;&gt;0,'5A-A'!C27,"")</f>
        <v/>
      </c>
      <c r="I36" s="160"/>
      <c r="J36" s="152" t="str">
        <f>IF('5A-A'!D27&lt;&gt;0,'5A-A'!D27,"")</f>
        <v/>
      </c>
      <c r="K36" s="155"/>
    </row>
    <row r="37" spans="1:11">
      <c r="A37" s="78">
        <f>IF('5A-A'!A28&lt;&gt;0,'5A-A'!A28,"")</f>
        <v>26</v>
      </c>
      <c r="B37" s="149" t="str">
        <f>IF('5A-A'!B28&lt;&gt;0,'5A-A'!B28,"")</f>
        <v/>
      </c>
      <c r="C37" s="150"/>
      <c r="D37" s="150"/>
      <c r="E37" s="151"/>
      <c r="F37" s="152" t="str">
        <f>IF('5A-A'!G28&lt;&gt;0,'5A-A'!G28,"")</f>
        <v/>
      </c>
      <c r="G37" s="153"/>
      <c r="H37" s="159" t="str">
        <f>IF('5A-A'!C28&lt;&gt;0,'5A-A'!C28,"")</f>
        <v/>
      </c>
      <c r="I37" s="160"/>
      <c r="J37" s="152" t="str">
        <f>IF('5A-A'!D28&lt;&gt;0,'5A-A'!D28,"")</f>
        <v/>
      </c>
      <c r="K37" s="155"/>
    </row>
    <row r="38" spans="1:11">
      <c r="A38" s="78">
        <f>IF('5A-A'!A29&lt;&gt;0,'5A-A'!A29,"")</f>
        <v>27</v>
      </c>
      <c r="B38" s="149" t="str">
        <f>IF('5A-A'!B29&lt;&gt;0,'5A-A'!B29,"")</f>
        <v/>
      </c>
      <c r="C38" s="150"/>
      <c r="D38" s="150"/>
      <c r="E38" s="151"/>
      <c r="F38" s="152" t="str">
        <f>IF('5A-A'!G29&lt;&gt;0,'5A-A'!G29,"")</f>
        <v/>
      </c>
      <c r="G38" s="153"/>
      <c r="H38" s="159" t="str">
        <f>IF('5A-A'!C29&lt;&gt;0,'5A-A'!C29,"")</f>
        <v/>
      </c>
      <c r="I38" s="160"/>
      <c r="J38" s="152" t="str">
        <f>IF('5A-A'!D29&lt;&gt;0,'5A-A'!D29,"")</f>
        <v/>
      </c>
      <c r="K38" s="155"/>
    </row>
    <row r="39" spans="1:11">
      <c r="A39" s="78">
        <f>IF('5A-A'!A30&lt;&gt;0,'5A-A'!A30,"")</f>
        <v>28</v>
      </c>
      <c r="B39" s="149" t="str">
        <f>IF('5A-A'!B30&lt;&gt;0,'5A-A'!B30,"")</f>
        <v/>
      </c>
      <c r="C39" s="150"/>
      <c r="D39" s="150"/>
      <c r="E39" s="151"/>
      <c r="F39" s="152" t="str">
        <f>IF('5A-A'!G30&lt;&gt;0,'5A-A'!G30,"")</f>
        <v/>
      </c>
      <c r="G39" s="153"/>
      <c r="H39" s="159" t="str">
        <f>IF('5A-A'!C30&lt;&gt;0,'5A-A'!C30,"")</f>
        <v/>
      </c>
      <c r="I39" s="160"/>
      <c r="J39" s="152" t="str">
        <f>IF('5A-A'!D30&lt;&gt;0,'5A-A'!D30,"")</f>
        <v/>
      </c>
      <c r="K39" s="155"/>
    </row>
    <row r="40" spans="1:11">
      <c r="A40" s="78">
        <f>IF('5A-A'!A31&lt;&gt;0,'5A-A'!A31,"")</f>
        <v>29</v>
      </c>
      <c r="B40" s="149" t="str">
        <f>IF('5A-A'!B31&lt;&gt;0,'5A-A'!B31,"")</f>
        <v/>
      </c>
      <c r="C40" s="150"/>
      <c r="D40" s="150"/>
      <c r="E40" s="151"/>
      <c r="F40" s="152" t="str">
        <f>IF('5A-A'!G31&lt;&gt;0,'5A-A'!G31,"")</f>
        <v/>
      </c>
      <c r="G40" s="153"/>
      <c r="H40" s="159" t="str">
        <f>IF('5A-A'!C31&lt;&gt;0,'5A-A'!C31,"")</f>
        <v/>
      </c>
      <c r="I40" s="160"/>
      <c r="J40" s="152" t="str">
        <f>IF('5A-A'!D31&lt;&gt;0,'5A-A'!D31,"")</f>
        <v/>
      </c>
      <c r="K40" s="155"/>
    </row>
    <row r="41" spans="1:11" ht="15.75" thickBot="1">
      <c r="A41" s="80">
        <f>IF('5A-A'!A32&lt;&gt;0,'5A-A'!A32,"")</f>
        <v>30</v>
      </c>
      <c r="B41" s="142" t="str">
        <f>IF('5A-A'!B32&lt;&gt;0,'5A-A'!B32,"")</f>
        <v/>
      </c>
      <c r="C41" s="143"/>
      <c r="D41" s="143"/>
      <c r="E41" s="144"/>
      <c r="F41" s="145" t="str">
        <f>IF('5A-A'!G32&lt;&gt;0,'5A-A'!G32,"")</f>
        <v/>
      </c>
      <c r="G41" s="146"/>
      <c r="H41" s="157" t="str">
        <f>IF('5A-A'!C32&lt;&gt;0,'5A-A'!C32,"")</f>
        <v/>
      </c>
      <c r="I41" s="158"/>
      <c r="J41" s="145" t="str">
        <f>IF('5A-A'!D32&lt;&gt;0,'5A-A'!D32,"")</f>
        <v/>
      </c>
      <c r="K41" s="148"/>
    </row>
    <row r="43" spans="1:11" ht="15.75">
      <c r="A43" s="119" t="s">
        <v>81</v>
      </c>
      <c r="B43" s="119"/>
      <c r="C43" s="119"/>
      <c r="D43" s="119"/>
      <c r="E43" s="120">
        <f>'5A-A'!U4</f>
        <v>0</v>
      </c>
      <c r="F43" s="120"/>
    </row>
    <row r="44" spans="1:11">
      <c r="A44" s="66" t="s">
        <v>133</v>
      </c>
      <c r="E44" s="122">
        <f ca="1">'5A-A'!Q3</f>
        <v>0</v>
      </c>
      <c r="F44" s="122"/>
    </row>
    <row r="45" spans="1:11">
      <c r="A45" s="66" t="s">
        <v>134</v>
      </c>
      <c r="E45" s="122">
        <f ca="1">'5A-A'!R3</f>
        <v>0</v>
      </c>
      <c r="F45" s="122"/>
    </row>
    <row r="48" spans="1:11">
      <c r="A48" s="66" t="s">
        <v>84</v>
      </c>
      <c r="C48" s="121">
        <f ca="1">TODAY()</f>
        <v>44871</v>
      </c>
      <c r="D48" s="122"/>
      <c r="E48" s="122"/>
    </row>
  </sheetData>
  <sheetProtection algorithmName="SHA-512" hashValue="ucGztrmiUXgal8/MV98JU9xS7zsXLLqDf0TIDMUcgMoit264jleCOeK/bj5eeLcPDLCwQUzlBeMMaPBMtYsPgg==" saltValue="aJ/xh/TBSXSoB5uJjn70nQ==" spinCount="100000" sheet="1" objects="1" scenarios="1" selectLockedCells="1"/>
  <mergeCells count="138">
    <mergeCell ref="A43:D43"/>
    <mergeCell ref="E43:F43"/>
    <mergeCell ref="E44:F44"/>
    <mergeCell ref="E45:F45"/>
    <mergeCell ref="C48:E48"/>
    <mergeCell ref="B40:E40"/>
    <mergeCell ref="F40:G40"/>
    <mergeCell ref="H40:I40"/>
    <mergeCell ref="J40:K40"/>
    <mergeCell ref="B41:E41"/>
    <mergeCell ref="F41:G41"/>
    <mergeCell ref="H41:I41"/>
    <mergeCell ref="J41:K41"/>
    <mergeCell ref="B38:E38"/>
    <mergeCell ref="F38:G38"/>
    <mergeCell ref="H38:I38"/>
    <mergeCell ref="J38:K38"/>
    <mergeCell ref="B39:E39"/>
    <mergeCell ref="F39:G39"/>
    <mergeCell ref="H39:I39"/>
    <mergeCell ref="J39:K39"/>
    <mergeCell ref="B36:E36"/>
    <mergeCell ref="F36:G36"/>
    <mergeCell ref="H36:I36"/>
    <mergeCell ref="J36:K36"/>
    <mergeCell ref="B37:E37"/>
    <mergeCell ref="F37:G37"/>
    <mergeCell ref="H37:I37"/>
    <mergeCell ref="J37:K37"/>
    <mergeCell ref="B34:E34"/>
    <mergeCell ref="F34:G34"/>
    <mergeCell ref="H34:I34"/>
    <mergeCell ref="J34:K34"/>
    <mergeCell ref="B35:E35"/>
    <mergeCell ref="F35:G35"/>
    <mergeCell ref="H35:I35"/>
    <mergeCell ref="J35:K35"/>
    <mergeCell ref="B32:E32"/>
    <mergeCell ref="F32:G32"/>
    <mergeCell ref="H32:I32"/>
    <mergeCell ref="J32:K32"/>
    <mergeCell ref="B33:E33"/>
    <mergeCell ref="F33:G33"/>
    <mergeCell ref="H33:I33"/>
    <mergeCell ref="J33:K33"/>
    <mergeCell ref="B30:E30"/>
    <mergeCell ref="F30:G30"/>
    <mergeCell ref="H30:I30"/>
    <mergeCell ref="J30:K30"/>
    <mergeCell ref="B31:E31"/>
    <mergeCell ref="F31:G31"/>
    <mergeCell ref="H31:I31"/>
    <mergeCell ref="J31:K31"/>
    <mergeCell ref="B28:E28"/>
    <mergeCell ref="F28:G28"/>
    <mergeCell ref="H28:I28"/>
    <mergeCell ref="J28:K28"/>
    <mergeCell ref="B29:E29"/>
    <mergeCell ref="F29:G29"/>
    <mergeCell ref="H29:I29"/>
    <mergeCell ref="J29:K29"/>
    <mergeCell ref="B26:E26"/>
    <mergeCell ref="F26:G26"/>
    <mergeCell ref="H26:I26"/>
    <mergeCell ref="J26:K26"/>
    <mergeCell ref="B27:E27"/>
    <mergeCell ref="F27:G27"/>
    <mergeCell ref="H27:I27"/>
    <mergeCell ref="J27:K27"/>
    <mergeCell ref="B24:E24"/>
    <mergeCell ref="F24:G24"/>
    <mergeCell ref="H24:I24"/>
    <mergeCell ref="J24:K24"/>
    <mergeCell ref="B25:E25"/>
    <mergeCell ref="F25:G25"/>
    <mergeCell ref="H25:I25"/>
    <mergeCell ref="J25:K25"/>
    <mergeCell ref="B22:E22"/>
    <mergeCell ref="F22:G22"/>
    <mergeCell ref="H22:I22"/>
    <mergeCell ref="J22:K22"/>
    <mergeCell ref="B23:E23"/>
    <mergeCell ref="F23:G23"/>
    <mergeCell ref="H23:I23"/>
    <mergeCell ref="J23:K23"/>
    <mergeCell ref="B20:E20"/>
    <mergeCell ref="F20:G20"/>
    <mergeCell ref="H20:I20"/>
    <mergeCell ref="J20:K20"/>
    <mergeCell ref="B21:E21"/>
    <mergeCell ref="F21:G21"/>
    <mergeCell ref="H21:I21"/>
    <mergeCell ref="J21:K21"/>
    <mergeCell ref="B18:E18"/>
    <mergeCell ref="F18:G18"/>
    <mergeCell ref="H18:I18"/>
    <mergeCell ref="J18:K18"/>
    <mergeCell ref="B19:E19"/>
    <mergeCell ref="F19:G19"/>
    <mergeCell ref="H19:I19"/>
    <mergeCell ref="J19:K19"/>
    <mergeCell ref="B16:E16"/>
    <mergeCell ref="F16:G16"/>
    <mergeCell ref="H16:I16"/>
    <mergeCell ref="J16:K16"/>
    <mergeCell ref="B17:E17"/>
    <mergeCell ref="F17:G17"/>
    <mergeCell ref="H17:I17"/>
    <mergeCell ref="J17:K17"/>
    <mergeCell ref="B14:E14"/>
    <mergeCell ref="F14:G14"/>
    <mergeCell ref="H14:I14"/>
    <mergeCell ref="J14:K14"/>
    <mergeCell ref="B15:E15"/>
    <mergeCell ref="F15:G15"/>
    <mergeCell ref="H15:I15"/>
    <mergeCell ref="J15:K15"/>
    <mergeCell ref="B12:E12"/>
    <mergeCell ref="F12:G12"/>
    <mergeCell ref="H12:I12"/>
    <mergeCell ref="J12:K12"/>
    <mergeCell ref="B13:E13"/>
    <mergeCell ref="F13:G13"/>
    <mergeCell ref="H13:I13"/>
    <mergeCell ref="J13:K13"/>
    <mergeCell ref="B7:K7"/>
    <mergeCell ref="A9:K10"/>
    <mergeCell ref="B11:E11"/>
    <mergeCell ref="F11:G11"/>
    <mergeCell ref="H11:I11"/>
    <mergeCell ref="J11:K11"/>
    <mergeCell ref="B1:K1"/>
    <mergeCell ref="B2:K2"/>
    <mergeCell ref="B3:K3"/>
    <mergeCell ref="B4:K4"/>
    <mergeCell ref="B5:K5"/>
    <mergeCell ref="A6:C6"/>
    <mergeCell ref="D6:K6"/>
  </mergeCells>
  <conditionalFormatting sqref="A12:K41">
    <cfRule type="expression" dxfId="103" priority="1">
      <formula>IF($J12&lt;&gt;"",1,0)</formula>
    </cfRule>
  </conditionalFormatting>
  <conditionalFormatting sqref="B2:B5 D6">
    <cfRule type="expression" dxfId="102" priority="2">
      <formula>ROW()=CELL("LIN")</formula>
    </cfRule>
  </conditionalFormatting>
  <pageMargins left="0.39370078740157483" right="0.3543307086614173" top="1.1417322834645669" bottom="0.39370078740157483" header="0.31496062992125984" footer="0.31496062992125984"/>
  <pageSetup paperSize="9" scale="96" fitToHeight="0" orientation="portrait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27D84-B160-454B-B933-F8643073A037}">
  <sheetPr codeName="Plan13">
    <pageSetUpPr fitToPage="1"/>
  </sheetPr>
  <dimension ref="A1:U32"/>
  <sheetViews>
    <sheetView showGridLines="0" showRowColHeaders="0" view="pageBreakPreview" zoomScale="60" zoomScaleNormal="60" zoomScalePageLayoutView="40" workbookViewId="0">
      <pane ySplit="1" topLeftCell="A2" activePane="bottomLeft" state="frozen"/>
      <selection pane="bottomLeft" activeCell="B3" sqref="B3"/>
    </sheetView>
  </sheetViews>
  <sheetFormatPr defaultColWidth="9.140625" defaultRowHeight="15"/>
  <cols>
    <col min="1" max="1" width="8.5703125" style="17" customWidth="1"/>
    <col min="2" max="2" width="42" style="17" customWidth="1"/>
    <col min="3" max="3" width="17" style="18" bestFit="1" customWidth="1"/>
    <col min="4" max="4" width="23.85546875" style="19" customWidth="1"/>
    <col min="5" max="5" width="28.5703125" style="17" customWidth="1"/>
    <col min="6" max="6" width="30.5703125" style="27" bestFit="1" customWidth="1"/>
    <col min="7" max="7" width="25.7109375" style="27" customWidth="1"/>
    <col min="8" max="8" width="21.140625" style="17" customWidth="1"/>
    <col min="9" max="9" width="17.5703125" style="17" customWidth="1"/>
    <col min="10" max="10" width="44.42578125" style="17" customWidth="1"/>
    <col min="11" max="11" width="9.7109375" style="17" customWidth="1"/>
    <col min="12" max="12" width="9.28515625" style="17" customWidth="1"/>
    <col min="13" max="13" width="9.140625" style="17"/>
    <col min="14" max="14" width="16.140625" style="17" customWidth="1"/>
    <col min="15" max="15" width="12.7109375" style="17" customWidth="1"/>
    <col min="16" max="16384" width="9.140625" style="17"/>
  </cols>
  <sheetData>
    <row r="1" spans="1:21" ht="75" customHeight="1"/>
    <row r="2" spans="1:21" ht="60">
      <c r="A2" s="20" t="s">
        <v>9</v>
      </c>
      <c r="B2" s="21" t="s">
        <v>10</v>
      </c>
      <c r="C2" s="22" t="s">
        <v>13</v>
      </c>
      <c r="D2" s="23" t="s">
        <v>16</v>
      </c>
      <c r="E2" s="22" t="s">
        <v>11</v>
      </c>
      <c r="F2" s="22" t="s">
        <v>12</v>
      </c>
      <c r="G2" s="22" t="s">
        <v>14</v>
      </c>
      <c r="H2" s="22" t="s">
        <v>15</v>
      </c>
      <c r="I2" s="22" t="s">
        <v>17</v>
      </c>
      <c r="J2" s="21" t="s">
        <v>18</v>
      </c>
      <c r="K2" s="26" t="s">
        <v>19</v>
      </c>
      <c r="L2" s="67"/>
      <c r="M2" s="68"/>
      <c r="N2" s="68"/>
      <c r="O2" s="68"/>
      <c r="P2" s="69" t="s">
        <v>0</v>
      </c>
      <c r="Q2" s="70" t="s">
        <v>22</v>
      </c>
      <c r="R2" s="70" t="s">
        <v>23</v>
      </c>
      <c r="S2" s="71" t="s">
        <v>3</v>
      </c>
      <c r="T2" s="70" t="s">
        <v>4</v>
      </c>
      <c r="U2" s="68"/>
    </row>
    <row r="3" spans="1:21">
      <c r="A3" s="81">
        <v>1</v>
      </c>
      <c r="B3" s="44"/>
      <c r="C3" s="45"/>
      <c r="D3" s="47"/>
      <c r="E3" s="46">
        <v>0</v>
      </c>
      <c r="F3" s="51"/>
      <c r="G3" s="52"/>
      <c r="H3" s="52"/>
      <c r="I3" s="47"/>
      <c r="J3" s="44"/>
      <c r="K3" s="24">
        <f t="shared" ref="K3:K27" ca="1" si="0">QUOTIENT(IF(DATEDIF(C3,TODAY(),"y")&gt;90,0,DATEDIF(C3,TODAY(),"m")),12)</f>
        <v>0</v>
      </c>
      <c r="L3" s="68">
        <f t="shared" ref="L3:L32" ca="1" si="1">IF($K3=0,0,IF($K3&lt;($P$3),1,0))</f>
        <v>0</v>
      </c>
      <c r="M3" s="68">
        <f t="shared" ref="M3:M32" ca="1" si="2">IF($K3&gt;($P$3),1,0)</f>
        <v>0</v>
      </c>
      <c r="N3" s="68" t="b">
        <f ca="1">IF(IF(DATEDIF(C3,TODAY(),"y")&gt;90,0,DATEDIF(C3,TODAY(),"m"))&gt;0,CONCATENATE(QUOTIENT(IF(DATEDIF(C3,TODAY(),"y")&gt;90,0,DATEDIF(C3,TODAY(),"m")),12)," anos e ",MOD(IF(DATEDIF(C3,TODAY(),"y")&gt;90,0,DATEDIF(C3,TODAY(),"m")),12)," mês"))</f>
        <v>0</v>
      </c>
      <c r="O3" s="68" t="str">
        <f ca="1">IF(C3="","",DATEDIF($C3,TODAY(),"m"))</f>
        <v/>
      </c>
      <c r="P3" s="68">
        <v>10</v>
      </c>
      <c r="Q3" s="68">
        <f ca="1">SUM(L3:L32)</f>
        <v>0</v>
      </c>
      <c r="R3" s="68">
        <f ca="1">SUM(M3:M32)</f>
        <v>0</v>
      </c>
      <c r="S3" s="71" t="s">
        <v>7</v>
      </c>
      <c r="T3" s="68">
        <f>($P$3*12)</f>
        <v>120</v>
      </c>
      <c r="U3" s="68"/>
    </row>
    <row r="4" spans="1:21" ht="15.75">
      <c r="A4" s="81">
        <v>2</v>
      </c>
      <c r="B4" s="44"/>
      <c r="C4" s="45"/>
      <c r="D4" s="47"/>
      <c r="E4" s="46">
        <v>0</v>
      </c>
      <c r="F4" s="51"/>
      <c r="G4" s="52"/>
      <c r="H4" s="52"/>
      <c r="I4" s="47"/>
      <c r="J4" s="44"/>
      <c r="K4" s="24">
        <f t="shared" ca="1" si="0"/>
        <v>0</v>
      </c>
      <c r="L4" s="68">
        <f t="shared" ca="1" si="1"/>
        <v>0</v>
      </c>
      <c r="M4" s="68">
        <f t="shared" ca="1" si="2"/>
        <v>0</v>
      </c>
      <c r="N4" s="68" t="b">
        <f t="shared" ref="N4:N32" ca="1" si="3">IF(IF(DATEDIF(C4,TODAY(),"y")&gt;90,0,DATEDIF(C4,TODAY(),"m"))&gt;0,CONCATENATE(QUOTIENT(IF(DATEDIF(C4,TODAY(),"y")&gt;90,0,DATEDIF(C4,TODAY(),"m")),12)," anos e ",MOD(IF(DATEDIF(C4,TODAY(),"y")&gt;90,0,DATEDIF(C4,TODAY(),"m")),12)," mês"))</f>
        <v>0</v>
      </c>
      <c r="O4" s="68" t="str">
        <f ca="1">IF(C4="","",DATEDIF($C4,TODAY(),"m"))</f>
        <v/>
      </c>
      <c r="P4" s="123" t="s">
        <v>6</v>
      </c>
      <c r="Q4" s="123"/>
      <c r="R4" s="123"/>
      <c r="S4" s="123"/>
      <c r="T4" s="123"/>
      <c r="U4" s="182">
        <f>COUNTA(B3:B32)-COUNTA(D3:D32)</f>
        <v>0</v>
      </c>
    </row>
    <row r="5" spans="1:21">
      <c r="A5" s="81">
        <v>3</v>
      </c>
      <c r="B5" s="44"/>
      <c r="C5" s="45"/>
      <c r="D5" s="47"/>
      <c r="E5" s="46">
        <v>0</v>
      </c>
      <c r="F5" s="51"/>
      <c r="G5" s="52"/>
      <c r="H5" s="52"/>
      <c r="I5" s="47"/>
      <c r="J5" s="44"/>
      <c r="K5" s="24">
        <f t="shared" ca="1" si="0"/>
        <v>0</v>
      </c>
      <c r="L5" s="68">
        <f t="shared" ca="1" si="1"/>
        <v>0</v>
      </c>
      <c r="M5" s="68">
        <f t="shared" ca="1" si="2"/>
        <v>0</v>
      </c>
      <c r="N5" s="68" t="b">
        <f t="shared" ca="1" si="3"/>
        <v>0</v>
      </c>
      <c r="O5" s="68" t="str">
        <f ca="1">IF(C5="","",DATEDIF($C5,TODAY(),"m"))</f>
        <v/>
      </c>
      <c r="P5" s="68"/>
      <c r="Q5" s="68"/>
      <c r="R5" s="68"/>
      <c r="S5" s="68"/>
      <c r="T5" s="68"/>
      <c r="U5" s="68"/>
    </row>
    <row r="6" spans="1:21">
      <c r="A6" s="81">
        <v>4</v>
      </c>
      <c r="B6" s="44"/>
      <c r="C6" s="45"/>
      <c r="D6" s="47"/>
      <c r="E6" s="46">
        <v>0</v>
      </c>
      <c r="F6" s="51"/>
      <c r="G6" s="52"/>
      <c r="H6" s="52"/>
      <c r="I6" s="47"/>
      <c r="J6" s="44"/>
      <c r="K6" s="24">
        <f t="shared" ca="1" si="0"/>
        <v>0</v>
      </c>
      <c r="L6" s="68">
        <f t="shared" ca="1" si="1"/>
        <v>0</v>
      </c>
      <c r="M6" s="68">
        <f t="shared" ca="1" si="2"/>
        <v>0</v>
      </c>
      <c r="N6" s="68" t="b">
        <f t="shared" ca="1" si="3"/>
        <v>0</v>
      </c>
      <c r="O6" s="68" t="str">
        <f t="shared" ref="O6:O26" ca="1" si="4">IF(C5="","",DATEDIF($C5,TODAY(),"m"))</f>
        <v/>
      </c>
      <c r="P6" s="68"/>
      <c r="Q6" s="68"/>
      <c r="R6" s="68"/>
      <c r="S6" s="68"/>
      <c r="T6" s="68"/>
      <c r="U6" s="68"/>
    </row>
    <row r="7" spans="1:21">
      <c r="A7" s="81">
        <v>5</v>
      </c>
      <c r="B7" s="44"/>
      <c r="C7" s="45"/>
      <c r="D7" s="47"/>
      <c r="E7" s="46">
        <v>0</v>
      </c>
      <c r="F7" s="51"/>
      <c r="G7" s="52"/>
      <c r="H7" s="52"/>
      <c r="I7" s="47"/>
      <c r="J7" s="44"/>
      <c r="K7" s="24">
        <f t="shared" ca="1" si="0"/>
        <v>0</v>
      </c>
      <c r="L7" s="68">
        <f t="shared" ca="1" si="1"/>
        <v>0</v>
      </c>
      <c r="M7" s="68">
        <f t="shared" ca="1" si="2"/>
        <v>0</v>
      </c>
      <c r="N7" s="68" t="b">
        <f t="shared" ca="1" si="3"/>
        <v>0</v>
      </c>
      <c r="O7" s="68" t="str">
        <f t="shared" ca="1" si="4"/>
        <v/>
      </c>
      <c r="P7" s="68"/>
      <c r="Q7" s="68"/>
      <c r="R7" s="68"/>
      <c r="S7" s="68"/>
      <c r="T7" s="68"/>
      <c r="U7" s="68"/>
    </row>
    <row r="8" spans="1:21">
      <c r="A8" s="81">
        <v>6</v>
      </c>
      <c r="B8" s="44"/>
      <c r="C8" s="45"/>
      <c r="D8" s="47"/>
      <c r="E8" s="46">
        <v>0</v>
      </c>
      <c r="F8" s="51"/>
      <c r="G8" s="52"/>
      <c r="H8" s="52"/>
      <c r="I8" s="47"/>
      <c r="J8" s="44"/>
      <c r="K8" s="24">
        <f t="shared" ca="1" si="0"/>
        <v>0</v>
      </c>
      <c r="L8" s="68">
        <f t="shared" ca="1" si="1"/>
        <v>0</v>
      </c>
      <c r="M8" s="68">
        <f t="shared" ca="1" si="2"/>
        <v>0</v>
      </c>
      <c r="N8" s="68" t="b">
        <f t="shared" ca="1" si="3"/>
        <v>0</v>
      </c>
      <c r="O8" s="68" t="str">
        <f t="shared" ca="1" si="4"/>
        <v/>
      </c>
      <c r="P8" s="68"/>
      <c r="Q8" s="68"/>
      <c r="R8" s="68"/>
      <c r="S8" s="68"/>
      <c r="T8" s="68"/>
      <c r="U8" s="68"/>
    </row>
    <row r="9" spans="1:21">
      <c r="A9" s="81">
        <v>7</v>
      </c>
      <c r="B9" s="44"/>
      <c r="C9" s="45"/>
      <c r="D9" s="47"/>
      <c r="E9" s="46">
        <v>0</v>
      </c>
      <c r="F9" s="51"/>
      <c r="G9" s="52"/>
      <c r="H9" s="52"/>
      <c r="I9" s="47"/>
      <c r="J9" s="44"/>
      <c r="K9" s="24">
        <f t="shared" ca="1" si="0"/>
        <v>0</v>
      </c>
      <c r="L9" s="68">
        <f t="shared" ca="1" si="1"/>
        <v>0</v>
      </c>
      <c r="M9" s="68">
        <f t="shared" ca="1" si="2"/>
        <v>0</v>
      </c>
      <c r="N9" s="68" t="b">
        <f t="shared" ca="1" si="3"/>
        <v>0</v>
      </c>
      <c r="O9" s="68" t="str">
        <f t="shared" ca="1" si="4"/>
        <v/>
      </c>
      <c r="P9" s="68"/>
      <c r="Q9" s="68"/>
      <c r="R9" s="68"/>
      <c r="S9" s="68"/>
      <c r="T9" s="68"/>
      <c r="U9" s="68"/>
    </row>
    <row r="10" spans="1:21">
      <c r="A10" s="81">
        <v>8</v>
      </c>
      <c r="B10" s="44"/>
      <c r="C10" s="45"/>
      <c r="D10" s="47"/>
      <c r="E10" s="46">
        <v>0</v>
      </c>
      <c r="F10" s="51"/>
      <c r="G10" s="52"/>
      <c r="H10" s="52"/>
      <c r="I10" s="47"/>
      <c r="J10" s="44"/>
      <c r="K10" s="24">
        <f t="shared" ca="1" si="0"/>
        <v>0</v>
      </c>
      <c r="L10" s="68">
        <f t="shared" ca="1" si="1"/>
        <v>0</v>
      </c>
      <c r="M10" s="68">
        <f t="shared" ca="1" si="2"/>
        <v>0</v>
      </c>
      <c r="N10" s="68" t="b">
        <f t="shared" ca="1" si="3"/>
        <v>0</v>
      </c>
      <c r="O10" s="68" t="str">
        <f t="shared" ca="1" si="4"/>
        <v/>
      </c>
      <c r="P10" s="68"/>
      <c r="Q10" s="68"/>
      <c r="R10" s="68"/>
      <c r="S10" s="68"/>
      <c r="T10" s="68"/>
      <c r="U10" s="68"/>
    </row>
    <row r="11" spans="1:21">
      <c r="A11" s="81">
        <v>9</v>
      </c>
      <c r="B11" s="44"/>
      <c r="C11" s="45"/>
      <c r="D11" s="47"/>
      <c r="E11" s="46">
        <v>0</v>
      </c>
      <c r="F11" s="51"/>
      <c r="G11" s="52"/>
      <c r="H11" s="52"/>
      <c r="I11" s="47"/>
      <c r="J11" s="44"/>
      <c r="K11" s="24">
        <f t="shared" ca="1" si="0"/>
        <v>0</v>
      </c>
      <c r="L11" s="68">
        <f t="shared" ca="1" si="1"/>
        <v>0</v>
      </c>
      <c r="M11" s="68">
        <f t="shared" ca="1" si="2"/>
        <v>0</v>
      </c>
      <c r="N11" s="68" t="b">
        <f t="shared" ca="1" si="3"/>
        <v>0</v>
      </c>
      <c r="O11" s="68" t="str">
        <f t="shared" ca="1" si="4"/>
        <v/>
      </c>
      <c r="P11" s="68"/>
      <c r="Q11" s="68"/>
      <c r="R11" s="68"/>
      <c r="S11" s="68"/>
      <c r="T11" s="68"/>
      <c r="U11" s="68"/>
    </row>
    <row r="12" spans="1:21">
      <c r="A12" s="81">
        <v>10</v>
      </c>
      <c r="B12" s="44"/>
      <c r="C12" s="45"/>
      <c r="D12" s="47"/>
      <c r="E12" s="46">
        <v>0</v>
      </c>
      <c r="F12" s="51"/>
      <c r="G12" s="52"/>
      <c r="H12" s="52"/>
      <c r="I12" s="47"/>
      <c r="J12" s="44"/>
      <c r="K12" s="24">
        <f t="shared" ca="1" si="0"/>
        <v>0</v>
      </c>
      <c r="L12" s="68">
        <f t="shared" ca="1" si="1"/>
        <v>0</v>
      </c>
      <c r="M12" s="68">
        <f t="shared" ca="1" si="2"/>
        <v>0</v>
      </c>
      <c r="N12" s="68" t="b">
        <f t="shared" ca="1" si="3"/>
        <v>0</v>
      </c>
      <c r="O12" s="68" t="str">
        <f t="shared" ca="1" si="4"/>
        <v/>
      </c>
      <c r="P12" s="68"/>
      <c r="Q12" s="68"/>
      <c r="R12" s="68"/>
      <c r="S12" s="68"/>
      <c r="T12" s="68"/>
      <c r="U12" s="68"/>
    </row>
    <row r="13" spans="1:21">
      <c r="A13" s="81">
        <v>11</v>
      </c>
      <c r="B13" s="44"/>
      <c r="C13" s="45"/>
      <c r="D13" s="47"/>
      <c r="E13" s="46">
        <v>0</v>
      </c>
      <c r="F13" s="51"/>
      <c r="G13" s="52"/>
      <c r="H13" s="52"/>
      <c r="I13" s="47"/>
      <c r="J13" s="44"/>
      <c r="K13" s="24">
        <f t="shared" ca="1" si="0"/>
        <v>0</v>
      </c>
      <c r="L13" s="68">
        <f t="shared" ca="1" si="1"/>
        <v>0</v>
      </c>
      <c r="M13" s="68">
        <f t="shared" ca="1" si="2"/>
        <v>0</v>
      </c>
      <c r="N13" s="68" t="b">
        <f t="shared" ca="1" si="3"/>
        <v>0</v>
      </c>
      <c r="O13" s="68" t="str">
        <f t="shared" ca="1" si="4"/>
        <v/>
      </c>
      <c r="P13" s="68"/>
      <c r="Q13" s="68"/>
      <c r="R13" s="68"/>
      <c r="S13" s="68"/>
      <c r="T13" s="68"/>
      <c r="U13" s="68"/>
    </row>
    <row r="14" spans="1:21">
      <c r="A14" s="81">
        <v>12</v>
      </c>
      <c r="B14" s="44"/>
      <c r="C14" s="45"/>
      <c r="D14" s="47"/>
      <c r="E14" s="46">
        <v>0</v>
      </c>
      <c r="F14" s="51"/>
      <c r="G14" s="52"/>
      <c r="H14" s="52"/>
      <c r="I14" s="47"/>
      <c r="J14" s="44"/>
      <c r="K14" s="24">
        <f t="shared" ca="1" si="0"/>
        <v>0</v>
      </c>
      <c r="L14" s="68">
        <f t="shared" ca="1" si="1"/>
        <v>0</v>
      </c>
      <c r="M14" s="68">
        <f t="shared" ca="1" si="2"/>
        <v>0</v>
      </c>
      <c r="N14" s="68" t="b">
        <f t="shared" ca="1" si="3"/>
        <v>0</v>
      </c>
      <c r="O14" s="68" t="str">
        <f t="shared" ca="1" si="4"/>
        <v/>
      </c>
      <c r="P14" s="68"/>
      <c r="Q14" s="68"/>
      <c r="R14" s="68"/>
      <c r="S14" s="68"/>
      <c r="T14" s="68"/>
      <c r="U14" s="68"/>
    </row>
    <row r="15" spans="1:21">
      <c r="A15" s="81">
        <v>13</v>
      </c>
      <c r="B15" s="44"/>
      <c r="C15" s="45"/>
      <c r="D15" s="47"/>
      <c r="E15" s="46">
        <v>0</v>
      </c>
      <c r="F15" s="51"/>
      <c r="G15" s="52"/>
      <c r="H15" s="52"/>
      <c r="I15" s="47"/>
      <c r="J15" s="44"/>
      <c r="K15" s="24">
        <f t="shared" ca="1" si="0"/>
        <v>0</v>
      </c>
      <c r="L15" s="68">
        <f t="shared" ca="1" si="1"/>
        <v>0</v>
      </c>
      <c r="M15" s="68">
        <f t="shared" ca="1" si="2"/>
        <v>0</v>
      </c>
      <c r="N15" s="68" t="b">
        <f t="shared" ca="1" si="3"/>
        <v>0</v>
      </c>
      <c r="O15" s="68" t="str">
        <f t="shared" ca="1" si="4"/>
        <v/>
      </c>
      <c r="P15" s="68"/>
      <c r="Q15" s="68"/>
      <c r="R15" s="68"/>
      <c r="S15" s="68"/>
      <c r="T15" s="68"/>
      <c r="U15" s="68"/>
    </row>
    <row r="16" spans="1:21">
      <c r="A16" s="81">
        <v>14</v>
      </c>
      <c r="B16" s="44"/>
      <c r="C16" s="45"/>
      <c r="D16" s="47"/>
      <c r="E16" s="46">
        <v>0</v>
      </c>
      <c r="F16" s="51"/>
      <c r="G16" s="52"/>
      <c r="H16" s="52"/>
      <c r="I16" s="47"/>
      <c r="J16" s="44"/>
      <c r="K16" s="24">
        <f t="shared" ca="1" si="0"/>
        <v>0</v>
      </c>
      <c r="L16" s="68">
        <f t="shared" ca="1" si="1"/>
        <v>0</v>
      </c>
      <c r="M16" s="68">
        <f t="shared" ca="1" si="2"/>
        <v>0</v>
      </c>
      <c r="N16" s="68" t="b">
        <f t="shared" ca="1" si="3"/>
        <v>0</v>
      </c>
      <c r="O16" s="68" t="str">
        <f t="shared" ca="1" si="4"/>
        <v/>
      </c>
      <c r="P16" s="68"/>
      <c r="Q16" s="68"/>
      <c r="R16" s="68"/>
      <c r="S16" s="68"/>
      <c r="T16" s="68"/>
      <c r="U16" s="68"/>
    </row>
    <row r="17" spans="1:21">
      <c r="A17" s="81">
        <v>15</v>
      </c>
      <c r="B17" s="44"/>
      <c r="C17" s="45"/>
      <c r="D17" s="47"/>
      <c r="E17" s="46">
        <v>0</v>
      </c>
      <c r="F17" s="51"/>
      <c r="G17" s="52"/>
      <c r="H17" s="52"/>
      <c r="I17" s="53"/>
      <c r="J17" s="44"/>
      <c r="K17" s="24">
        <f t="shared" ca="1" si="0"/>
        <v>0</v>
      </c>
      <c r="L17" s="68">
        <f t="shared" ca="1" si="1"/>
        <v>0</v>
      </c>
      <c r="M17" s="68">
        <f t="shared" ca="1" si="2"/>
        <v>0</v>
      </c>
      <c r="N17" s="68" t="b">
        <f t="shared" ca="1" si="3"/>
        <v>0</v>
      </c>
      <c r="O17" s="68" t="str">
        <f t="shared" ca="1" si="4"/>
        <v/>
      </c>
      <c r="P17" s="68"/>
      <c r="Q17" s="68"/>
      <c r="R17" s="68"/>
      <c r="S17" s="68"/>
      <c r="T17" s="68"/>
      <c r="U17" s="68"/>
    </row>
    <row r="18" spans="1:21">
      <c r="A18" s="81">
        <v>16</v>
      </c>
      <c r="B18" s="44"/>
      <c r="C18" s="45"/>
      <c r="D18" s="47"/>
      <c r="E18" s="46">
        <v>0</v>
      </c>
      <c r="F18" s="51"/>
      <c r="G18" s="52"/>
      <c r="H18" s="52"/>
      <c r="I18" s="47"/>
      <c r="J18" s="44"/>
      <c r="K18" s="24">
        <f t="shared" ca="1" si="0"/>
        <v>0</v>
      </c>
      <c r="L18" s="68">
        <f t="shared" ca="1" si="1"/>
        <v>0</v>
      </c>
      <c r="M18" s="68">
        <f t="shared" ca="1" si="2"/>
        <v>0</v>
      </c>
      <c r="N18" s="68" t="b">
        <f t="shared" ca="1" si="3"/>
        <v>0</v>
      </c>
      <c r="O18" s="68" t="str">
        <f t="shared" ca="1" si="4"/>
        <v/>
      </c>
      <c r="P18" s="68"/>
      <c r="Q18" s="68"/>
      <c r="R18" s="68"/>
      <c r="S18" s="68"/>
      <c r="T18" s="68"/>
      <c r="U18" s="68"/>
    </row>
    <row r="19" spans="1:21">
      <c r="A19" s="81">
        <v>17</v>
      </c>
      <c r="B19" s="44"/>
      <c r="C19" s="45"/>
      <c r="D19" s="47"/>
      <c r="E19" s="46">
        <v>0</v>
      </c>
      <c r="F19" s="51"/>
      <c r="G19" s="52"/>
      <c r="H19" s="52"/>
      <c r="I19" s="53"/>
      <c r="J19" s="44"/>
      <c r="K19" s="24">
        <f t="shared" ca="1" si="0"/>
        <v>0</v>
      </c>
      <c r="L19" s="68">
        <f t="shared" ca="1" si="1"/>
        <v>0</v>
      </c>
      <c r="M19" s="68">
        <f t="shared" ca="1" si="2"/>
        <v>0</v>
      </c>
      <c r="N19" s="68" t="b">
        <f t="shared" ca="1" si="3"/>
        <v>0</v>
      </c>
      <c r="O19" s="68" t="str">
        <f t="shared" ca="1" si="4"/>
        <v/>
      </c>
      <c r="P19" s="68"/>
      <c r="Q19" s="68"/>
      <c r="R19" s="68"/>
      <c r="S19" s="68"/>
      <c r="T19" s="68"/>
      <c r="U19" s="68"/>
    </row>
    <row r="20" spans="1:21">
      <c r="A20" s="81">
        <v>18</v>
      </c>
      <c r="B20" s="44"/>
      <c r="C20" s="45"/>
      <c r="D20" s="47"/>
      <c r="E20" s="46">
        <v>0</v>
      </c>
      <c r="F20" s="51"/>
      <c r="G20" s="52"/>
      <c r="H20" s="52"/>
      <c r="I20" s="47"/>
      <c r="J20" s="44"/>
      <c r="K20" s="24">
        <f t="shared" ca="1" si="0"/>
        <v>0</v>
      </c>
      <c r="L20" s="68">
        <f t="shared" ca="1" si="1"/>
        <v>0</v>
      </c>
      <c r="M20" s="68">
        <f t="shared" ca="1" si="2"/>
        <v>0</v>
      </c>
      <c r="N20" s="68" t="b">
        <f t="shared" ca="1" si="3"/>
        <v>0</v>
      </c>
      <c r="O20" s="68" t="str">
        <f t="shared" ca="1" si="4"/>
        <v/>
      </c>
      <c r="P20" s="68"/>
      <c r="Q20" s="68"/>
      <c r="R20" s="68"/>
      <c r="S20" s="68"/>
      <c r="T20" s="68"/>
      <c r="U20" s="68"/>
    </row>
    <row r="21" spans="1:21">
      <c r="A21" s="81">
        <v>19</v>
      </c>
      <c r="B21" s="44"/>
      <c r="C21" s="45"/>
      <c r="D21" s="47"/>
      <c r="E21" s="46">
        <v>0</v>
      </c>
      <c r="F21" s="51"/>
      <c r="G21" s="52"/>
      <c r="H21" s="52"/>
      <c r="I21" s="47"/>
      <c r="J21" s="44"/>
      <c r="K21" s="24">
        <f t="shared" ca="1" si="0"/>
        <v>0</v>
      </c>
      <c r="L21" s="68">
        <f t="shared" ca="1" si="1"/>
        <v>0</v>
      </c>
      <c r="M21" s="68">
        <f t="shared" ca="1" si="2"/>
        <v>0</v>
      </c>
      <c r="N21" s="68" t="b">
        <f t="shared" ca="1" si="3"/>
        <v>0</v>
      </c>
      <c r="O21" s="68" t="str">
        <f t="shared" ca="1" si="4"/>
        <v/>
      </c>
      <c r="P21" s="68"/>
      <c r="Q21" s="68"/>
      <c r="R21" s="68"/>
      <c r="S21" s="68"/>
      <c r="T21" s="68"/>
      <c r="U21" s="68"/>
    </row>
    <row r="22" spans="1:21">
      <c r="A22" s="81">
        <v>20</v>
      </c>
      <c r="B22" s="44"/>
      <c r="C22" s="45"/>
      <c r="D22" s="47"/>
      <c r="E22" s="46">
        <v>0</v>
      </c>
      <c r="F22" s="51"/>
      <c r="G22" s="52"/>
      <c r="H22" s="52"/>
      <c r="I22" s="47"/>
      <c r="J22" s="44"/>
      <c r="K22" s="24">
        <f t="shared" ca="1" si="0"/>
        <v>0</v>
      </c>
      <c r="L22" s="68">
        <f t="shared" ca="1" si="1"/>
        <v>0</v>
      </c>
      <c r="M22" s="68">
        <f t="shared" ca="1" si="2"/>
        <v>0</v>
      </c>
      <c r="N22" s="68" t="b">
        <f t="shared" ca="1" si="3"/>
        <v>0</v>
      </c>
      <c r="O22" s="68" t="str">
        <f t="shared" ca="1" si="4"/>
        <v/>
      </c>
      <c r="P22" s="68"/>
      <c r="Q22" s="68"/>
      <c r="R22" s="68"/>
      <c r="S22" s="68"/>
      <c r="T22" s="68"/>
      <c r="U22" s="68"/>
    </row>
    <row r="23" spans="1:21" ht="15.75">
      <c r="A23" s="82">
        <v>21</v>
      </c>
      <c r="B23" s="44"/>
      <c r="C23" s="45"/>
      <c r="D23" s="47"/>
      <c r="E23" s="46">
        <v>0</v>
      </c>
      <c r="F23" s="51"/>
      <c r="G23" s="52"/>
      <c r="H23" s="52"/>
      <c r="I23" s="47"/>
      <c r="J23" s="44"/>
      <c r="K23" s="24">
        <f t="shared" ca="1" si="0"/>
        <v>0</v>
      </c>
      <c r="L23" s="68">
        <f t="shared" ca="1" si="1"/>
        <v>0</v>
      </c>
      <c r="M23" s="68">
        <f t="shared" ca="1" si="2"/>
        <v>0</v>
      </c>
      <c r="N23" s="68" t="b">
        <f t="shared" ca="1" si="3"/>
        <v>0</v>
      </c>
      <c r="O23" s="68" t="str">
        <f t="shared" ca="1" si="4"/>
        <v/>
      </c>
      <c r="P23" s="68"/>
      <c r="Q23" s="68"/>
      <c r="R23" s="68"/>
      <c r="S23" s="68"/>
      <c r="T23" s="68"/>
      <c r="U23" s="68"/>
    </row>
    <row r="24" spans="1:21" ht="15.75">
      <c r="A24" s="82">
        <v>22</v>
      </c>
      <c r="B24" s="44"/>
      <c r="C24" s="45"/>
      <c r="D24" s="47"/>
      <c r="E24" s="46">
        <v>0</v>
      </c>
      <c r="F24" s="51"/>
      <c r="G24" s="52"/>
      <c r="H24" s="52"/>
      <c r="I24" s="47"/>
      <c r="J24" s="44"/>
      <c r="K24" s="24">
        <f t="shared" ca="1" si="0"/>
        <v>0</v>
      </c>
      <c r="L24" s="68">
        <f t="shared" ca="1" si="1"/>
        <v>0</v>
      </c>
      <c r="M24" s="68">
        <f t="shared" ca="1" si="2"/>
        <v>0</v>
      </c>
      <c r="N24" s="68" t="b">
        <f t="shared" ca="1" si="3"/>
        <v>0</v>
      </c>
      <c r="O24" s="68" t="str">
        <f t="shared" ca="1" si="4"/>
        <v/>
      </c>
      <c r="P24" s="68"/>
      <c r="Q24" s="68"/>
      <c r="R24" s="68"/>
      <c r="S24" s="68"/>
      <c r="T24" s="68"/>
      <c r="U24" s="68"/>
    </row>
    <row r="25" spans="1:21" ht="15.75">
      <c r="A25" s="82">
        <v>23</v>
      </c>
      <c r="B25" s="44"/>
      <c r="C25" s="45"/>
      <c r="D25" s="47"/>
      <c r="E25" s="46">
        <v>0</v>
      </c>
      <c r="F25" s="51"/>
      <c r="G25" s="52"/>
      <c r="H25" s="52"/>
      <c r="I25" s="47"/>
      <c r="J25" s="44"/>
      <c r="K25" s="24">
        <f t="shared" ca="1" si="0"/>
        <v>0</v>
      </c>
      <c r="L25" s="68">
        <f t="shared" ca="1" si="1"/>
        <v>0</v>
      </c>
      <c r="M25" s="68">
        <f t="shared" ca="1" si="2"/>
        <v>0</v>
      </c>
      <c r="N25" s="68" t="b">
        <f t="shared" ca="1" si="3"/>
        <v>0</v>
      </c>
      <c r="O25" s="68" t="str">
        <f t="shared" ca="1" si="4"/>
        <v/>
      </c>
      <c r="P25" s="68"/>
      <c r="Q25" s="68"/>
      <c r="R25" s="68"/>
      <c r="S25" s="68"/>
      <c r="T25" s="68"/>
      <c r="U25" s="68"/>
    </row>
    <row r="26" spans="1:21" ht="15.75">
      <c r="A26" s="82">
        <v>24</v>
      </c>
      <c r="B26" s="44"/>
      <c r="C26" s="45"/>
      <c r="D26" s="54"/>
      <c r="E26" s="46">
        <v>0</v>
      </c>
      <c r="F26" s="51"/>
      <c r="G26" s="52"/>
      <c r="H26" s="52"/>
      <c r="I26" s="47"/>
      <c r="J26" s="44"/>
      <c r="K26" s="24">
        <f t="shared" ca="1" si="0"/>
        <v>0</v>
      </c>
      <c r="L26" s="68">
        <f t="shared" ca="1" si="1"/>
        <v>0</v>
      </c>
      <c r="M26" s="68">
        <f t="shared" ca="1" si="2"/>
        <v>0</v>
      </c>
      <c r="N26" s="68" t="b">
        <f t="shared" ca="1" si="3"/>
        <v>0</v>
      </c>
      <c r="O26" s="68" t="str">
        <f t="shared" ca="1" si="4"/>
        <v/>
      </c>
      <c r="P26" s="68"/>
      <c r="Q26" s="68"/>
      <c r="R26" s="68"/>
      <c r="S26" s="68"/>
      <c r="T26" s="68"/>
      <c r="U26" s="68"/>
    </row>
    <row r="27" spans="1:21" ht="15.75">
      <c r="A27" s="83">
        <v>25</v>
      </c>
      <c r="B27" s="48"/>
      <c r="C27" s="49"/>
      <c r="D27" s="50"/>
      <c r="E27" s="46">
        <v>0</v>
      </c>
      <c r="F27" s="55"/>
      <c r="G27" s="56"/>
      <c r="H27" s="56"/>
      <c r="I27" s="50"/>
      <c r="J27" s="48"/>
      <c r="K27" s="25">
        <f t="shared" ca="1" si="0"/>
        <v>0</v>
      </c>
      <c r="L27" s="68">
        <f t="shared" ca="1" si="1"/>
        <v>0</v>
      </c>
      <c r="M27" s="68">
        <f t="shared" ca="1" si="2"/>
        <v>0</v>
      </c>
      <c r="N27" s="68" t="b">
        <f t="shared" ca="1" si="3"/>
        <v>0</v>
      </c>
      <c r="O27" s="68" t="str">
        <f ca="1">IF(C27="","",DATEDIF($C27,TODAY(),"m"))</f>
        <v/>
      </c>
      <c r="P27" s="68"/>
      <c r="Q27" s="68"/>
      <c r="R27" s="68"/>
      <c r="S27" s="68"/>
      <c r="T27" s="68"/>
      <c r="U27" s="68"/>
    </row>
    <row r="28" spans="1:21" ht="15.75">
      <c r="A28" s="174">
        <v>26</v>
      </c>
      <c r="B28" s="175"/>
      <c r="C28" s="176"/>
      <c r="D28" s="176"/>
      <c r="E28" s="177">
        <v>0</v>
      </c>
      <c r="F28" s="178"/>
      <c r="G28" s="179"/>
      <c r="H28" s="179"/>
      <c r="I28" s="180"/>
      <c r="J28" s="175"/>
      <c r="K28" s="181">
        <f ca="1">QUOTIENT(IF(DATEDIF(C28,TODAY(),"y")&gt;90,0,DATEDIF(C28,TODAY(),"m")),12)</f>
        <v>0</v>
      </c>
      <c r="L28" s="68">
        <f t="shared" ca="1" si="1"/>
        <v>0</v>
      </c>
      <c r="M28" s="68">
        <f t="shared" ca="1" si="2"/>
        <v>0</v>
      </c>
      <c r="N28" s="68" t="b">
        <f t="shared" ca="1" si="3"/>
        <v>0</v>
      </c>
    </row>
    <row r="29" spans="1:21" ht="15.75">
      <c r="A29" s="174">
        <v>27</v>
      </c>
      <c r="B29" s="175"/>
      <c r="C29" s="176"/>
      <c r="D29" s="176"/>
      <c r="E29" s="177">
        <v>0</v>
      </c>
      <c r="F29" s="178"/>
      <c r="G29" s="179"/>
      <c r="H29" s="179"/>
      <c r="I29" s="180"/>
      <c r="J29" s="175"/>
      <c r="K29" s="181">
        <f ca="1">QUOTIENT(IF(DATEDIF(C29,TODAY(),"y")&gt;90,0,DATEDIF(C29,TODAY(),"m")),12)</f>
        <v>0</v>
      </c>
      <c r="L29" s="68">
        <f t="shared" ca="1" si="1"/>
        <v>0</v>
      </c>
      <c r="M29" s="68">
        <f t="shared" ca="1" si="2"/>
        <v>0</v>
      </c>
      <c r="N29" s="68" t="b">
        <f t="shared" ca="1" si="3"/>
        <v>0</v>
      </c>
    </row>
    <row r="30" spans="1:21" ht="15.75">
      <c r="A30" s="174">
        <v>28</v>
      </c>
      <c r="B30" s="175"/>
      <c r="C30" s="176"/>
      <c r="D30" s="176"/>
      <c r="E30" s="177">
        <v>0</v>
      </c>
      <c r="F30" s="178"/>
      <c r="G30" s="179"/>
      <c r="H30" s="179"/>
      <c r="I30" s="180"/>
      <c r="J30" s="175"/>
      <c r="K30" s="181">
        <f ca="1">QUOTIENT(IF(DATEDIF(C30,TODAY(),"y")&gt;90,0,DATEDIF(C30,TODAY(),"m")),12)</f>
        <v>0</v>
      </c>
      <c r="L30" s="68">
        <f t="shared" ca="1" si="1"/>
        <v>0</v>
      </c>
      <c r="M30" s="68">
        <f t="shared" ca="1" si="2"/>
        <v>0</v>
      </c>
      <c r="N30" s="68" t="b">
        <f t="shared" ca="1" si="3"/>
        <v>0</v>
      </c>
    </row>
    <row r="31" spans="1:21" ht="15.75">
      <c r="A31" s="174">
        <v>29</v>
      </c>
      <c r="B31" s="175"/>
      <c r="C31" s="176"/>
      <c r="D31" s="176"/>
      <c r="E31" s="177">
        <v>0</v>
      </c>
      <c r="F31" s="178"/>
      <c r="G31" s="179"/>
      <c r="H31" s="179"/>
      <c r="I31" s="180"/>
      <c r="J31" s="175"/>
      <c r="K31" s="181">
        <f ca="1">QUOTIENT(IF(DATEDIF(C31,TODAY(),"y")&gt;90,0,DATEDIF(C31,TODAY(),"m")),12)</f>
        <v>0</v>
      </c>
      <c r="L31" s="68">
        <f t="shared" ca="1" si="1"/>
        <v>0</v>
      </c>
      <c r="M31" s="68">
        <f t="shared" ca="1" si="2"/>
        <v>0</v>
      </c>
      <c r="N31" s="68" t="b">
        <f t="shared" ca="1" si="3"/>
        <v>0</v>
      </c>
    </row>
    <row r="32" spans="1:21" ht="15.75">
      <c r="A32" s="174">
        <v>30</v>
      </c>
      <c r="B32" s="175"/>
      <c r="C32" s="176"/>
      <c r="D32" s="176"/>
      <c r="E32" s="177">
        <v>0</v>
      </c>
      <c r="F32" s="178"/>
      <c r="G32" s="179"/>
      <c r="H32" s="179"/>
      <c r="I32" s="180"/>
      <c r="J32" s="175"/>
      <c r="K32" s="181">
        <f ca="1">QUOTIENT(IF(DATEDIF(C32,TODAY(),"y")&gt;90,0,DATEDIF(C32,TODAY(),"m")),12)</f>
        <v>0</v>
      </c>
      <c r="L32" s="68">
        <f t="shared" ca="1" si="1"/>
        <v>0</v>
      </c>
      <c r="M32" s="68">
        <f t="shared" ca="1" si="2"/>
        <v>0</v>
      </c>
      <c r="N32" s="68" t="b">
        <f t="shared" ca="1" si="3"/>
        <v>0</v>
      </c>
    </row>
  </sheetData>
  <sheetProtection algorithmName="SHA-512" hashValue="luzcv+jnWVhDemGMCmBBAbXNAc+RswZhf6PNmGZ1cPb2W9Sgt2BuHuRPfcy+/+jgbuBoaJUs+ZjTssAXgpMMDQ==" saltValue="7mXaR/kRAyquJX4+RiNuYQ==" spinCount="100000" sheet="1" objects="1" scenarios="1" selectLockedCells="1"/>
  <mergeCells count="1">
    <mergeCell ref="P4:T4"/>
  </mergeCells>
  <conditionalFormatting sqref="A3:K32">
    <cfRule type="expression" dxfId="101" priority="1">
      <formula>ROW()=CELL("LIN")</formula>
    </cfRule>
    <cfRule type="expression" dxfId="100" priority="2">
      <formula>IF($D3&lt;&gt;"",1,0)</formula>
    </cfRule>
  </conditionalFormatting>
  <conditionalFormatting sqref="O3:O27">
    <cfRule type="cellIs" dxfId="99" priority="3" operator="lessThan">
      <formula>$T$3</formula>
    </cfRule>
  </conditionalFormatting>
  <pageMargins left="1" right="1" top="1" bottom="1" header="0.5" footer="0.5"/>
  <pageSetup paperSize="9" scale="51" fitToHeight="0" orientation="landscape" horizontalDpi="300" verticalDpi="300" r:id="rId1"/>
  <drawing r:id="rId2"/>
  <tableParts count="1">
    <tablePart r:id="rId3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25C964-24D5-49E3-A7BC-105EFABC90C0}">
  <sheetPr codeName="Planilha14"/>
  <dimension ref="A1:AE34"/>
  <sheetViews>
    <sheetView showGridLines="0" showRowColHeaders="0" view="pageBreakPreview" zoomScale="60" zoomScaleNormal="70" workbookViewId="0">
      <pane xSplit="4" topLeftCell="E1" activePane="topRight" state="frozen"/>
      <selection sqref="A1:D3"/>
      <selection pane="topRight" activeCell="E5" sqref="E5"/>
    </sheetView>
  </sheetViews>
  <sheetFormatPr defaultRowHeight="12.75"/>
  <cols>
    <col min="2" max="2" width="39.28515625" bestFit="1" customWidth="1"/>
    <col min="3" max="3" width="14.28515625" customWidth="1"/>
    <col min="4" max="4" width="40.140625" customWidth="1"/>
    <col min="5" max="5" width="15.28515625" customWidth="1"/>
    <col min="6" max="6" width="16.28515625" customWidth="1"/>
    <col min="7" max="7" width="24.7109375" customWidth="1"/>
    <col min="8" max="8" width="15.140625" customWidth="1"/>
    <col min="9" max="9" width="14.5703125" customWidth="1"/>
    <col min="10" max="10" width="24.5703125" customWidth="1"/>
    <col min="12" max="12" width="14.140625" customWidth="1"/>
    <col min="13" max="13" width="15.140625" customWidth="1"/>
    <col min="14" max="14" width="23.5703125" customWidth="1"/>
    <col min="15" max="15" width="14.85546875" customWidth="1"/>
    <col min="16" max="16" width="15.85546875" customWidth="1"/>
    <col min="17" max="17" width="24.28515625" customWidth="1"/>
    <col min="19" max="19" width="15.140625" customWidth="1"/>
    <col min="20" max="20" width="16.140625" customWidth="1"/>
    <col min="21" max="21" width="24.5703125" customWidth="1"/>
    <col min="22" max="22" width="14.7109375" customWidth="1"/>
    <col min="23" max="23" width="15.7109375" customWidth="1"/>
    <col min="24" max="24" width="24.140625" customWidth="1"/>
    <col min="26" max="26" width="15" customWidth="1"/>
    <col min="27" max="27" width="16" customWidth="1"/>
    <col min="28" max="28" width="24.42578125" customWidth="1"/>
    <col min="29" max="29" width="15.140625" customWidth="1"/>
    <col min="30" max="30" width="16.140625" customWidth="1"/>
    <col min="31" max="31" width="24.5703125" customWidth="1"/>
  </cols>
  <sheetData>
    <row r="1" spans="1:31" ht="30" customHeight="1" thickBot="1">
      <c r="A1" s="124" t="str">
        <f>CONCATENATE('5A-A-Turma'!B2&amp;" - ",'5A-A-Turma'!B3)</f>
        <v>5º Ano - A - Manhã</v>
      </c>
      <c r="B1" s="124"/>
      <c r="C1" s="124"/>
      <c r="D1" s="125"/>
      <c r="E1" s="128" t="s">
        <v>41</v>
      </c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  <c r="V1" s="129"/>
      <c r="W1" s="129"/>
      <c r="X1" s="129"/>
      <c r="Y1" s="129"/>
      <c r="Z1" s="129"/>
      <c r="AA1" s="129"/>
      <c r="AB1" s="129"/>
      <c r="AC1" s="129"/>
      <c r="AD1" s="129"/>
      <c r="AE1" s="130"/>
    </row>
    <row r="2" spans="1:31" ht="16.5" thickBot="1">
      <c r="A2" s="124"/>
      <c r="B2" s="124"/>
      <c r="C2" s="124"/>
      <c r="D2" s="125"/>
      <c r="E2" s="131" t="s">
        <v>37</v>
      </c>
      <c r="F2" s="132"/>
      <c r="G2" s="132"/>
      <c r="H2" s="132"/>
      <c r="I2" s="132"/>
      <c r="J2" s="132"/>
      <c r="K2" s="132"/>
      <c r="L2" s="132"/>
      <c r="M2" s="132"/>
      <c r="N2" s="132"/>
      <c r="O2" s="132"/>
      <c r="P2" s="132"/>
      <c r="Q2" s="133"/>
      <c r="R2" s="64"/>
      <c r="S2" s="131" t="s">
        <v>38</v>
      </c>
      <c r="T2" s="132"/>
      <c r="U2" s="132"/>
      <c r="V2" s="132"/>
      <c r="W2" s="132"/>
      <c r="X2" s="132"/>
      <c r="Y2" s="132"/>
      <c r="Z2" s="132"/>
      <c r="AA2" s="132"/>
      <c r="AB2" s="132"/>
      <c r="AC2" s="132"/>
      <c r="AD2" s="132"/>
      <c r="AE2" s="133"/>
    </row>
    <row r="3" spans="1:31" ht="15">
      <c r="A3" s="126"/>
      <c r="B3" s="126"/>
      <c r="C3" s="126"/>
      <c r="D3" s="127"/>
      <c r="E3" s="134" t="s">
        <v>33</v>
      </c>
      <c r="F3" s="135"/>
      <c r="G3" s="136"/>
      <c r="H3" s="202" t="s">
        <v>34</v>
      </c>
      <c r="I3" s="203"/>
      <c r="J3" s="204"/>
      <c r="K3" s="64"/>
      <c r="L3" s="194" t="s">
        <v>35</v>
      </c>
      <c r="M3" s="195"/>
      <c r="N3" s="196"/>
      <c r="O3" s="202" t="s">
        <v>36</v>
      </c>
      <c r="P3" s="203"/>
      <c r="Q3" s="204"/>
      <c r="R3" s="64"/>
      <c r="S3" s="201" t="s">
        <v>39</v>
      </c>
      <c r="T3" s="195"/>
      <c r="U3" s="196"/>
      <c r="V3" s="209" t="s">
        <v>40</v>
      </c>
      <c r="W3" s="203"/>
      <c r="X3" s="204"/>
      <c r="Y3" s="64"/>
      <c r="Z3" s="194" t="s">
        <v>31</v>
      </c>
      <c r="AA3" s="195"/>
      <c r="AB3" s="196"/>
      <c r="AC3" s="138" t="s">
        <v>32</v>
      </c>
      <c r="AD3" s="139"/>
      <c r="AE3" s="140"/>
    </row>
    <row r="4" spans="1:31" ht="15.75">
      <c r="A4" s="63" t="s">
        <v>9</v>
      </c>
      <c r="B4" s="57" t="s">
        <v>10</v>
      </c>
      <c r="C4" s="58" t="s">
        <v>13</v>
      </c>
      <c r="D4" s="59" t="s">
        <v>16</v>
      </c>
      <c r="E4" s="31" t="s">
        <v>42</v>
      </c>
      <c r="F4" s="32" t="s">
        <v>43</v>
      </c>
      <c r="G4" s="33" t="s">
        <v>44</v>
      </c>
      <c r="H4" s="34" t="s">
        <v>46</v>
      </c>
      <c r="I4" s="35" t="s">
        <v>45</v>
      </c>
      <c r="J4" s="36" t="s">
        <v>51</v>
      </c>
      <c r="K4" s="65" t="s">
        <v>47</v>
      </c>
      <c r="L4" s="37" t="s">
        <v>48</v>
      </c>
      <c r="M4" s="32" t="s">
        <v>49</v>
      </c>
      <c r="N4" s="33" t="s">
        <v>50</v>
      </c>
      <c r="O4" s="34" t="s">
        <v>52</v>
      </c>
      <c r="P4" s="35" t="s">
        <v>53</v>
      </c>
      <c r="Q4" s="36" t="s">
        <v>54</v>
      </c>
      <c r="R4" s="65" t="s">
        <v>55</v>
      </c>
      <c r="S4" s="37" t="s">
        <v>56</v>
      </c>
      <c r="T4" s="32" t="s">
        <v>57</v>
      </c>
      <c r="U4" s="33" t="s">
        <v>58</v>
      </c>
      <c r="V4" s="34" t="s">
        <v>59</v>
      </c>
      <c r="W4" s="35" t="s">
        <v>60</v>
      </c>
      <c r="X4" s="36" t="s">
        <v>61</v>
      </c>
      <c r="Y4" s="65" t="s">
        <v>62</v>
      </c>
      <c r="Z4" s="37" t="s">
        <v>63</v>
      </c>
      <c r="AA4" s="32" t="s">
        <v>64</v>
      </c>
      <c r="AB4" s="33" t="s">
        <v>65</v>
      </c>
      <c r="AC4" s="34" t="s">
        <v>66</v>
      </c>
      <c r="AD4" s="35" t="s">
        <v>67</v>
      </c>
      <c r="AE4" s="38" t="s">
        <v>68</v>
      </c>
    </row>
    <row r="5" spans="1:31" ht="15">
      <c r="A5" s="72">
        <v>1</v>
      </c>
      <c r="B5" s="60" t="str">
        <f>IF('5A-A'!B3&lt;&gt;0,'5A-A'!B3,"")</f>
        <v/>
      </c>
      <c r="C5" s="61" t="str">
        <f>IF('5A-A'!C3&lt;&gt;0,'5A-A'!C3,"")</f>
        <v/>
      </c>
      <c r="D5" s="62" t="str">
        <f>IF('5A-A'!D3&lt;&gt;0,'5A-A'!D3,"")</f>
        <v/>
      </c>
      <c r="E5" s="43"/>
      <c r="F5" s="42"/>
      <c r="G5" s="28" t="e">
        <f t="shared" ref="G5:G29" si="0">ROUND((E5*100)/(E5+F5),0)/100</f>
        <v>#DIV/0!</v>
      </c>
      <c r="H5" s="39"/>
      <c r="I5" s="40"/>
      <c r="J5" s="29" t="e">
        <f t="shared" ref="J5:J29" si="1">ROUND((H5*100)/(H5+I5),0)/100</f>
        <v>#DIV/0!</v>
      </c>
      <c r="K5" s="87">
        <f>Tabela27368101214161921232527[[#This Row],[Nº]]</f>
        <v>1</v>
      </c>
      <c r="L5" s="41"/>
      <c r="M5" s="42"/>
      <c r="N5" s="28" t="e">
        <f t="shared" ref="N5:N29" si="2">ROUND((L5*100)/(L5+M5),0)/100</f>
        <v>#DIV/0!</v>
      </c>
      <c r="O5" s="39"/>
      <c r="P5" s="40"/>
      <c r="Q5" s="29" t="e">
        <f t="shared" ref="Q5:Q29" si="3">ROUND((O5*100)/(O5+P5),0)/100</f>
        <v>#DIV/0!</v>
      </c>
      <c r="R5" s="87">
        <f>Tabela27368101214161921232527[[#This Row],[Nº]]</f>
        <v>1</v>
      </c>
      <c r="S5" s="41"/>
      <c r="T5" s="42"/>
      <c r="U5" s="28" t="e">
        <f t="shared" ref="U5:U29" si="4">ROUND((S5*100)/(S5+T5),0)/100</f>
        <v>#DIV/0!</v>
      </c>
      <c r="V5" s="39"/>
      <c r="W5" s="40"/>
      <c r="X5" s="29" t="e">
        <f t="shared" ref="X5:X29" si="5">ROUND((V5*100)/(V5+W5),0)/100</f>
        <v>#DIV/0!</v>
      </c>
      <c r="Y5" s="87">
        <f>Tabela27368101214161921232527[[#This Row],[Nº]]</f>
        <v>1</v>
      </c>
      <c r="Z5" s="41"/>
      <c r="AA5" s="42"/>
      <c r="AB5" s="28" t="e">
        <f t="shared" ref="AB5:AB29" si="6">ROUND((Z5*100)/(Z5+AA5),0)/100</f>
        <v>#DIV/0!</v>
      </c>
      <c r="AC5" s="39"/>
      <c r="AD5" s="40"/>
      <c r="AE5" s="30" t="e">
        <f t="shared" ref="AE5:AE29" si="7">ROUND((AC5*100)/(AC5+AD5),0)/100</f>
        <v>#DIV/0!</v>
      </c>
    </row>
    <row r="6" spans="1:31" ht="15">
      <c r="A6" s="72">
        <v>2</v>
      </c>
      <c r="B6" s="60" t="str">
        <f>IF('5A-A'!B4&lt;&gt;0,'5A-A'!B4,"")</f>
        <v/>
      </c>
      <c r="C6" s="61" t="str">
        <f>IF('5A-A'!C4&lt;&gt;0,'5A-A'!C4,"")</f>
        <v/>
      </c>
      <c r="D6" s="62" t="str">
        <f>IF('5A-A'!D4&lt;&gt;0,'5A-A'!D4,"")</f>
        <v/>
      </c>
      <c r="E6" s="43"/>
      <c r="F6" s="42"/>
      <c r="G6" s="28" t="e">
        <f t="shared" si="0"/>
        <v>#DIV/0!</v>
      </c>
      <c r="H6" s="39"/>
      <c r="I6" s="40"/>
      <c r="J6" s="29" t="e">
        <f t="shared" si="1"/>
        <v>#DIV/0!</v>
      </c>
      <c r="K6" s="87">
        <f>Tabela27368101214161921232527[[#This Row],[Nº]]</f>
        <v>2</v>
      </c>
      <c r="L6" s="41"/>
      <c r="M6" s="42"/>
      <c r="N6" s="28" t="e">
        <f t="shared" si="2"/>
        <v>#DIV/0!</v>
      </c>
      <c r="O6" s="39"/>
      <c r="P6" s="40"/>
      <c r="Q6" s="29" t="e">
        <f t="shared" si="3"/>
        <v>#DIV/0!</v>
      </c>
      <c r="R6" s="87">
        <f>Tabela27368101214161921232527[[#This Row],[Nº]]</f>
        <v>2</v>
      </c>
      <c r="S6" s="41"/>
      <c r="T6" s="42"/>
      <c r="U6" s="28" t="e">
        <f t="shared" si="4"/>
        <v>#DIV/0!</v>
      </c>
      <c r="V6" s="39"/>
      <c r="W6" s="40"/>
      <c r="X6" s="29" t="e">
        <f t="shared" si="5"/>
        <v>#DIV/0!</v>
      </c>
      <c r="Y6" s="87">
        <f>Tabela27368101214161921232527[[#This Row],[Nº]]</f>
        <v>2</v>
      </c>
      <c r="Z6" s="41"/>
      <c r="AA6" s="42"/>
      <c r="AB6" s="28" t="e">
        <f t="shared" si="6"/>
        <v>#DIV/0!</v>
      </c>
      <c r="AC6" s="39"/>
      <c r="AD6" s="40"/>
      <c r="AE6" s="30" t="e">
        <f t="shared" si="7"/>
        <v>#DIV/0!</v>
      </c>
    </row>
    <row r="7" spans="1:31" ht="15">
      <c r="A7" s="72">
        <v>3</v>
      </c>
      <c r="B7" s="60" t="str">
        <f>IF('5A-A'!B5&lt;&gt;0,'5A-A'!B5,"")</f>
        <v/>
      </c>
      <c r="C7" s="61" t="str">
        <f>IF('5A-A'!C5&lt;&gt;0,'5A-A'!C5,"")</f>
        <v/>
      </c>
      <c r="D7" s="62" t="str">
        <f>IF('5A-A'!D5&lt;&gt;0,'5A-A'!D5,"")</f>
        <v/>
      </c>
      <c r="E7" s="43"/>
      <c r="F7" s="42"/>
      <c r="G7" s="28" t="e">
        <f t="shared" si="0"/>
        <v>#DIV/0!</v>
      </c>
      <c r="H7" s="39"/>
      <c r="I7" s="40"/>
      <c r="J7" s="29" t="e">
        <f t="shared" si="1"/>
        <v>#DIV/0!</v>
      </c>
      <c r="K7" s="87">
        <f>Tabela27368101214161921232527[[#This Row],[Nº]]</f>
        <v>3</v>
      </c>
      <c r="L7" s="41"/>
      <c r="M7" s="42"/>
      <c r="N7" s="28" t="e">
        <f t="shared" si="2"/>
        <v>#DIV/0!</v>
      </c>
      <c r="O7" s="39"/>
      <c r="P7" s="40"/>
      <c r="Q7" s="29" t="e">
        <f t="shared" si="3"/>
        <v>#DIV/0!</v>
      </c>
      <c r="R7" s="87">
        <f>Tabela27368101214161921232527[[#This Row],[Nº]]</f>
        <v>3</v>
      </c>
      <c r="S7" s="41"/>
      <c r="T7" s="42"/>
      <c r="U7" s="28" t="e">
        <f t="shared" si="4"/>
        <v>#DIV/0!</v>
      </c>
      <c r="V7" s="39"/>
      <c r="W7" s="40"/>
      <c r="X7" s="29" t="e">
        <f t="shared" si="5"/>
        <v>#DIV/0!</v>
      </c>
      <c r="Y7" s="87">
        <f>Tabela27368101214161921232527[[#This Row],[Nº]]</f>
        <v>3</v>
      </c>
      <c r="Z7" s="41"/>
      <c r="AA7" s="42"/>
      <c r="AB7" s="28" t="e">
        <f t="shared" si="6"/>
        <v>#DIV/0!</v>
      </c>
      <c r="AC7" s="39"/>
      <c r="AD7" s="40"/>
      <c r="AE7" s="30" t="e">
        <f t="shared" si="7"/>
        <v>#DIV/0!</v>
      </c>
    </row>
    <row r="8" spans="1:31" ht="15">
      <c r="A8" s="72">
        <v>4</v>
      </c>
      <c r="B8" s="60" t="str">
        <f>IF('5A-A'!B6&lt;&gt;0,'5A-A'!B6,"")</f>
        <v/>
      </c>
      <c r="C8" s="61" t="str">
        <f>IF('5A-A'!C6&lt;&gt;0,'5A-A'!C6,"")</f>
        <v/>
      </c>
      <c r="D8" s="62" t="str">
        <f>IF('5A-A'!D6&lt;&gt;0,'5A-A'!D6,"")</f>
        <v/>
      </c>
      <c r="E8" s="43"/>
      <c r="F8" s="42"/>
      <c r="G8" s="28" t="e">
        <f t="shared" si="0"/>
        <v>#DIV/0!</v>
      </c>
      <c r="H8" s="39"/>
      <c r="I8" s="40"/>
      <c r="J8" s="29" t="e">
        <f t="shared" si="1"/>
        <v>#DIV/0!</v>
      </c>
      <c r="K8" s="87">
        <f>Tabela27368101214161921232527[[#This Row],[Nº]]</f>
        <v>4</v>
      </c>
      <c r="L8" s="41"/>
      <c r="M8" s="42"/>
      <c r="N8" s="28" t="e">
        <f t="shared" si="2"/>
        <v>#DIV/0!</v>
      </c>
      <c r="O8" s="39"/>
      <c r="P8" s="40"/>
      <c r="Q8" s="29" t="e">
        <f t="shared" si="3"/>
        <v>#DIV/0!</v>
      </c>
      <c r="R8" s="87">
        <f>Tabela27368101214161921232527[[#This Row],[Nº]]</f>
        <v>4</v>
      </c>
      <c r="S8" s="41"/>
      <c r="T8" s="42"/>
      <c r="U8" s="28" t="e">
        <f t="shared" si="4"/>
        <v>#DIV/0!</v>
      </c>
      <c r="V8" s="39"/>
      <c r="W8" s="40"/>
      <c r="X8" s="29" t="e">
        <f t="shared" si="5"/>
        <v>#DIV/0!</v>
      </c>
      <c r="Y8" s="87">
        <f>Tabela27368101214161921232527[[#This Row],[Nº]]</f>
        <v>4</v>
      </c>
      <c r="Z8" s="41"/>
      <c r="AA8" s="42"/>
      <c r="AB8" s="28" t="e">
        <f t="shared" si="6"/>
        <v>#DIV/0!</v>
      </c>
      <c r="AC8" s="39"/>
      <c r="AD8" s="40"/>
      <c r="AE8" s="30" t="e">
        <f t="shared" si="7"/>
        <v>#DIV/0!</v>
      </c>
    </row>
    <row r="9" spans="1:31" ht="15">
      <c r="A9" s="72">
        <v>5</v>
      </c>
      <c r="B9" s="60" t="str">
        <f>IF('5A-A'!B7&lt;&gt;0,'5A-A'!B7,"")</f>
        <v/>
      </c>
      <c r="C9" s="61" t="str">
        <f>IF('5A-A'!C7&lt;&gt;0,'5A-A'!C7,"")</f>
        <v/>
      </c>
      <c r="D9" s="62" t="str">
        <f>IF('5A-A'!D7&lt;&gt;0,'5A-A'!D7,"")</f>
        <v/>
      </c>
      <c r="E9" s="43"/>
      <c r="F9" s="42"/>
      <c r="G9" s="28" t="e">
        <f t="shared" si="0"/>
        <v>#DIV/0!</v>
      </c>
      <c r="H9" s="39"/>
      <c r="I9" s="40"/>
      <c r="J9" s="29" t="e">
        <f t="shared" si="1"/>
        <v>#DIV/0!</v>
      </c>
      <c r="K9" s="87">
        <f>Tabela27368101214161921232527[[#This Row],[Nº]]</f>
        <v>5</v>
      </c>
      <c r="L9" s="41"/>
      <c r="M9" s="42"/>
      <c r="N9" s="28" t="e">
        <f t="shared" si="2"/>
        <v>#DIV/0!</v>
      </c>
      <c r="O9" s="39"/>
      <c r="P9" s="40"/>
      <c r="Q9" s="29" t="e">
        <f t="shared" si="3"/>
        <v>#DIV/0!</v>
      </c>
      <c r="R9" s="87">
        <f>Tabela27368101214161921232527[[#This Row],[Nº]]</f>
        <v>5</v>
      </c>
      <c r="S9" s="41"/>
      <c r="T9" s="42"/>
      <c r="U9" s="28" t="e">
        <f t="shared" si="4"/>
        <v>#DIV/0!</v>
      </c>
      <c r="V9" s="39"/>
      <c r="W9" s="40"/>
      <c r="X9" s="29" t="e">
        <f t="shared" si="5"/>
        <v>#DIV/0!</v>
      </c>
      <c r="Y9" s="87">
        <f>Tabela27368101214161921232527[[#This Row],[Nº]]</f>
        <v>5</v>
      </c>
      <c r="Z9" s="41"/>
      <c r="AA9" s="42"/>
      <c r="AB9" s="28" t="e">
        <f t="shared" si="6"/>
        <v>#DIV/0!</v>
      </c>
      <c r="AC9" s="39"/>
      <c r="AD9" s="40"/>
      <c r="AE9" s="30" t="e">
        <f t="shared" si="7"/>
        <v>#DIV/0!</v>
      </c>
    </row>
    <row r="10" spans="1:31" ht="15">
      <c r="A10" s="72">
        <v>6</v>
      </c>
      <c r="B10" s="60" t="str">
        <f>IF('5A-A'!B8&lt;&gt;0,'5A-A'!B8,"")</f>
        <v/>
      </c>
      <c r="C10" s="61" t="str">
        <f>IF('5A-A'!C8&lt;&gt;0,'5A-A'!C8,"")</f>
        <v/>
      </c>
      <c r="D10" s="62" t="str">
        <f>IF('5A-A'!D8&lt;&gt;0,'5A-A'!D8,"")</f>
        <v/>
      </c>
      <c r="E10" s="43"/>
      <c r="F10" s="42"/>
      <c r="G10" s="28" t="e">
        <f t="shared" si="0"/>
        <v>#DIV/0!</v>
      </c>
      <c r="H10" s="39"/>
      <c r="I10" s="40"/>
      <c r="J10" s="29" t="e">
        <f t="shared" si="1"/>
        <v>#DIV/0!</v>
      </c>
      <c r="K10" s="87">
        <f>Tabela27368101214161921232527[[#This Row],[Nº]]</f>
        <v>6</v>
      </c>
      <c r="L10" s="41"/>
      <c r="M10" s="42"/>
      <c r="N10" s="28" t="e">
        <f t="shared" si="2"/>
        <v>#DIV/0!</v>
      </c>
      <c r="O10" s="39"/>
      <c r="P10" s="40"/>
      <c r="Q10" s="29" t="e">
        <f t="shared" si="3"/>
        <v>#DIV/0!</v>
      </c>
      <c r="R10" s="87">
        <f>Tabela27368101214161921232527[[#This Row],[Nº]]</f>
        <v>6</v>
      </c>
      <c r="S10" s="41"/>
      <c r="T10" s="42"/>
      <c r="U10" s="28" t="e">
        <f t="shared" si="4"/>
        <v>#DIV/0!</v>
      </c>
      <c r="V10" s="39"/>
      <c r="W10" s="40"/>
      <c r="X10" s="29" t="e">
        <f t="shared" si="5"/>
        <v>#DIV/0!</v>
      </c>
      <c r="Y10" s="87">
        <f>Tabela27368101214161921232527[[#This Row],[Nº]]</f>
        <v>6</v>
      </c>
      <c r="Z10" s="41"/>
      <c r="AA10" s="42"/>
      <c r="AB10" s="28" t="e">
        <f t="shared" si="6"/>
        <v>#DIV/0!</v>
      </c>
      <c r="AC10" s="39"/>
      <c r="AD10" s="40"/>
      <c r="AE10" s="30" t="e">
        <f t="shared" si="7"/>
        <v>#DIV/0!</v>
      </c>
    </row>
    <row r="11" spans="1:31" ht="15">
      <c r="A11" s="72">
        <v>7</v>
      </c>
      <c r="B11" s="60" t="str">
        <f>IF('5A-A'!B9&lt;&gt;0,'5A-A'!B9,"")</f>
        <v/>
      </c>
      <c r="C11" s="61" t="str">
        <f>IF('5A-A'!C9&lt;&gt;0,'5A-A'!C9,"")</f>
        <v/>
      </c>
      <c r="D11" s="62" t="str">
        <f>IF('5A-A'!D9&lt;&gt;0,'5A-A'!D9,"")</f>
        <v/>
      </c>
      <c r="E11" s="43"/>
      <c r="F11" s="42"/>
      <c r="G11" s="28" t="e">
        <f t="shared" si="0"/>
        <v>#DIV/0!</v>
      </c>
      <c r="H11" s="39"/>
      <c r="I11" s="40"/>
      <c r="J11" s="29" t="e">
        <f t="shared" si="1"/>
        <v>#DIV/0!</v>
      </c>
      <c r="K11" s="87">
        <f>Tabela27368101214161921232527[[#This Row],[Nº]]</f>
        <v>7</v>
      </c>
      <c r="L11" s="41"/>
      <c r="M11" s="42"/>
      <c r="N11" s="28" t="e">
        <f t="shared" si="2"/>
        <v>#DIV/0!</v>
      </c>
      <c r="O11" s="39"/>
      <c r="P11" s="40"/>
      <c r="Q11" s="29" t="e">
        <f t="shared" si="3"/>
        <v>#DIV/0!</v>
      </c>
      <c r="R11" s="87">
        <f>Tabela27368101214161921232527[[#This Row],[Nº]]</f>
        <v>7</v>
      </c>
      <c r="S11" s="41"/>
      <c r="T11" s="42"/>
      <c r="U11" s="28" t="e">
        <f t="shared" si="4"/>
        <v>#DIV/0!</v>
      </c>
      <c r="V11" s="39"/>
      <c r="W11" s="40"/>
      <c r="X11" s="29" t="e">
        <f t="shared" si="5"/>
        <v>#DIV/0!</v>
      </c>
      <c r="Y11" s="87">
        <f>Tabela27368101214161921232527[[#This Row],[Nº]]</f>
        <v>7</v>
      </c>
      <c r="Z11" s="41"/>
      <c r="AA11" s="42"/>
      <c r="AB11" s="28" t="e">
        <f t="shared" si="6"/>
        <v>#DIV/0!</v>
      </c>
      <c r="AC11" s="39"/>
      <c r="AD11" s="40"/>
      <c r="AE11" s="30" t="e">
        <f t="shared" si="7"/>
        <v>#DIV/0!</v>
      </c>
    </row>
    <row r="12" spans="1:31" ht="15">
      <c r="A12" s="72">
        <v>8</v>
      </c>
      <c r="B12" s="60" t="str">
        <f>IF('5A-A'!B10&lt;&gt;0,'5A-A'!B10,"")</f>
        <v/>
      </c>
      <c r="C12" s="61" t="str">
        <f>IF('5A-A'!C10&lt;&gt;0,'5A-A'!C10,"")</f>
        <v/>
      </c>
      <c r="D12" s="62" t="str">
        <f>IF('5A-A'!D10&lt;&gt;0,'5A-A'!D10,"")</f>
        <v/>
      </c>
      <c r="E12" s="43"/>
      <c r="F12" s="42"/>
      <c r="G12" s="28" t="e">
        <f t="shared" si="0"/>
        <v>#DIV/0!</v>
      </c>
      <c r="H12" s="39"/>
      <c r="I12" s="40"/>
      <c r="J12" s="29" t="e">
        <f t="shared" si="1"/>
        <v>#DIV/0!</v>
      </c>
      <c r="K12" s="87">
        <f>Tabela27368101214161921232527[[#This Row],[Nº]]</f>
        <v>8</v>
      </c>
      <c r="L12" s="41"/>
      <c r="M12" s="42"/>
      <c r="N12" s="28" t="e">
        <f t="shared" si="2"/>
        <v>#DIV/0!</v>
      </c>
      <c r="O12" s="39"/>
      <c r="P12" s="40"/>
      <c r="Q12" s="29" t="e">
        <f t="shared" si="3"/>
        <v>#DIV/0!</v>
      </c>
      <c r="R12" s="87">
        <f>Tabela27368101214161921232527[[#This Row],[Nº]]</f>
        <v>8</v>
      </c>
      <c r="S12" s="41"/>
      <c r="T12" s="42"/>
      <c r="U12" s="28" t="e">
        <f t="shared" si="4"/>
        <v>#DIV/0!</v>
      </c>
      <c r="V12" s="39"/>
      <c r="W12" s="40"/>
      <c r="X12" s="29" t="e">
        <f t="shared" si="5"/>
        <v>#DIV/0!</v>
      </c>
      <c r="Y12" s="87">
        <f>Tabela27368101214161921232527[[#This Row],[Nº]]</f>
        <v>8</v>
      </c>
      <c r="Z12" s="41"/>
      <c r="AA12" s="42"/>
      <c r="AB12" s="28" t="e">
        <f t="shared" si="6"/>
        <v>#DIV/0!</v>
      </c>
      <c r="AC12" s="39"/>
      <c r="AD12" s="40"/>
      <c r="AE12" s="30" t="e">
        <f t="shared" si="7"/>
        <v>#DIV/0!</v>
      </c>
    </row>
    <row r="13" spans="1:31" ht="15">
      <c r="A13" s="72">
        <v>9</v>
      </c>
      <c r="B13" s="60" t="str">
        <f>IF('5A-A'!B11&lt;&gt;0,'5A-A'!B11,"")</f>
        <v/>
      </c>
      <c r="C13" s="61" t="str">
        <f>IF('5A-A'!C11&lt;&gt;0,'5A-A'!C11,"")</f>
        <v/>
      </c>
      <c r="D13" s="62" t="str">
        <f>IF('5A-A'!D11&lt;&gt;0,'5A-A'!D11,"")</f>
        <v/>
      </c>
      <c r="E13" s="43"/>
      <c r="F13" s="42"/>
      <c r="G13" s="28" t="e">
        <f t="shared" si="0"/>
        <v>#DIV/0!</v>
      </c>
      <c r="H13" s="39"/>
      <c r="I13" s="40"/>
      <c r="J13" s="29" t="e">
        <f t="shared" si="1"/>
        <v>#DIV/0!</v>
      </c>
      <c r="K13" s="87">
        <f>Tabela27368101214161921232527[[#This Row],[Nº]]</f>
        <v>9</v>
      </c>
      <c r="L13" s="41"/>
      <c r="M13" s="42"/>
      <c r="N13" s="28" t="e">
        <f t="shared" si="2"/>
        <v>#DIV/0!</v>
      </c>
      <c r="O13" s="39"/>
      <c r="P13" s="40"/>
      <c r="Q13" s="29" t="e">
        <f t="shared" si="3"/>
        <v>#DIV/0!</v>
      </c>
      <c r="R13" s="87">
        <f>Tabela27368101214161921232527[[#This Row],[Nº]]</f>
        <v>9</v>
      </c>
      <c r="S13" s="41"/>
      <c r="T13" s="42"/>
      <c r="U13" s="28" t="e">
        <f t="shared" si="4"/>
        <v>#DIV/0!</v>
      </c>
      <c r="V13" s="39"/>
      <c r="W13" s="40"/>
      <c r="X13" s="29" t="e">
        <f t="shared" si="5"/>
        <v>#DIV/0!</v>
      </c>
      <c r="Y13" s="87">
        <f>Tabela27368101214161921232527[[#This Row],[Nº]]</f>
        <v>9</v>
      </c>
      <c r="Z13" s="41"/>
      <c r="AA13" s="42"/>
      <c r="AB13" s="28" t="e">
        <f t="shared" si="6"/>
        <v>#DIV/0!</v>
      </c>
      <c r="AC13" s="39"/>
      <c r="AD13" s="40"/>
      <c r="AE13" s="30" t="e">
        <f t="shared" si="7"/>
        <v>#DIV/0!</v>
      </c>
    </row>
    <row r="14" spans="1:31" ht="15">
      <c r="A14" s="72">
        <v>10</v>
      </c>
      <c r="B14" s="60" t="str">
        <f>IF('5A-A'!B12&lt;&gt;0,'5A-A'!B12,"")</f>
        <v/>
      </c>
      <c r="C14" s="61" t="str">
        <f>IF('5A-A'!C12&lt;&gt;0,'5A-A'!C12,"")</f>
        <v/>
      </c>
      <c r="D14" s="62" t="str">
        <f>IF('5A-A'!D12&lt;&gt;0,'5A-A'!D12,"")</f>
        <v/>
      </c>
      <c r="E14" s="43"/>
      <c r="F14" s="42"/>
      <c r="G14" s="28" t="e">
        <f t="shared" si="0"/>
        <v>#DIV/0!</v>
      </c>
      <c r="H14" s="39"/>
      <c r="I14" s="40"/>
      <c r="J14" s="29" t="e">
        <f t="shared" si="1"/>
        <v>#DIV/0!</v>
      </c>
      <c r="K14" s="87">
        <f>Tabela27368101214161921232527[[#This Row],[Nº]]</f>
        <v>10</v>
      </c>
      <c r="L14" s="41"/>
      <c r="M14" s="42"/>
      <c r="N14" s="28" t="e">
        <f t="shared" si="2"/>
        <v>#DIV/0!</v>
      </c>
      <c r="O14" s="39"/>
      <c r="P14" s="40"/>
      <c r="Q14" s="29" t="e">
        <f t="shared" si="3"/>
        <v>#DIV/0!</v>
      </c>
      <c r="R14" s="87">
        <f>Tabela27368101214161921232527[[#This Row],[Nº]]</f>
        <v>10</v>
      </c>
      <c r="S14" s="41"/>
      <c r="T14" s="42"/>
      <c r="U14" s="28" t="e">
        <f t="shared" si="4"/>
        <v>#DIV/0!</v>
      </c>
      <c r="V14" s="39"/>
      <c r="W14" s="40"/>
      <c r="X14" s="29" t="e">
        <f t="shared" si="5"/>
        <v>#DIV/0!</v>
      </c>
      <c r="Y14" s="87">
        <f>Tabela27368101214161921232527[[#This Row],[Nº]]</f>
        <v>10</v>
      </c>
      <c r="Z14" s="41"/>
      <c r="AA14" s="42"/>
      <c r="AB14" s="28" t="e">
        <f t="shared" si="6"/>
        <v>#DIV/0!</v>
      </c>
      <c r="AC14" s="39"/>
      <c r="AD14" s="40"/>
      <c r="AE14" s="30" t="e">
        <f t="shared" si="7"/>
        <v>#DIV/0!</v>
      </c>
    </row>
    <row r="15" spans="1:31" ht="15">
      <c r="A15" s="72">
        <v>11</v>
      </c>
      <c r="B15" s="60" t="str">
        <f>IF('5A-A'!B13&lt;&gt;0,'5A-A'!B13,"")</f>
        <v/>
      </c>
      <c r="C15" s="61" t="str">
        <f>IF('5A-A'!C13&lt;&gt;0,'5A-A'!C13,"")</f>
        <v/>
      </c>
      <c r="D15" s="62" t="str">
        <f>IF('5A-A'!D13&lt;&gt;0,'5A-A'!D13,"")</f>
        <v/>
      </c>
      <c r="E15" s="43"/>
      <c r="F15" s="42"/>
      <c r="G15" s="28" t="e">
        <f t="shared" si="0"/>
        <v>#DIV/0!</v>
      </c>
      <c r="H15" s="39"/>
      <c r="I15" s="40"/>
      <c r="J15" s="29" t="e">
        <f t="shared" si="1"/>
        <v>#DIV/0!</v>
      </c>
      <c r="K15" s="87">
        <f>Tabela27368101214161921232527[[#This Row],[Nº]]</f>
        <v>11</v>
      </c>
      <c r="L15" s="41"/>
      <c r="M15" s="42"/>
      <c r="N15" s="28" t="e">
        <f t="shared" si="2"/>
        <v>#DIV/0!</v>
      </c>
      <c r="O15" s="39"/>
      <c r="P15" s="40"/>
      <c r="Q15" s="29" t="e">
        <f t="shared" si="3"/>
        <v>#DIV/0!</v>
      </c>
      <c r="R15" s="87">
        <f>Tabela27368101214161921232527[[#This Row],[Nº]]</f>
        <v>11</v>
      </c>
      <c r="S15" s="41"/>
      <c r="T15" s="42"/>
      <c r="U15" s="28" t="e">
        <f t="shared" si="4"/>
        <v>#DIV/0!</v>
      </c>
      <c r="V15" s="39"/>
      <c r="W15" s="40"/>
      <c r="X15" s="29" t="e">
        <f t="shared" si="5"/>
        <v>#DIV/0!</v>
      </c>
      <c r="Y15" s="87">
        <f>Tabela27368101214161921232527[[#This Row],[Nº]]</f>
        <v>11</v>
      </c>
      <c r="Z15" s="41"/>
      <c r="AA15" s="42"/>
      <c r="AB15" s="28" t="e">
        <f t="shared" si="6"/>
        <v>#DIV/0!</v>
      </c>
      <c r="AC15" s="39"/>
      <c r="AD15" s="40"/>
      <c r="AE15" s="30" t="e">
        <f t="shared" si="7"/>
        <v>#DIV/0!</v>
      </c>
    </row>
    <row r="16" spans="1:31" ht="15">
      <c r="A16" s="72">
        <v>12</v>
      </c>
      <c r="B16" s="60" t="str">
        <f>IF('5A-A'!B14&lt;&gt;0,'5A-A'!B14,"")</f>
        <v/>
      </c>
      <c r="C16" s="61" t="str">
        <f>IF('5A-A'!C14&lt;&gt;0,'5A-A'!C14,"")</f>
        <v/>
      </c>
      <c r="D16" s="62" t="str">
        <f>IF('5A-A'!D14&lt;&gt;0,'5A-A'!D14,"")</f>
        <v/>
      </c>
      <c r="E16" s="43"/>
      <c r="F16" s="42"/>
      <c r="G16" s="28" t="e">
        <f t="shared" si="0"/>
        <v>#DIV/0!</v>
      </c>
      <c r="H16" s="39"/>
      <c r="I16" s="40"/>
      <c r="J16" s="29" t="e">
        <f t="shared" si="1"/>
        <v>#DIV/0!</v>
      </c>
      <c r="K16" s="87">
        <f>Tabela27368101214161921232527[[#This Row],[Nº]]</f>
        <v>12</v>
      </c>
      <c r="L16" s="41"/>
      <c r="M16" s="42"/>
      <c r="N16" s="28" t="e">
        <f t="shared" si="2"/>
        <v>#DIV/0!</v>
      </c>
      <c r="O16" s="39"/>
      <c r="P16" s="40"/>
      <c r="Q16" s="29" t="e">
        <f t="shared" si="3"/>
        <v>#DIV/0!</v>
      </c>
      <c r="R16" s="87">
        <f>Tabela27368101214161921232527[[#This Row],[Nº]]</f>
        <v>12</v>
      </c>
      <c r="S16" s="41"/>
      <c r="T16" s="42"/>
      <c r="U16" s="28" t="e">
        <f t="shared" si="4"/>
        <v>#DIV/0!</v>
      </c>
      <c r="V16" s="39"/>
      <c r="W16" s="40"/>
      <c r="X16" s="29" t="e">
        <f t="shared" si="5"/>
        <v>#DIV/0!</v>
      </c>
      <c r="Y16" s="87">
        <f>Tabela27368101214161921232527[[#This Row],[Nº]]</f>
        <v>12</v>
      </c>
      <c r="Z16" s="41"/>
      <c r="AA16" s="42"/>
      <c r="AB16" s="28" t="e">
        <f t="shared" si="6"/>
        <v>#DIV/0!</v>
      </c>
      <c r="AC16" s="39"/>
      <c r="AD16" s="40"/>
      <c r="AE16" s="30" t="e">
        <f t="shared" si="7"/>
        <v>#DIV/0!</v>
      </c>
    </row>
    <row r="17" spans="1:31" ht="15">
      <c r="A17" s="72">
        <v>13</v>
      </c>
      <c r="B17" s="60" t="str">
        <f>IF('5A-A'!B15&lt;&gt;0,'5A-A'!B15,"")</f>
        <v/>
      </c>
      <c r="C17" s="61" t="str">
        <f>IF('5A-A'!C15&lt;&gt;0,'5A-A'!C15,"")</f>
        <v/>
      </c>
      <c r="D17" s="62" t="str">
        <f>IF('5A-A'!D15&lt;&gt;0,'5A-A'!D15,"")</f>
        <v/>
      </c>
      <c r="E17" s="43"/>
      <c r="F17" s="42"/>
      <c r="G17" s="28" t="e">
        <f t="shared" si="0"/>
        <v>#DIV/0!</v>
      </c>
      <c r="H17" s="39"/>
      <c r="I17" s="40"/>
      <c r="J17" s="29" t="e">
        <f t="shared" si="1"/>
        <v>#DIV/0!</v>
      </c>
      <c r="K17" s="87">
        <f>Tabela27368101214161921232527[[#This Row],[Nº]]</f>
        <v>13</v>
      </c>
      <c r="L17" s="41"/>
      <c r="M17" s="42"/>
      <c r="N17" s="28" t="e">
        <f t="shared" si="2"/>
        <v>#DIV/0!</v>
      </c>
      <c r="O17" s="39"/>
      <c r="P17" s="40"/>
      <c r="Q17" s="29" t="e">
        <f t="shared" si="3"/>
        <v>#DIV/0!</v>
      </c>
      <c r="R17" s="87">
        <f>Tabela27368101214161921232527[[#This Row],[Nº]]</f>
        <v>13</v>
      </c>
      <c r="S17" s="41"/>
      <c r="T17" s="42"/>
      <c r="U17" s="28" t="e">
        <f t="shared" si="4"/>
        <v>#DIV/0!</v>
      </c>
      <c r="V17" s="39"/>
      <c r="W17" s="40"/>
      <c r="X17" s="29" t="e">
        <f t="shared" si="5"/>
        <v>#DIV/0!</v>
      </c>
      <c r="Y17" s="87">
        <f>Tabela27368101214161921232527[[#This Row],[Nº]]</f>
        <v>13</v>
      </c>
      <c r="Z17" s="41"/>
      <c r="AA17" s="42"/>
      <c r="AB17" s="28" t="e">
        <f t="shared" si="6"/>
        <v>#DIV/0!</v>
      </c>
      <c r="AC17" s="39"/>
      <c r="AD17" s="40"/>
      <c r="AE17" s="30" t="e">
        <f t="shared" si="7"/>
        <v>#DIV/0!</v>
      </c>
    </row>
    <row r="18" spans="1:31" ht="15">
      <c r="A18" s="72">
        <v>14</v>
      </c>
      <c r="B18" s="60" t="str">
        <f>IF('5A-A'!B16&lt;&gt;0,'5A-A'!B16,"")</f>
        <v/>
      </c>
      <c r="C18" s="61" t="str">
        <f>IF('5A-A'!C16&lt;&gt;0,'5A-A'!C16,"")</f>
        <v/>
      </c>
      <c r="D18" s="62" t="str">
        <f>IF('5A-A'!D16&lt;&gt;0,'5A-A'!D16,"")</f>
        <v/>
      </c>
      <c r="E18" s="43"/>
      <c r="F18" s="42"/>
      <c r="G18" s="28" t="e">
        <f t="shared" si="0"/>
        <v>#DIV/0!</v>
      </c>
      <c r="H18" s="39"/>
      <c r="I18" s="40"/>
      <c r="J18" s="29" t="e">
        <f t="shared" si="1"/>
        <v>#DIV/0!</v>
      </c>
      <c r="K18" s="87">
        <f>Tabela27368101214161921232527[[#This Row],[Nº]]</f>
        <v>14</v>
      </c>
      <c r="L18" s="41"/>
      <c r="M18" s="42"/>
      <c r="N18" s="28" t="e">
        <f t="shared" si="2"/>
        <v>#DIV/0!</v>
      </c>
      <c r="O18" s="39"/>
      <c r="P18" s="40"/>
      <c r="Q18" s="29" t="e">
        <f t="shared" si="3"/>
        <v>#DIV/0!</v>
      </c>
      <c r="R18" s="87">
        <f>Tabela27368101214161921232527[[#This Row],[Nº]]</f>
        <v>14</v>
      </c>
      <c r="S18" s="41"/>
      <c r="T18" s="42"/>
      <c r="U18" s="28" t="e">
        <f t="shared" si="4"/>
        <v>#DIV/0!</v>
      </c>
      <c r="V18" s="39"/>
      <c r="W18" s="40"/>
      <c r="X18" s="29" t="e">
        <f t="shared" si="5"/>
        <v>#DIV/0!</v>
      </c>
      <c r="Y18" s="87">
        <f>Tabela27368101214161921232527[[#This Row],[Nº]]</f>
        <v>14</v>
      </c>
      <c r="Z18" s="41"/>
      <c r="AA18" s="42"/>
      <c r="AB18" s="28" t="e">
        <f t="shared" si="6"/>
        <v>#DIV/0!</v>
      </c>
      <c r="AC18" s="39"/>
      <c r="AD18" s="40"/>
      <c r="AE18" s="30" t="e">
        <f t="shared" si="7"/>
        <v>#DIV/0!</v>
      </c>
    </row>
    <row r="19" spans="1:31" ht="15">
      <c r="A19" s="72">
        <v>15</v>
      </c>
      <c r="B19" s="60" t="str">
        <f>IF('5A-A'!B17&lt;&gt;0,'5A-A'!B17,"")</f>
        <v/>
      </c>
      <c r="C19" s="61" t="str">
        <f>IF('5A-A'!C17&lt;&gt;0,'5A-A'!C17,"")</f>
        <v/>
      </c>
      <c r="D19" s="62" t="str">
        <f>IF('5A-A'!D17&lt;&gt;0,'5A-A'!D17,"")</f>
        <v/>
      </c>
      <c r="E19" s="43"/>
      <c r="F19" s="42"/>
      <c r="G19" s="28" t="e">
        <f t="shared" si="0"/>
        <v>#DIV/0!</v>
      </c>
      <c r="H19" s="39"/>
      <c r="I19" s="40"/>
      <c r="J19" s="29" t="e">
        <f t="shared" si="1"/>
        <v>#DIV/0!</v>
      </c>
      <c r="K19" s="87">
        <f>Tabela27368101214161921232527[[#This Row],[Nº]]</f>
        <v>15</v>
      </c>
      <c r="L19" s="41"/>
      <c r="M19" s="42"/>
      <c r="N19" s="28" t="e">
        <f t="shared" si="2"/>
        <v>#DIV/0!</v>
      </c>
      <c r="O19" s="39"/>
      <c r="P19" s="40"/>
      <c r="Q19" s="29" t="e">
        <f t="shared" si="3"/>
        <v>#DIV/0!</v>
      </c>
      <c r="R19" s="87">
        <f>Tabela27368101214161921232527[[#This Row],[Nº]]</f>
        <v>15</v>
      </c>
      <c r="S19" s="41"/>
      <c r="T19" s="42"/>
      <c r="U19" s="28" t="e">
        <f t="shared" si="4"/>
        <v>#DIV/0!</v>
      </c>
      <c r="V19" s="39"/>
      <c r="W19" s="40"/>
      <c r="X19" s="29" t="e">
        <f t="shared" si="5"/>
        <v>#DIV/0!</v>
      </c>
      <c r="Y19" s="87">
        <f>Tabela27368101214161921232527[[#This Row],[Nº]]</f>
        <v>15</v>
      </c>
      <c r="Z19" s="41"/>
      <c r="AA19" s="42"/>
      <c r="AB19" s="28" t="e">
        <f t="shared" si="6"/>
        <v>#DIV/0!</v>
      </c>
      <c r="AC19" s="39"/>
      <c r="AD19" s="40"/>
      <c r="AE19" s="30" t="e">
        <f t="shared" si="7"/>
        <v>#DIV/0!</v>
      </c>
    </row>
    <row r="20" spans="1:31" ht="15">
      <c r="A20" s="72">
        <v>16</v>
      </c>
      <c r="B20" s="60" t="str">
        <f>IF('5A-A'!B18&lt;&gt;0,'5A-A'!B18,"")</f>
        <v/>
      </c>
      <c r="C20" s="61" t="str">
        <f>IF('5A-A'!C18&lt;&gt;0,'5A-A'!C18,"")</f>
        <v/>
      </c>
      <c r="D20" s="62" t="str">
        <f>IF('5A-A'!D18&lt;&gt;0,'5A-A'!D18,"")</f>
        <v/>
      </c>
      <c r="E20" s="43"/>
      <c r="F20" s="42"/>
      <c r="G20" s="28" t="e">
        <f t="shared" si="0"/>
        <v>#DIV/0!</v>
      </c>
      <c r="H20" s="39"/>
      <c r="I20" s="40"/>
      <c r="J20" s="29" t="e">
        <f t="shared" si="1"/>
        <v>#DIV/0!</v>
      </c>
      <c r="K20" s="87">
        <f>Tabela27368101214161921232527[[#This Row],[Nº]]</f>
        <v>16</v>
      </c>
      <c r="L20" s="41"/>
      <c r="M20" s="42"/>
      <c r="N20" s="28" t="e">
        <f t="shared" si="2"/>
        <v>#DIV/0!</v>
      </c>
      <c r="O20" s="39"/>
      <c r="P20" s="40"/>
      <c r="Q20" s="29" t="e">
        <f t="shared" si="3"/>
        <v>#DIV/0!</v>
      </c>
      <c r="R20" s="87">
        <f>Tabela27368101214161921232527[[#This Row],[Nº]]</f>
        <v>16</v>
      </c>
      <c r="S20" s="41"/>
      <c r="T20" s="42"/>
      <c r="U20" s="28" t="e">
        <f t="shared" si="4"/>
        <v>#DIV/0!</v>
      </c>
      <c r="V20" s="39"/>
      <c r="W20" s="40"/>
      <c r="X20" s="29" t="e">
        <f t="shared" si="5"/>
        <v>#DIV/0!</v>
      </c>
      <c r="Y20" s="87">
        <f>Tabela27368101214161921232527[[#This Row],[Nº]]</f>
        <v>16</v>
      </c>
      <c r="Z20" s="41"/>
      <c r="AA20" s="42"/>
      <c r="AB20" s="28" t="e">
        <f t="shared" si="6"/>
        <v>#DIV/0!</v>
      </c>
      <c r="AC20" s="39"/>
      <c r="AD20" s="40"/>
      <c r="AE20" s="30" t="e">
        <f t="shared" si="7"/>
        <v>#DIV/0!</v>
      </c>
    </row>
    <row r="21" spans="1:31" ht="15">
      <c r="A21" s="72">
        <v>17</v>
      </c>
      <c r="B21" s="60" t="str">
        <f>IF('5A-A'!B19&lt;&gt;0,'5A-A'!B19,"")</f>
        <v/>
      </c>
      <c r="C21" s="61" t="str">
        <f>IF('5A-A'!C19&lt;&gt;0,'5A-A'!C19,"")</f>
        <v/>
      </c>
      <c r="D21" s="62" t="str">
        <f>IF('5A-A'!D19&lt;&gt;0,'5A-A'!D19,"")</f>
        <v/>
      </c>
      <c r="E21" s="43"/>
      <c r="F21" s="42"/>
      <c r="G21" s="28" t="e">
        <f t="shared" si="0"/>
        <v>#DIV/0!</v>
      </c>
      <c r="H21" s="39"/>
      <c r="I21" s="40"/>
      <c r="J21" s="29" t="e">
        <f t="shared" si="1"/>
        <v>#DIV/0!</v>
      </c>
      <c r="K21" s="87">
        <f>Tabela27368101214161921232527[[#This Row],[Nº]]</f>
        <v>17</v>
      </c>
      <c r="L21" s="41"/>
      <c r="M21" s="42"/>
      <c r="N21" s="28" t="e">
        <f t="shared" si="2"/>
        <v>#DIV/0!</v>
      </c>
      <c r="O21" s="39"/>
      <c r="P21" s="40"/>
      <c r="Q21" s="29" t="e">
        <f t="shared" si="3"/>
        <v>#DIV/0!</v>
      </c>
      <c r="R21" s="87">
        <f>Tabela27368101214161921232527[[#This Row],[Nº]]</f>
        <v>17</v>
      </c>
      <c r="S21" s="41"/>
      <c r="T21" s="42"/>
      <c r="U21" s="28" t="e">
        <f t="shared" si="4"/>
        <v>#DIV/0!</v>
      </c>
      <c r="V21" s="39"/>
      <c r="W21" s="40"/>
      <c r="X21" s="29" t="e">
        <f t="shared" si="5"/>
        <v>#DIV/0!</v>
      </c>
      <c r="Y21" s="87">
        <f>Tabela27368101214161921232527[[#This Row],[Nº]]</f>
        <v>17</v>
      </c>
      <c r="Z21" s="41"/>
      <c r="AA21" s="42"/>
      <c r="AB21" s="28" t="e">
        <f t="shared" si="6"/>
        <v>#DIV/0!</v>
      </c>
      <c r="AC21" s="39"/>
      <c r="AD21" s="40"/>
      <c r="AE21" s="30" t="e">
        <f t="shared" si="7"/>
        <v>#DIV/0!</v>
      </c>
    </row>
    <row r="22" spans="1:31" ht="15">
      <c r="A22" s="72">
        <v>18</v>
      </c>
      <c r="B22" s="60" t="str">
        <f>IF('5A-A'!B20&lt;&gt;0,'5A-A'!B20,"")</f>
        <v/>
      </c>
      <c r="C22" s="61" t="str">
        <f>IF('5A-A'!C20&lt;&gt;0,'5A-A'!C20,"")</f>
        <v/>
      </c>
      <c r="D22" s="62" t="str">
        <f>IF('5A-A'!D20&lt;&gt;0,'5A-A'!D20,"")</f>
        <v/>
      </c>
      <c r="E22" s="43"/>
      <c r="F22" s="42"/>
      <c r="G22" s="28" t="e">
        <f t="shared" si="0"/>
        <v>#DIV/0!</v>
      </c>
      <c r="H22" s="39"/>
      <c r="I22" s="40"/>
      <c r="J22" s="29" t="e">
        <f t="shared" si="1"/>
        <v>#DIV/0!</v>
      </c>
      <c r="K22" s="87">
        <f>Tabela27368101214161921232527[[#This Row],[Nº]]</f>
        <v>18</v>
      </c>
      <c r="L22" s="41"/>
      <c r="M22" s="42"/>
      <c r="N22" s="28" t="e">
        <f t="shared" si="2"/>
        <v>#DIV/0!</v>
      </c>
      <c r="O22" s="39"/>
      <c r="P22" s="40"/>
      <c r="Q22" s="29" t="e">
        <f t="shared" si="3"/>
        <v>#DIV/0!</v>
      </c>
      <c r="R22" s="87">
        <f>Tabela27368101214161921232527[[#This Row],[Nº]]</f>
        <v>18</v>
      </c>
      <c r="S22" s="41"/>
      <c r="T22" s="42"/>
      <c r="U22" s="28" t="e">
        <f t="shared" si="4"/>
        <v>#DIV/0!</v>
      </c>
      <c r="V22" s="39"/>
      <c r="W22" s="40"/>
      <c r="X22" s="29" t="e">
        <f t="shared" si="5"/>
        <v>#DIV/0!</v>
      </c>
      <c r="Y22" s="87">
        <f>Tabela27368101214161921232527[[#This Row],[Nº]]</f>
        <v>18</v>
      </c>
      <c r="Z22" s="41"/>
      <c r="AA22" s="42"/>
      <c r="AB22" s="28" t="e">
        <f t="shared" si="6"/>
        <v>#DIV/0!</v>
      </c>
      <c r="AC22" s="39"/>
      <c r="AD22" s="40"/>
      <c r="AE22" s="30" t="e">
        <f t="shared" si="7"/>
        <v>#DIV/0!</v>
      </c>
    </row>
    <row r="23" spans="1:31" ht="15">
      <c r="A23" s="72">
        <v>19</v>
      </c>
      <c r="B23" s="60" t="str">
        <f>IF('5A-A'!B21&lt;&gt;0,'5A-A'!B21,"")</f>
        <v/>
      </c>
      <c r="C23" s="61" t="str">
        <f>IF('5A-A'!C21&lt;&gt;0,'5A-A'!C21,"")</f>
        <v/>
      </c>
      <c r="D23" s="62" t="str">
        <f>IF('5A-A'!D21&lt;&gt;0,'5A-A'!D21,"")</f>
        <v/>
      </c>
      <c r="E23" s="43"/>
      <c r="F23" s="42"/>
      <c r="G23" s="28" t="e">
        <f t="shared" si="0"/>
        <v>#DIV/0!</v>
      </c>
      <c r="H23" s="39"/>
      <c r="I23" s="40"/>
      <c r="J23" s="29" t="e">
        <f t="shared" si="1"/>
        <v>#DIV/0!</v>
      </c>
      <c r="K23" s="87">
        <f>Tabela27368101214161921232527[[#This Row],[Nº]]</f>
        <v>19</v>
      </c>
      <c r="L23" s="41"/>
      <c r="M23" s="42"/>
      <c r="N23" s="28" t="e">
        <f t="shared" si="2"/>
        <v>#DIV/0!</v>
      </c>
      <c r="O23" s="39"/>
      <c r="P23" s="40"/>
      <c r="Q23" s="29" t="e">
        <f t="shared" si="3"/>
        <v>#DIV/0!</v>
      </c>
      <c r="R23" s="87">
        <f>Tabela27368101214161921232527[[#This Row],[Nº]]</f>
        <v>19</v>
      </c>
      <c r="S23" s="41"/>
      <c r="T23" s="42"/>
      <c r="U23" s="28" t="e">
        <f t="shared" si="4"/>
        <v>#DIV/0!</v>
      </c>
      <c r="V23" s="39"/>
      <c r="W23" s="40"/>
      <c r="X23" s="29" t="e">
        <f t="shared" si="5"/>
        <v>#DIV/0!</v>
      </c>
      <c r="Y23" s="87">
        <f>Tabela27368101214161921232527[[#This Row],[Nº]]</f>
        <v>19</v>
      </c>
      <c r="Z23" s="41"/>
      <c r="AA23" s="42"/>
      <c r="AB23" s="28" t="e">
        <f t="shared" si="6"/>
        <v>#DIV/0!</v>
      </c>
      <c r="AC23" s="39"/>
      <c r="AD23" s="40"/>
      <c r="AE23" s="30" t="e">
        <f t="shared" si="7"/>
        <v>#DIV/0!</v>
      </c>
    </row>
    <row r="24" spans="1:31" ht="15">
      <c r="A24" s="72">
        <v>20</v>
      </c>
      <c r="B24" s="60" t="str">
        <f>IF('5A-A'!B22&lt;&gt;0,'5A-A'!B22,"")</f>
        <v/>
      </c>
      <c r="C24" s="61" t="str">
        <f>IF('5A-A'!C22&lt;&gt;0,'5A-A'!C22,"")</f>
        <v/>
      </c>
      <c r="D24" s="62" t="str">
        <f>IF('5A-A'!D22&lt;&gt;0,'5A-A'!D22,"")</f>
        <v/>
      </c>
      <c r="E24" s="43"/>
      <c r="F24" s="42"/>
      <c r="G24" s="28" t="e">
        <f t="shared" si="0"/>
        <v>#DIV/0!</v>
      </c>
      <c r="H24" s="39"/>
      <c r="I24" s="40"/>
      <c r="J24" s="29" t="e">
        <f t="shared" si="1"/>
        <v>#DIV/0!</v>
      </c>
      <c r="K24" s="87">
        <f>Tabela27368101214161921232527[[#This Row],[Nº]]</f>
        <v>20</v>
      </c>
      <c r="L24" s="41"/>
      <c r="M24" s="42"/>
      <c r="N24" s="28" t="e">
        <f t="shared" si="2"/>
        <v>#DIV/0!</v>
      </c>
      <c r="O24" s="39"/>
      <c r="P24" s="40"/>
      <c r="Q24" s="29" t="e">
        <f t="shared" si="3"/>
        <v>#DIV/0!</v>
      </c>
      <c r="R24" s="87">
        <f>Tabela27368101214161921232527[[#This Row],[Nº]]</f>
        <v>20</v>
      </c>
      <c r="S24" s="41"/>
      <c r="T24" s="42"/>
      <c r="U24" s="28" t="e">
        <f t="shared" si="4"/>
        <v>#DIV/0!</v>
      </c>
      <c r="V24" s="39"/>
      <c r="W24" s="40"/>
      <c r="X24" s="29" t="e">
        <f t="shared" si="5"/>
        <v>#DIV/0!</v>
      </c>
      <c r="Y24" s="87">
        <f>Tabela27368101214161921232527[[#This Row],[Nº]]</f>
        <v>20</v>
      </c>
      <c r="Z24" s="41"/>
      <c r="AA24" s="42"/>
      <c r="AB24" s="28" t="e">
        <f t="shared" si="6"/>
        <v>#DIV/0!</v>
      </c>
      <c r="AC24" s="39"/>
      <c r="AD24" s="40"/>
      <c r="AE24" s="30" t="e">
        <f t="shared" si="7"/>
        <v>#DIV/0!</v>
      </c>
    </row>
    <row r="25" spans="1:31" ht="15">
      <c r="A25" s="72">
        <v>21</v>
      </c>
      <c r="B25" s="60" t="str">
        <f>IF('5A-A'!B23&lt;&gt;0,'5A-A'!B23,"")</f>
        <v/>
      </c>
      <c r="C25" s="61" t="str">
        <f>IF('5A-A'!C23&lt;&gt;0,'5A-A'!C23,"")</f>
        <v/>
      </c>
      <c r="D25" s="62" t="str">
        <f>IF('5A-A'!D23&lt;&gt;0,'5A-A'!D23,"")</f>
        <v/>
      </c>
      <c r="E25" s="43"/>
      <c r="F25" s="42"/>
      <c r="G25" s="28" t="e">
        <f t="shared" si="0"/>
        <v>#DIV/0!</v>
      </c>
      <c r="H25" s="39"/>
      <c r="I25" s="40"/>
      <c r="J25" s="29" t="e">
        <f t="shared" si="1"/>
        <v>#DIV/0!</v>
      </c>
      <c r="K25" s="87">
        <f>Tabela27368101214161921232527[[#This Row],[Nº]]</f>
        <v>21</v>
      </c>
      <c r="L25" s="41"/>
      <c r="M25" s="42"/>
      <c r="N25" s="28" t="e">
        <f t="shared" si="2"/>
        <v>#DIV/0!</v>
      </c>
      <c r="O25" s="39"/>
      <c r="P25" s="40"/>
      <c r="Q25" s="29" t="e">
        <f t="shared" si="3"/>
        <v>#DIV/0!</v>
      </c>
      <c r="R25" s="87">
        <f>Tabela27368101214161921232527[[#This Row],[Nº]]</f>
        <v>21</v>
      </c>
      <c r="S25" s="41"/>
      <c r="T25" s="42"/>
      <c r="U25" s="28" t="e">
        <f t="shared" si="4"/>
        <v>#DIV/0!</v>
      </c>
      <c r="V25" s="39"/>
      <c r="W25" s="40"/>
      <c r="X25" s="29" t="e">
        <f t="shared" si="5"/>
        <v>#DIV/0!</v>
      </c>
      <c r="Y25" s="87">
        <f>Tabela27368101214161921232527[[#This Row],[Nº]]</f>
        <v>21</v>
      </c>
      <c r="Z25" s="41"/>
      <c r="AA25" s="42"/>
      <c r="AB25" s="28" t="e">
        <f t="shared" si="6"/>
        <v>#DIV/0!</v>
      </c>
      <c r="AC25" s="39"/>
      <c r="AD25" s="40"/>
      <c r="AE25" s="30" t="e">
        <f t="shared" si="7"/>
        <v>#DIV/0!</v>
      </c>
    </row>
    <row r="26" spans="1:31" ht="15">
      <c r="A26" s="72">
        <v>22</v>
      </c>
      <c r="B26" s="60" t="str">
        <f>IF('5A-A'!B24&lt;&gt;0,'5A-A'!B24,"")</f>
        <v/>
      </c>
      <c r="C26" s="61" t="str">
        <f>IF('5A-A'!C24&lt;&gt;0,'5A-A'!C24,"")</f>
        <v/>
      </c>
      <c r="D26" s="62" t="str">
        <f>IF('5A-A'!D24&lt;&gt;0,'5A-A'!D24,"")</f>
        <v/>
      </c>
      <c r="E26" s="43"/>
      <c r="F26" s="42"/>
      <c r="G26" s="28" t="e">
        <f t="shared" si="0"/>
        <v>#DIV/0!</v>
      </c>
      <c r="H26" s="39"/>
      <c r="I26" s="40"/>
      <c r="J26" s="29" t="e">
        <f t="shared" si="1"/>
        <v>#DIV/0!</v>
      </c>
      <c r="K26" s="87">
        <f>Tabela27368101214161921232527[[#This Row],[Nº]]</f>
        <v>22</v>
      </c>
      <c r="L26" s="41"/>
      <c r="M26" s="42"/>
      <c r="N26" s="28" t="e">
        <f t="shared" si="2"/>
        <v>#DIV/0!</v>
      </c>
      <c r="O26" s="39"/>
      <c r="P26" s="40"/>
      <c r="Q26" s="29" t="e">
        <f t="shared" si="3"/>
        <v>#DIV/0!</v>
      </c>
      <c r="R26" s="87">
        <f>Tabela27368101214161921232527[[#This Row],[Nº]]</f>
        <v>22</v>
      </c>
      <c r="S26" s="41"/>
      <c r="T26" s="42"/>
      <c r="U26" s="28" t="e">
        <f t="shared" si="4"/>
        <v>#DIV/0!</v>
      </c>
      <c r="V26" s="39"/>
      <c r="W26" s="40"/>
      <c r="X26" s="29" t="e">
        <f t="shared" si="5"/>
        <v>#DIV/0!</v>
      </c>
      <c r="Y26" s="87">
        <f>Tabela27368101214161921232527[[#This Row],[Nº]]</f>
        <v>22</v>
      </c>
      <c r="Z26" s="41"/>
      <c r="AA26" s="42"/>
      <c r="AB26" s="28" t="e">
        <f t="shared" si="6"/>
        <v>#DIV/0!</v>
      </c>
      <c r="AC26" s="39"/>
      <c r="AD26" s="40"/>
      <c r="AE26" s="30" t="e">
        <f t="shared" si="7"/>
        <v>#DIV/0!</v>
      </c>
    </row>
    <row r="27" spans="1:31" ht="15">
      <c r="A27" s="72">
        <v>23</v>
      </c>
      <c r="B27" s="60" t="str">
        <f>IF('5A-A'!B25&lt;&gt;0,'5A-A'!B25,"")</f>
        <v/>
      </c>
      <c r="C27" s="61" t="str">
        <f>IF('5A-A'!C25&lt;&gt;0,'5A-A'!C25,"")</f>
        <v/>
      </c>
      <c r="D27" s="62" t="str">
        <f>IF('5A-A'!D25&lt;&gt;0,'5A-A'!D25,"")</f>
        <v/>
      </c>
      <c r="E27" s="43"/>
      <c r="F27" s="42"/>
      <c r="G27" s="28" t="e">
        <f t="shared" si="0"/>
        <v>#DIV/0!</v>
      </c>
      <c r="H27" s="39"/>
      <c r="I27" s="40"/>
      <c r="J27" s="29" t="e">
        <f t="shared" si="1"/>
        <v>#DIV/0!</v>
      </c>
      <c r="K27" s="87">
        <f>Tabela27368101214161921232527[[#This Row],[Nº]]</f>
        <v>23</v>
      </c>
      <c r="L27" s="41"/>
      <c r="M27" s="42"/>
      <c r="N27" s="28" t="e">
        <f t="shared" si="2"/>
        <v>#DIV/0!</v>
      </c>
      <c r="O27" s="39"/>
      <c r="P27" s="40"/>
      <c r="Q27" s="29" t="e">
        <f t="shared" si="3"/>
        <v>#DIV/0!</v>
      </c>
      <c r="R27" s="87">
        <f>Tabela27368101214161921232527[[#This Row],[Nº]]</f>
        <v>23</v>
      </c>
      <c r="S27" s="41"/>
      <c r="T27" s="42"/>
      <c r="U27" s="28" t="e">
        <f t="shared" si="4"/>
        <v>#DIV/0!</v>
      </c>
      <c r="V27" s="39"/>
      <c r="W27" s="40"/>
      <c r="X27" s="29" t="e">
        <f t="shared" si="5"/>
        <v>#DIV/0!</v>
      </c>
      <c r="Y27" s="87">
        <f>Tabela27368101214161921232527[[#This Row],[Nº]]</f>
        <v>23</v>
      </c>
      <c r="Z27" s="41"/>
      <c r="AA27" s="42"/>
      <c r="AB27" s="28" t="e">
        <f t="shared" si="6"/>
        <v>#DIV/0!</v>
      </c>
      <c r="AC27" s="39"/>
      <c r="AD27" s="40"/>
      <c r="AE27" s="30" t="e">
        <f t="shared" si="7"/>
        <v>#DIV/0!</v>
      </c>
    </row>
    <row r="28" spans="1:31" ht="15">
      <c r="A28" s="72">
        <v>24</v>
      </c>
      <c r="B28" s="60" t="str">
        <f>IF('5A-A'!B26&lt;&gt;0,'5A-A'!B26,"")</f>
        <v/>
      </c>
      <c r="C28" s="61" t="str">
        <f>IF('5A-A'!C26&lt;&gt;0,'5A-A'!C26,"")</f>
        <v/>
      </c>
      <c r="D28" s="62" t="str">
        <f>IF('5A-A'!D26&lt;&gt;0,'5A-A'!D26,"")</f>
        <v/>
      </c>
      <c r="E28" s="43"/>
      <c r="F28" s="42"/>
      <c r="G28" s="28" t="e">
        <f t="shared" si="0"/>
        <v>#DIV/0!</v>
      </c>
      <c r="H28" s="39"/>
      <c r="I28" s="40"/>
      <c r="J28" s="29" t="e">
        <f t="shared" si="1"/>
        <v>#DIV/0!</v>
      </c>
      <c r="K28" s="87">
        <f>Tabela27368101214161921232527[[#This Row],[Nº]]</f>
        <v>24</v>
      </c>
      <c r="L28" s="41"/>
      <c r="M28" s="42"/>
      <c r="N28" s="28" t="e">
        <f t="shared" si="2"/>
        <v>#DIV/0!</v>
      </c>
      <c r="O28" s="39"/>
      <c r="P28" s="40"/>
      <c r="Q28" s="29" t="e">
        <f t="shared" si="3"/>
        <v>#DIV/0!</v>
      </c>
      <c r="R28" s="87">
        <f>Tabela27368101214161921232527[[#This Row],[Nº]]</f>
        <v>24</v>
      </c>
      <c r="S28" s="41"/>
      <c r="T28" s="42"/>
      <c r="U28" s="28" t="e">
        <f t="shared" si="4"/>
        <v>#DIV/0!</v>
      </c>
      <c r="V28" s="39"/>
      <c r="W28" s="40"/>
      <c r="X28" s="29" t="e">
        <f t="shared" si="5"/>
        <v>#DIV/0!</v>
      </c>
      <c r="Y28" s="87">
        <f>Tabela27368101214161921232527[[#This Row],[Nº]]</f>
        <v>24</v>
      </c>
      <c r="Z28" s="41"/>
      <c r="AA28" s="42"/>
      <c r="AB28" s="28" t="e">
        <f t="shared" si="6"/>
        <v>#DIV/0!</v>
      </c>
      <c r="AC28" s="39"/>
      <c r="AD28" s="40"/>
      <c r="AE28" s="30" t="e">
        <f t="shared" si="7"/>
        <v>#DIV/0!</v>
      </c>
    </row>
    <row r="29" spans="1:31" ht="15">
      <c r="A29" s="72">
        <v>25</v>
      </c>
      <c r="B29" s="60" t="str">
        <f>IF('5A-A'!B27&lt;&gt;0,'5A-A'!B27,"")</f>
        <v/>
      </c>
      <c r="C29" s="61" t="str">
        <f>IF('5A-A'!C27&lt;&gt;0,'5A-A'!C27,"")</f>
        <v/>
      </c>
      <c r="D29" s="62" t="str">
        <f>IF('5A-A'!D27&lt;&gt;0,'5A-A'!D27,"")</f>
        <v/>
      </c>
      <c r="E29" s="43"/>
      <c r="F29" s="42"/>
      <c r="G29" s="28" t="e">
        <f t="shared" si="0"/>
        <v>#DIV/0!</v>
      </c>
      <c r="H29" s="39"/>
      <c r="I29" s="40"/>
      <c r="J29" s="29" t="e">
        <f t="shared" si="1"/>
        <v>#DIV/0!</v>
      </c>
      <c r="K29" s="87">
        <f>Tabela27368101214161921232527[[#This Row],[Nº]]</f>
        <v>25</v>
      </c>
      <c r="L29" s="41"/>
      <c r="M29" s="42"/>
      <c r="N29" s="28" t="e">
        <f t="shared" si="2"/>
        <v>#DIV/0!</v>
      </c>
      <c r="O29" s="39"/>
      <c r="P29" s="40"/>
      <c r="Q29" s="29" t="e">
        <f t="shared" si="3"/>
        <v>#DIV/0!</v>
      </c>
      <c r="R29" s="87">
        <f>Tabela27368101214161921232527[[#This Row],[Nº]]</f>
        <v>25</v>
      </c>
      <c r="S29" s="41"/>
      <c r="T29" s="42"/>
      <c r="U29" s="28" t="e">
        <f t="shared" si="4"/>
        <v>#DIV/0!</v>
      </c>
      <c r="V29" s="39"/>
      <c r="W29" s="40"/>
      <c r="X29" s="29" t="e">
        <f t="shared" si="5"/>
        <v>#DIV/0!</v>
      </c>
      <c r="Y29" s="87">
        <f>Tabela27368101214161921232527[[#This Row],[Nº]]</f>
        <v>25</v>
      </c>
      <c r="Z29" s="41"/>
      <c r="AA29" s="42"/>
      <c r="AB29" s="28" t="e">
        <f t="shared" si="6"/>
        <v>#DIV/0!</v>
      </c>
      <c r="AC29" s="39"/>
      <c r="AD29" s="40"/>
      <c r="AE29" s="30" t="e">
        <f t="shared" si="7"/>
        <v>#DIV/0!</v>
      </c>
    </row>
    <row r="30" spans="1:31" ht="15.75">
      <c r="A30" s="183">
        <v>26</v>
      </c>
      <c r="B30" s="184" t="str">
        <f>IF('5A-A'!B28&lt;&gt;0,'5A-A'!B28,"")</f>
        <v/>
      </c>
      <c r="C30" s="185" t="str">
        <f>IF('5A-A'!C28&lt;&gt;0,'5A-A'!C28,"")</f>
        <v/>
      </c>
      <c r="D30" s="186" t="str">
        <f>IF('5A-A'!D28&lt;&gt;0,'5A-A'!D28,"")</f>
        <v/>
      </c>
      <c r="E30" s="187"/>
      <c r="F30" s="188"/>
      <c r="G30" s="189" t="e">
        <f>ROUND((E30*100)/(E30+F30),0)/100</f>
        <v>#DIV/0!</v>
      </c>
      <c r="H30" s="190"/>
      <c r="I30" s="191"/>
      <c r="J30" s="205" t="e">
        <f>ROUND((H30*100)/(H30+I30),0)/100</f>
        <v>#DIV/0!</v>
      </c>
      <c r="K30" s="193">
        <f>Tabela27368101214161921232527[[#This Row],[Nº]]</f>
        <v>26</v>
      </c>
      <c r="L30" s="197"/>
      <c r="M30" s="188"/>
      <c r="N30" s="189" t="e">
        <f>ROUND((L30*100)/(L30+M30),0)/100</f>
        <v>#DIV/0!</v>
      </c>
      <c r="O30" s="190"/>
      <c r="P30" s="191"/>
      <c r="Q30" s="205" t="e">
        <f>ROUND((O30*100)/(O30+P30),0)/100</f>
        <v>#DIV/0!</v>
      </c>
      <c r="R30" s="193">
        <f>Tabela27368101214161921232527[[#This Row],[Nº]]</f>
        <v>26</v>
      </c>
      <c r="S30" s="197"/>
      <c r="T30" s="188"/>
      <c r="U30" s="189" t="e">
        <f>ROUND((S30*100)/(S30+T30),0)/100</f>
        <v>#DIV/0!</v>
      </c>
      <c r="V30" s="190"/>
      <c r="W30" s="191"/>
      <c r="X30" s="205" t="e">
        <f>ROUND((V30*100)/(V30+W30),0)/100</f>
        <v>#DIV/0!</v>
      </c>
      <c r="Y30" s="193">
        <f>Tabela27368101214161921232527[[#This Row],[Nº]]</f>
        <v>26</v>
      </c>
      <c r="Z30" s="197"/>
      <c r="AA30" s="188"/>
      <c r="AB30" s="189" t="e">
        <f>ROUND((Z30*100)/(Z30+AA30),0)/100</f>
        <v>#DIV/0!</v>
      </c>
      <c r="AC30" s="190"/>
      <c r="AD30" s="191"/>
      <c r="AE30" s="192" t="e">
        <f>ROUND((AC30*100)/(AC30+AD30),0)/100</f>
        <v>#DIV/0!</v>
      </c>
    </row>
    <row r="31" spans="1:31" ht="15.75">
      <c r="A31" s="183">
        <v>27</v>
      </c>
      <c r="B31" s="184" t="str">
        <f>IF('5A-A'!B29&lt;&gt;0,'5A-A'!B29,"")</f>
        <v/>
      </c>
      <c r="C31" s="185" t="str">
        <f>IF('5A-A'!C29&lt;&gt;0,'5A-A'!C29,"")</f>
        <v/>
      </c>
      <c r="D31" s="186" t="str">
        <f>IF('5A-A'!D29&lt;&gt;0,'5A-A'!D29,"")</f>
        <v/>
      </c>
      <c r="E31" s="187"/>
      <c r="F31" s="188"/>
      <c r="G31" s="189" t="e">
        <f>ROUND((E31*100)/(E31+F31),0)/100</f>
        <v>#DIV/0!</v>
      </c>
      <c r="H31" s="190"/>
      <c r="I31" s="191"/>
      <c r="J31" s="205" t="e">
        <f>ROUND((H31*100)/(H31+I31),0)/100</f>
        <v>#DIV/0!</v>
      </c>
      <c r="K31" s="193">
        <f>Tabela27368101214161921232527[[#This Row],[Nº]]</f>
        <v>27</v>
      </c>
      <c r="L31" s="197"/>
      <c r="M31" s="188"/>
      <c r="N31" s="189" t="e">
        <f>ROUND((L31*100)/(L31+M31),0)/100</f>
        <v>#DIV/0!</v>
      </c>
      <c r="O31" s="190"/>
      <c r="P31" s="191"/>
      <c r="Q31" s="205" t="e">
        <f>ROUND((O31*100)/(O31+P31),0)/100</f>
        <v>#DIV/0!</v>
      </c>
      <c r="R31" s="193">
        <f>Tabela27368101214161921232527[[#This Row],[Nº]]</f>
        <v>27</v>
      </c>
      <c r="S31" s="197"/>
      <c r="T31" s="188"/>
      <c r="U31" s="189" t="e">
        <f>ROUND((S31*100)/(S31+T31),0)/100</f>
        <v>#DIV/0!</v>
      </c>
      <c r="V31" s="190"/>
      <c r="W31" s="191"/>
      <c r="X31" s="205" t="e">
        <f>ROUND((V31*100)/(V31+W31),0)/100</f>
        <v>#DIV/0!</v>
      </c>
      <c r="Y31" s="193">
        <f>Tabela27368101214161921232527[[#This Row],[Nº]]</f>
        <v>27</v>
      </c>
      <c r="Z31" s="197"/>
      <c r="AA31" s="188"/>
      <c r="AB31" s="189" t="e">
        <f>ROUND((Z31*100)/(Z31+AA31),0)/100</f>
        <v>#DIV/0!</v>
      </c>
      <c r="AC31" s="190"/>
      <c r="AD31" s="191"/>
      <c r="AE31" s="192" t="e">
        <f>ROUND((AC31*100)/(AC31+AD31),0)/100</f>
        <v>#DIV/0!</v>
      </c>
    </row>
    <row r="32" spans="1:31" ht="15.75">
      <c r="A32" s="183">
        <v>28</v>
      </c>
      <c r="B32" s="184" t="str">
        <f>IF('5A-A'!B30&lt;&gt;0,'5A-A'!B30,"")</f>
        <v/>
      </c>
      <c r="C32" s="185" t="str">
        <f>IF('5A-A'!C30&lt;&gt;0,'5A-A'!C30,"")</f>
        <v/>
      </c>
      <c r="D32" s="186" t="str">
        <f>IF('5A-A'!D30&lt;&gt;0,'5A-A'!D30,"")</f>
        <v/>
      </c>
      <c r="E32" s="187"/>
      <c r="F32" s="188"/>
      <c r="G32" s="189" t="e">
        <f>ROUND((E32*100)/(E32+F32),0)/100</f>
        <v>#DIV/0!</v>
      </c>
      <c r="H32" s="190"/>
      <c r="I32" s="191"/>
      <c r="J32" s="205" t="e">
        <f>ROUND((H32*100)/(H32+I32),0)/100</f>
        <v>#DIV/0!</v>
      </c>
      <c r="K32" s="193">
        <f>Tabela27368101214161921232527[[#This Row],[Nº]]</f>
        <v>28</v>
      </c>
      <c r="L32" s="197"/>
      <c r="M32" s="188"/>
      <c r="N32" s="189" t="e">
        <f>ROUND((L32*100)/(L32+M32),0)/100</f>
        <v>#DIV/0!</v>
      </c>
      <c r="O32" s="190"/>
      <c r="P32" s="191"/>
      <c r="Q32" s="205" t="e">
        <f>ROUND((O32*100)/(O32+P32),0)/100</f>
        <v>#DIV/0!</v>
      </c>
      <c r="R32" s="193">
        <f>Tabela27368101214161921232527[[#This Row],[Nº]]</f>
        <v>28</v>
      </c>
      <c r="S32" s="197"/>
      <c r="T32" s="188"/>
      <c r="U32" s="189" t="e">
        <f>ROUND((S32*100)/(S32+T32),0)/100</f>
        <v>#DIV/0!</v>
      </c>
      <c r="V32" s="190"/>
      <c r="W32" s="191"/>
      <c r="X32" s="205" t="e">
        <f>ROUND((V32*100)/(V32+W32),0)/100</f>
        <v>#DIV/0!</v>
      </c>
      <c r="Y32" s="193">
        <f>Tabela27368101214161921232527[[#This Row],[Nº]]</f>
        <v>28</v>
      </c>
      <c r="Z32" s="197"/>
      <c r="AA32" s="188"/>
      <c r="AB32" s="189" t="e">
        <f>ROUND((Z32*100)/(Z32+AA32),0)/100</f>
        <v>#DIV/0!</v>
      </c>
      <c r="AC32" s="190"/>
      <c r="AD32" s="191"/>
      <c r="AE32" s="192" t="e">
        <f>ROUND((AC32*100)/(AC32+AD32),0)/100</f>
        <v>#DIV/0!</v>
      </c>
    </row>
    <row r="33" spans="1:31" ht="15.75">
      <c r="A33" s="183">
        <v>29</v>
      </c>
      <c r="B33" s="184" t="str">
        <f>IF('5A-A'!B31&lt;&gt;0,'5A-A'!B31,"")</f>
        <v/>
      </c>
      <c r="C33" s="185" t="str">
        <f>IF('5A-A'!C31&lt;&gt;0,'5A-A'!C31,"")</f>
        <v/>
      </c>
      <c r="D33" s="186" t="str">
        <f>IF('5A-A'!D31&lt;&gt;0,'5A-A'!D31,"")</f>
        <v/>
      </c>
      <c r="E33" s="187"/>
      <c r="F33" s="188"/>
      <c r="G33" s="189" t="e">
        <f>ROUND((E33*100)/(E33+F33),0)/100</f>
        <v>#DIV/0!</v>
      </c>
      <c r="H33" s="190"/>
      <c r="I33" s="191"/>
      <c r="J33" s="205" t="e">
        <f>ROUND((H33*100)/(H33+I33),0)/100</f>
        <v>#DIV/0!</v>
      </c>
      <c r="K33" s="193">
        <f>Tabela27368101214161921232527[[#This Row],[Nº]]</f>
        <v>29</v>
      </c>
      <c r="L33" s="197"/>
      <c r="M33" s="188"/>
      <c r="N33" s="189" t="e">
        <f>ROUND((L33*100)/(L33+M33),0)/100</f>
        <v>#DIV/0!</v>
      </c>
      <c r="O33" s="190"/>
      <c r="P33" s="191"/>
      <c r="Q33" s="205" t="e">
        <f>ROUND((O33*100)/(O33+P33),0)/100</f>
        <v>#DIV/0!</v>
      </c>
      <c r="R33" s="193">
        <f>Tabela27368101214161921232527[[#This Row],[Nº]]</f>
        <v>29</v>
      </c>
      <c r="S33" s="197"/>
      <c r="T33" s="188"/>
      <c r="U33" s="189" t="e">
        <f>ROUND((S33*100)/(S33+T33),0)/100</f>
        <v>#DIV/0!</v>
      </c>
      <c r="V33" s="190"/>
      <c r="W33" s="191"/>
      <c r="X33" s="205" t="e">
        <f>ROUND((V33*100)/(V33+W33),0)/100</f>
        <v>#DIV/0!</v>
      </c>
      <c r="Y33" s="193">
        <f>Tabela27368101214161921232527[[#This Row],[Nº]]</f>
        <v>29</v>
      </c>
      <c r="Z33" s="197"/>
      <c r="AA33" s="188"/>
      <c r="AB33" s="189" t="e">
        <f>ROUND((Z33*100)/(Z33+AA33),0)/100</f>
        <v>#DIV/0!</v>
      </c>
      <c r="AC33" s="190"/>
      <c r="AD33" s="191"/>
      <c r="AE33" s="192" t="e">
        <f>ROUND((AC33*100)/(AC33+AD33),0)/100</f>
        <v>#DIV/0!</v>
      </c>
    </row>
    <row r="34" spans="1:31" ht="16.5" thickBot="1">
      <c r="A34" s="183">
        <v>30</v>
      </c>
      <c r="B34" s="184" t="str">
        <f>IF('5A-A'!B32&lt;&gt;0,'5A-A'!B32,"")</f>
        <v/>
      </c>
      <c r="C34" s="185" t="str">
        <f>IF('5A-A'!C32&lt;&gt;0,'5A-A'!C32,"")</f>
        <v/>
      </c>
      <c r="D34" s="186" t="str">
        <f>IF('5A-A'!D32&lt;&gt;0,'5A-A'!D32,"")</f>
        <v/>
      </c>
      <c r="E34" s="187"/>
      <c r="F34" s="188"/>
      <c r="G34" s="189" t="e">
        <f>ROUND((E34*100)/(E34+F34),0)/100</f>
        <v>#DIV/0!</v>
      </c>
      <c r="H34" s="206"/>
      <c r="I34" s="207"/>
      <c r="J34" s="208" t="e">
        <f>ROUND((H34*100)/(H34+I34),0)/100</f>
        <v>#DIV/0!</v>
      </c>
      <c r="K34" s="193">
        <f>Tabela27368101214161921232527[[#This Row],[Nº]]</f>
        <v>30</v>
      </c>
      <c r="L34" s="198"/>
      <c r="M34" s="199"/>
      <c r="N34" s="200" t="e">
        <f>ROUND((L34*100)/(L34+M34),0)/100</f>
        <v>#DIV/0!</v>
      </c>
      <c r="O34" s="206"/>
      <c r="P34" s="207"/>
      <c r="Q34" s="208" t="e">
        <f>ROUND((O34*100)/(O34+P34),0)/100</f>
        <v>#DIV/0!</v>
      </c>
      <c r="R34" s="193">
        <f>Tabela27368101214161921232527[[#This Row],[Nº]]</f>
        <v>30</v>
      </c>
      <c r="S34" s="198"/>
      <c r="T34" s="199"/>
      <c r="U34" s="200" t="e">
        <f>ROUND((S34*100)/(S34+T34),0)/100</f>
        <v>#DIV/0!</v>
      </c>
      <c r="V34" s="206"/>
      <c r="W34" s="207"/>
      <c r="X34" s="208" t="e">
        <f>ROUND((V34*100)/(V34+W34),0)/100</f>
        <v>#DIV/0!</v>
      </c>
      <c r="Y34" s="193">
        <f>Tabela27368101214161921232527[[#This Row],[Nº]]</f>
        <v>30</v>
      </c>
      <c r="Z34" s="198"/>
      <c r="AA34" s="199"/>
      <c r="AB34" s="200" t="e">
        <f>ROUND((Z34*100)/(Z34+AA34),0)/100</f>
        <v>#DIV/0!</v>
      </c>
      <c r="AC34" s="190"/>
      <c r="AD34" s="191"/>
      <c r="AE34" s="192" t="e">
        <f>ROUND((AC34*100)/(AC34+AD34),0)/100</f>
        <v>#DIV/0!</v>
      </c>
    </row>
  </sheetData>
  <sheetProtection algorithmName="SHA-512" hashValue="sYe1qtalEhOemitC6IFfSFHWw6mqI6ZSUpzyfW2nHPNF6nMPlJvm4T6UtFHkOIuzpm87ZqClQtMTVfGOOEDS9A==" saltValue="a2N7Ev0PPkTWV1VWB+cl5g==" spinCount="100000" sheet="1" objects="1" scenarios="1" selectLockedCells="1"/>
  <mergeCells count="12">
    <mergeCell ref="Z3:AB3"/>
    <mergeCell ref="AC3:AE3"/>
    <mergeCell ref="A1:D3"/>
    <mergeCell ref="E1:AE1"/>
    <mergeCell ref="E2:Q2"/>
    <mergeCell ref="S2:AE2"/>
    <mergeCell ref="E3:G3"/>
    <mergeCell ref="H3:J3"/>
    <mergeCell ref="L3:N3"/>
    <mergeCell ref="O3:Q3"/>
    <mergeCell ref="S3:U3"/>
    <mergeCell ref="V3:X3"/>
  </mergeCells>
  <conditionalFormatting sqref="A5:D34">
    <cfRule type="expression" dxfId="87" priority="11">
      <formula>ROW()=CELL("LIN")</formula>
    </cfRule>
    <cfRule type="expression" dxfId="86" priority="12">
      <formula>IF($D5&lt;&gt;"",1,0)</formula>
    </cfRule>
  </conditionalFormatting>
  <conditionalFormatting sqref="G5:G34">
    <cfRule type="iconSet" priority="8">
      <iconSet iconSet="3Symbols">
        <cfvo type="percent" val="0"/>
        <cfvo type="num" val="0.75"/>
        <cfvo type="num" val="0.8"/>
      </iconSet>
    </cfRule>
  </conditionalFormatting>
  <conditionalFormatting sqref="J5:J34">
    <cfRule type="iconSet" priority="7">
      <iconSet iconSet="3Symbols">
        <cfvo type="percent" val="0"/>
        <cfvo type="num" val="0.75"/>
        <cfvo type="num" val="0.8"/>
      </iconSet>
    </cfRule>
  </conditionalFormatting>
  <conditionalFormatting sqref="N5:N34">
    <cfRule type="iconSet" priority="6">
      <iconSet iconSet="3Symbols">
        <cfvo type="percent" val="0"/>
        <cfvo type="num" val="0.75"/>
        <cfvo type="num" val="0.8"/>
      </iconSet>
    </cfRule>
  </conditionalFormatting>
  <conditionalFormatting sqref="Q5:Q34">
    <cfRule type="iconSet" priority="5">
      <iconSet iconSet="3Symbols">
        <cfvo type="percent" val="0"/>
        <cfvo type="num" val="0.75"/>
        <cfvo type="num" val="0.8"/>
      </iconSet>
    </cfRule>
  </conditionalFormatting>
  <conditionalFormatting sqref="U5:U34">
    <cfRule type="iconSet" priority="4">
      <iconSet iconSet="3Symbols">
        <cfvo type="percent" val="0"/>
        <cfvo type="num" val="0.75"/>
        <cfvo type="num" val="0.8"/>
      </iconSet>
    </cfRule>
  </conditionalFormatting>
  <conditionalFormatting sqref="X5:X34">
    <cfRule type="iconSet" priority="3">
      <iconSet iconSet="3Symbols">
        <cfvo type="percent" val="0"/>
        <cfvo type="num" val="0.75"/>
        <cfvo type="num" val="0.8"/>
      </iconSet>
    </cfRule>
  </conditionalFormatting>
  <conditionalFormatting sqref="AB5:AB34">
    <cfRule type="iconSet" priority="2">
      <iconSet iconSet="3Symbols">
        <cfvo type="percent" val="0"/>
        <cfvo type="num" val="0.75"/>
        <cfvo type="num" val="0.8"/>
      </iconSet>
    </cfRule>
  </conditionalFormatting>
  <conditionalFormatting sqref="AE5:AE34">
    <cfRule type="iconSet" priority="1">
      <iconSet iconSet="3Symbols">
        <cfvo type="percent" val="0"/>
        <cfvo type="num" val="0.75"/>
        <cfvo type="num" val="0.8"/>
      </iconSet>
    </cfRule>
  </conditionalFormatting>
  <conditionalFormatting sqref="E5:AE34">
    <cfRule type="expression" dxfId="85" priority="9">
      <formula>ROW()=CELL("LIN")</formula>
    </cfRule>
    <cfRule type="expression" dxfId="84" priority="10">
      <formula>IF($D5&lt;&gt;"",1,0)</formula>
    </cfRule>
  </conditionalFormatting>
  <pageMargins left="0.511811024" right="0.511811024" top="0.78740157499999996" bottom="0.78740157499999996" header="0.31496062000000002" footer="0.31496062000000002"/>
  <pageSetup paperSize="9" scale="54" orientation="landscape" r:id="rId1"/>
  <colBreaks count="2" manualBreakCount="2">
    <brk id="10" max="1048575" man="1"/>
    <brk id="24" max="1048575" man="1"/>
  </colBreaks>
  <drawing r:id="rId2"/>
  <tableParts count="1">
    <tablePart r:id="rId3"/>
  </tablePart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EABA4-F5D9-407E-8EE0-1F9C69DC1ABB}">
  <sheetPr codeName="Plan29">
    <pageSetUpPr fitToPage="1"/>
  </sheetPr>
  <dimension ref="A1:K48"/>
  <sheetViews>
    <sheetView showGridLines="0" showRowColHeaders="0" view="pageBreakPreview" zoomScaleNormal="60" zoomScaleSheetLayoutView="100" zoomScalePageLayoutView="91" workbookViewId="0">
      <selection activeCell="B2" sqref="B2:K2"/>
    </sheetView>
  </sheetViews>
  <sheetFormatPr defaultColWidth="9.140625" defaultRowHeight="15"/>
  <cols>
    <col min="1" max="1" width="19.85546875" style="17" customWidth="1"/>
    <col min="2" max="16384" width="9.140625" style="17"/>
  </cols>
  <sheetData>
    <row r="1" spans="1:11" ht="15.75">
      <c r="A1" s="73" t="s">
        <v>69</v>
      </c>
      <c r="B1" s="92" t="str">
        <f>MENU!C2</f>
        <v>E.M.E.I.E.F. Ficticio</v>
      </c>
      <c r="C1" s="92"/>
      <c r="D1" s="92"/>
      <c r="E1" s="92"/>
      <c r="F1" s="92"/>
      <c r="G1" s="92"/>
      <c r="H1" s="92"/>
      <c r="I1" s="92"/>
      <c r="J1" s="92"/>
      <c r="K1" s="93"/>
    </row>
    <row r="2" spans="1:11" ht="15.75">
      <c r="A2" s="74" t="s">
        <v>71</v>
      </c>
      <c r="B2" s="156" t="s">
        <v>135</v>
      </c>
      <c r="C2" s="95"/>
      <c r="D2" s="95"/>
      <c r="E2" s="95"/>
      <c r="F2" s="95"/>
      <c r="G2" s="95"/>
      <c r="H2" s="95"/>
      <c r="I2" s="95"/>
      <c r="J2" s="95"/>
      <c r="K2" s="96"/>
    </row>
    <row r="3" spans="1:11" ht="15.75">
      <c r="A3" s="74" t="s">
        <v>70</v>
      </c>
      <c r="B3" s="94" t="s">
        <v>8</v>
      </c>
      <c r="C3" s="95"/>
      <c r="D3" s="95"/>
      <c r="E3" s="95"/>
      <c r="F3" s="95"/>
      <c r="G3" s="95"/>
      <c r="H3" s="95"/>
      <c r="I3" s="95"/>
      <c r="J3" s="95"/>
      <c r="K3" s="96"/>
    </row>
    <row r="4" spans="1:11" ht="15.75">
      <c r="A4" s="74" t="s">
        <v>5</v>
      </c>
      <c r="B4" s="94" t="s">
        <v>136</v>
      </c>
      <c r="C4" s="95"/>
      <c r="D4" s="95"/>
      <c r="E4" s="95"/>
      <c r="F4" s="95"/>
      <c r="G4" s="95"/>
      <c r="H4" s="95"/>
      <c r="I4" s="95"/>
      <c r="J4" s="95"/>
      <c r="K4" s="96"/>
    </row>
    <row r="5" spans="1:11" ht="15.75">
      <c r="A5" s="74" t="s">
        <v>73</v>
      </c>
      <c r="B5" s="95"/>
      <c r="C5" s="95"/>
      <c r="D5" s="95"/>
      <c r="E5" s="95"/>
      <c r="F5" s="95"/>
      <c r="G5" s="95"/>
      <c r="H5" s="95"/>
      <c r="I5" s="95"/>
      <c r="J5" s="95"/>
      <c r="K5" s="96"/>
    </row>
    <row r="6" spans="1:11" ht="15.75">
      <c r="A6" s="99" t="s">
        <v>74</v>
      </c>
      <c r="B6" s="100"/>
      <c r="C6" s="100"/>
      <c r="D6" s="95"/>
      <c r="E6" s="95"/>
      <c r="F6" s="95"/>
      <c r="G6" s="95"/>
      <c r="H6" s="95"/>
      <c r="I6" s="95"/>
      <c r="J6" s="95"/>
      <c r="K6" s="96"/>
    </row>
    <row r="7" spans="1:11" ht="16.5" thickBot="1">
      <c r="A7" s="75" t="s">
        <v>72</v>
      </c>
      <c r="B7" s="97">
        <f>MENU!D10</f>
        <v>2022</v>
      </c>
      <c r="C7" s="97"/>
      <c r="D7" s="97"/>
      <c r="E7" s="97"/>
      <c r="F7" s="97"/>
      <c r="G7" s="97"/>
      <c r="H7" s="97"/>
      <c r="I7" s="97"/>
      <c r="J7" s="97"/>
      <c r="K7" s="98"/>
    </row>
    <row r="8" spans="1:11" ht="15.75" thickBot="1"/>
    <row r="9" spans="1:11">
      <c r="A9" s="107" t="s">
        <v>77</v>
      </c>
      <c r="B9" s="108"/>
      <c r="C9" s="108"/>
      <c r="D9" s="108"/>
      <c r="E9" s="108"/>
      <c r="F9" s="108"/>
      <c r="G9" s="108"/>
      <c r="H9" s="108"/>
      <c r="I9" s="108"/>
      <c r="J9" s="108"/>
      <c r="K9" s="109"/>
    </row>
    <row r="10" spans="1:11" ht="15.75" thickBot="1">
      <c r="A10" s="110"/>
      <c r="B10" s="111"/>
      <c r="C10" s="111"/>
      <c r="D10" s="111"/>
      <c r="E10" s="111"/>
      <c r="F10" s="111"/>
      <c r="G10" s="111"/>
      <c r="H10" s="111"/>
      <c r="I10" s="111"/>
      <c r="J10" s="111"/>
      <c r="K10" s="112"/>
    </row>
    <row r="11" spans="1:11" ht="15.75">
      <c r="A11" s="79" t="s">
        <v>9</v>
      </c>
      <c r="B11" s="107" t="s">
        <v>78</v>
      </c>
      <c r="C11" s="108"/>
      <c r="D11" s="108"/>
      <c r="E11" s="109"/>
      <c r="F11" s="107" t="s">
        <v>79</v>
      </c>
      <c r="G11" s="109"/>
      <c r="H11" s="107" t="s">
        <v>80</v>
      </c>
      <c r="I11" s="109"/>
      <c r="J11" s="107" t="s">
        <v>99</v>
      </c>
      <c r="K11" s="109"/>
    </row>
    <row r="12" spans="1:11">
      <c r="A12" s="78">
        <f>IF('5A-B'!A3&lt;&gt;0,'5A-B'!A3,"")</f>
        <v>1</v>
      </c>
      <c r="B12" s="149" t="str">
        <f>IF('5A-B'!B3&lt;&gt;0,'5A-B'!B3,"")</f>
        <v/>
      </c>
      <c r="C12" s="150"/>
      <c r="D12" s="150"/>
      <c r="E12" s="151"/>
      <c r="F12" s="152" t="str">
        <f>IF('5A-B'!G3&lt;&gt;0,'5A-B'!G3,"")</f>
        <v/>
      </c>
      <c r="G12" s="153"/>
      <c r="H12" s="159" t="str">
        <f>IF('5A-B'!C3&lt;&gt;0,'5A-B'!C3,"")</f>
        <v/>
      </c>
      <c r="I12" s="160"/>
      <c r="J12" s="152" t="str">
        <f>IF('5A-B'!D3&lt;&gt;0,'5A-B'!D3,"")</f>
        <v/>
      </c>
      <c r="K12" s="155"/>
    </row>
    <row r="13" spans="1:11">
      <c r="A13" s="78">
        <f>IF('5A-B'!A4&lt;&gt;0,'5A-B'!A4,"")</f>
        <v>2</v>
      </c>
      <c r="B13" s="149" t="str">
        <f>IF('5A-B'!B4&lt;&gt;0,'5A-B'!B4,"")</f>
        <v/>
      </c>
      <c r="C13" s="150"/>
      <c r="D13" s="150"/>
      <c r="E13" s="151"/>
      <c r="F13" s="152" t="str">
        <f>IF('5A-B'!G4&lt;&gt;0,'5A-B'!G4,"")</f>
        <v/>
      </c>
      <c r="G13" s="153"/>
      <c r="H13" s="159" t="str">
        <f>IF('5A-B'!C4&lt;&gt;0,'5A-B'!C4,"")</f>
        <v/>
      </c>
      <c r="I13" s="160"/>
      <c r="J13" s="152" t="str">
        <f>IF('5A-B'!D4&lt;&gt;0,'5A-B'!D4,"")</f>
        <v/>
      </c>
      <c r="K13" s="155"/>
    </row>
    <row r="14" spans="1:11">
      <c r="A14" s="78">
        <f>IF('5A-B'!A5&lt;&gt;0,'5A-B'!A5,"")</f>
        <v>3</v>
      </c>
      <c r="B14" s="149" t="str">
        <f>IF('5A-B'!B5&lt;&gt;0,'5A-B'!B5,"")</f>
        <v/>
      </c>
      <c r="C14" s="150"/>
      <c r="D14" s="150"/>
      <c r="E14" s="151"/>
      <c r="F14" s="152" t="str">
        <f>IF('5A-B'!G5&lt;&gt;0,'5A-B'!G5,"")</f>
        <v/>
      </c>
      <c r="G14" s="153"/>
      <c r="H14" s="159" t="str">
        <f>IF('5A-B'!C5&lt;&gt;0,'5A-B'!C5,"")</f>
        <v/>
      </c>
      <c r="I14" s="160"/>
      <c r="J14" s="152" t="str">
        <f>IF('5A-B'!D5&lt;&gt;0,'5A-B'!D5,"")</f>
        <v/>
      </c>
      <c r="K14" s="155"/>
    </row>
    <row r="15" spans="1:11">
      <c r="A15" s="78">
        <f>IF('5A-B'!A6&lt;&gt;0,'5A-B'!A6,"")</f>
        <v>4</v>
      </c>
      <c r="B15" s="149" t="str">
        <f>IF('5A-B'!B6&lt;&gt;0,'5A-B'!B6,"")</f>
        <v/>
      </c>
      <c r="C15" s="150"/>
      <c r="D15" s="150"/>
      <c r="E15" s="151"/>
      <c r="F15" s="152" t="str">
        <f>IF('5A-B'!G6&lt;&gt;0,'5A-B'!G6,"")</f>
        <v/>
      </c>
      <c r="G15" s="153"/>
      <c r="H15" s="159" t="str">
        <f>IF('5A-B'!C6&lt;&gt;0,'5A-B'!C6,"")</f>
        <v/>
      </c>
      <c r="I15" s="160"/>
      <c r="J15" s="152" t="str">
        <f>IF('5A-B'!D6&lt;&gt;0,'5A-B'!D6,"")</f>
        <v/>
      </c>
      <c r="K15" s="155"/>
    </row>
    <row r="16" spans="1:11">
      <c r="A16" s="78">
        <f>IF('5A-B'!A7&lt;&gt;0,'5A-B'!A7,"")</f>
        <v>5</v>
      </c>
      <c r="B16" s="149" t="str">
        <f>IF('5A-B'!B7&lt;&gt;0,'5A-B'!B7,"")</f>
        <v/>
      </c>
      <c r="C16" s="150"/>
      <c r="D16" s="150"/>
      <c r="E16" s="151"/>
      <c r="F16" s="152" t="str">
        <f>IF('5A-B'!G7&lt;&gt;0,'5A-B'!G7,"")</f>
        <v/>
      </c>
      <c r="G16" s="153"/>
      <c r="H16" s="159" t="str">
        <f>IF('5A-B'!C7&lt;&gt;0,'5A-B'!C7,"")</f>
        <v/>
      </c>
      <c r="I16" s="160"/>
      <c r="J16" s="152" t="str">
        <f>IF('5A-B'!D7&lt;&gt;0,'5A-B'!D7,"")</f>
        <v/>
      </c>
      <c r="K16" s="155"/>
    </row>
    <row r="17" spans="1:11">
      <c r="A17" s="78">
        <f>IF('5A-B'!A8&lt;&gt;0,'5A-B'!A8,"")</f>
        <v>6</v>
      </c>
      <c r="B17" s="149" t="str">
        <f>IF('5A-B'!B8&lt;&gt;0,'5A-B'!B8,"")</f>
        <v/>
      </c>
      <c r="C17" s="150"/>
      <c r="D17" s="150"/>
      <c r="E17" s="151"/>
      <c r="F17" s="152" t="str">
        <f>IF('5A-B'!G8&lt;&gt;0,'5A-B'!G8,"")</f>
        <v/>
      </c>
      <c r="G17" s="153"/>
      <c r="H17" s="159" t="str">
        <f>IF('5A-B'!C8&lt;&gt;0,'5A-B'!C8,"")</f>
        <v/>
      </c>
      <c r="I17" s="160"/>
      <c r="J17" s="152" t="str">
        <f>IF('5A-B'!D8&lt;&gt;0,'5A-B'!D8,"")</f>
        <v/>
      </c>
      <c r="K17" s="155"/>
    </row>
    <row r="18" spans="1:11">
      <c r="A18" s="78">
        <f>IF('5A-B'!A9&lt;&gt;0,'5A-B'!A9,"")</f>
        <v>7</v>
      </c>
      <c r="B18" s="149" t="str">
        <f>IF('5A-B'!B9&lt;&gt;0,'5A-B'!B9,"")</f>
        <v/>
      </c>
      <c r="C18" s="150"/>
      <c r="D18" s="150"/>
      <c r="E18" s="151"/>
      <c r="F18" s="152" t="str">
        <f>IF('5A-B'!G9&lt;&gt;0,'5A-B'!G9,"")</f>
        <v/>
      </c>
      <c r="G18" s="153"/>
      <c r="H18" s="159" t="str">
        <f>IF('5A-B'!C9&lt;&gt;0,'5A-B'!C9,"")</f>
        <v/>
      </c>
      <c r="I18" s="160"/>
      <c r="J18" s="152" t="str">
        <f>IF('5A-B'!D9&lt;&gt;0,'5A-B'!D9,"")</f>
        <v/>
      </c>
      <c r="K18" s="155"/>
    </row>
    <row r="19" spans="1:11">
      <c r="A19" s="78">
        <f>IF('5A-B'!A10&lt;&gt;0,'5A-B'!A10,"")</f>
        <v>8</v>
      </c>
      <c r="B19" s="149" t="str">
        <f>IF('5A-B'!B10&lt;&gt;0,'5A-B'!B10,"")</f>
        <v/>
      </c>
      <c r="C19" s="150"/>
      <c r="D19" s="150"/>
      <c r="E19" s="151"/>
      <c r="F19" s="152" t="str">
        <f>IF('5A-B'!G10&lt;&gt;0,'5A-B'!G10,"")</f>
        <v/>
      </c>
      <c r="G19" s="153"/>
      <c r="H19" s="159" t="str">
        <f>IF('5A-B'!C10&lt;&gt;0,'5A-B'!C10,"")</f>
        <v/>
      </c>
      <c r="I19" s="160"/>
      <c r="J19" s="152" t="str">
        <f>IF('5A-B'!D10&lt;&gt;0,'5A-B'!D10,"")</f>
        <v/>
      </c>
      <c r="K19" s="155"/>
    </row>
    <row r="20" spans="1:11">
      <c r="A20" s="78">
        <f>IF('5A-B'!A11&lt;&gt;0,'5A-B'!A11,"")</f>
        <v>9</v>
      </c>
      <c r="B20" s="149" t="str">
        <f>IF('5A-B'!B11&lt;&gt;0,'5A-B'!B11,"")</f>
        <v/>
      </c>
      <c r="C20" s="150"/>
      <c r="D20" s="150"/>
      <c r="E20" s="151"/>
      <c r="F20" s="152" t="str">
        <f>IF('5A-B'!G11&lt;&gt;0,'5A-B'!G11,"")</f>
        <v/>
      </c>
      <c r="G20" s="153"/>
      <c r="H20" s="159" t="str">
        <f>IF('5A-B'!C11&lt;&gt;0,'5A-B'!C11,"")</f>
        <v/>
      </c>
      <c r="I20" s="160"/>
      <c r="J20" s="152" t="str">
        <f>IF('5A-B'!D11&lt;&gt;0,'5A-B'!D11,"")</f>
        <v/>
      </c>
      <c r="K20" s="155"/>
    </row>
    <row r="21" spans="1:11">
      <c r="A21" s="78">
        <f>IF('5A-B'!A12&lt;&gt;0,'5A-B'!A12,"")</f>
        <v>10</v>
      </c>
      <c r="B21" s="149" t="str">
        <f>IF('5A-B'!B12&lt;&gt;0,'5A-B'!B12,"")</f>
        <v/>
      </c>
      <c r="C21" s="150"/>
      <c r="D21" s="150"/>
      <c r="E21" s="151"/>
      <c r="F21" s="152" t="str">
        <f>IF('5A-B'!G12&lt;&gt;0,'5A-B'!G12,"")</f>
        <v/>
      </c>
      <c r="G21" s="153"/>
      <c r="H21" s="159" t="str">
        <f>IF('5A-B'!C12&lt;&gt;0,'5A-B'!C12,"")</f>
        <v/>
      </c>
      <c r="I21" s="160"/>
      <c r="J21" s="152" t="str">
        <f>IF('5A-B'!D12&lt;&gt;0,'5A-B'!D12,"")</f>
        <v/>
      </c>
      <c r="K21" s="155"/>
    </row>
    <row r="22" spans="1:11">
      <c r="A22" s="78">
        <f>IF('5A-B'!A13&lt;&gt;0,'5A-B'!A13,"")</f>
        <v>11</v>
      </c>
      <c r="B22" s="149" t="str">
        <f>IF('5A-B'!B13&lt;&gt;0,'5A-B'!B13,"")</f>
        <v/>
      </c>
      <c r="C22" s="150"/>
      <c r="D22" s="150"/>
      <c r="E22" s="151"/>
      <c r="F22" s="152" t="str">
        <f>IF('5A-B'!G13&lt;&gt;0,'5A-B'!G13,"")</f>
        <v/>
      </c>
      <c r="G22" s="153"/>
      <c r="H22" s="159" t="str">
        <f>IF('5A-B'!C13&lt;&gt;0,'5A-B'!C13,"")</f>
        <v/>
      </c>
      <c r="I22" s="160"/>
      <c r="J22" s="152" t="str">
        <f>IF('5A-B'!D13&lt;&gt;0,'5A-B'!D13,"")</f>
        <v/>
      </c>
      <c r="K22" s="155"/>
    </row>
    <row r="23" spans="1:11">
      <c r="A23" s="78">
        <f>IF('5A-B'!A14&lt;&gt;0,'5A-B'!A14,"")</f>
        <v>12</v>
      </c>
      <c r="B23" s="149" t="str">
        <f>IF('5A-B'!B14&lt;&gt;0,'5A-B'!B14,"")</f>
        <v/>
      </c>
      <c r="C23" s="150"/>
      <c r="D23" s="150"/>
      <c r="E23" s="151"/>
      <c r="F23" s="152" t="str">
        <f>IF('5A-B'!G14&lt;&gt;0,'5A-B'!G14,"")</f>
        <v/>
      </c>
      <c r="G23" s="153"/>
      <c r="H23" s="159" t="str">
        <f>IF('5A-B'!C14&lt;&gt;0,'5A-B'!C14,"")</f>
        <v/>
      </c>
      <c r="I23" s="160"/>
      <c r="J23" s="152" t="str">
        <f>IF('5A-B'!D14&lt;&gt;0,'5A-B'!D14,"")</f>
        <v/>
      </c>
      <c r="K23" s="155"/>
    </row>
    <row r="24" spans="1:11">
      <c r="A24" s="78">
        <f>IF('5A-B'!A15&lt;&gt;0,'5A-B'!A15,"")</f>
        <v>13</v>
      </c>
      <c r="B24" s="149" t="str">
        <f>IF('5A-B'!B15&lt;&gt;0,'5A-B'!B15,"")</f>
        <v/>
      </c>
      <c r="C24" s="150"/>
      <c r="D24" s="150"/>
      <c r="E24" s="151"/>
      <c r="F24" s="152" t="str">
        <f>IF('5A-B'!G15&lt;&gt;0,'5A-B'!G15,"")</f>
        <v/>
      </c>
      <c r="G24" s="153"/>
      <c r="H24" s="159" t="str">
        <f>IF('5A-B'!C15&lt;&gt;0,'5A-B'!C15,"")</f>
        <v/>
      </c>
      <c r="I24" s="160"/>
      <c r="J24" s="152" t="str">
        <f>IF('5A-B'!D15&lt;&gt;0,'5A-B'!D15,"")</f>
        <v/>
      </c>
      <c r="K24" s="155"/>
    </row>
    <row r="25" spans="1:11">
      <c r="A25" s="78">
        <f>IF('5A-B'!A16&lt;&gt;0,'5A-B'!A16,"")</f>
        <v>14</v>
      </c>
      <c r="B25" s="149" t="str">
        <f>IF('5A-B'!B16&lt;&gt;0,'5A-B'!B16,"")</f>
        <v/>
      </c>
      <c r="C25" s="150"/>
      <c r="D25" s="150"/>
      <c r="E25" s="151"/>
      <c r="F25" s="152" t="str">
        <f>IF('5A-B'!G16&lt;&gt;0,'5A-B'!G16,"")</f>
        <v/>
      </c>
      <c r="G25" s="153"/>
      <c r="H25" s="159" t="str">
        <f>IF('5A-B'!C16&lt;&gt;0,'5A-B'!C16,"")</f>
        <v/>
      </c>
      <c r="I25" s="160"/>
      <c r="J25" s="152" t="str">
        <f>IF('5A-B'!D16&lt;&gt;0,'5A-B'!D16,"")</f>
        <v/>
      </c>
      <c r="K25" s="155"/>
    </row>
    <row r="26" spans="1:11">
      <c r="A26" s="78">
        <f>IF('5A-B'!A17&lt;&gt;0,'5A-B'!A17,"")</f>
        <v>15</v>
      </c>
      <c r="B26" s="149" t="str">
        <f>IF('5A-B'!B17&lt;&gt;0,'5A-B'!B17,"")</f>
        <v/>
      </c>
      <c r="C26" s="150"/>
      <c r="D26" s="150"/>
      <c r="E26" s="151"/>
      <c r="F26" s="152" t="str">
        <f>IF('5A-B'!G17&lt;&gt;0,'5A-B'!G17,"")</f>
        <v/>
      </c>
      <c r="G26" s="153"/>
      <c r="H26" s="159" t="str">
        <f>IF('5A-B'!C17&lt;&gt;0,'5A-B'!C17,"")</f>
        <v/>
      </c>
      <c r="I26" s="160"/>
      <c r="J26" s="152" t="str">
        <f>IF('5A-B'!D17&lt;&gt;0,'5A-B'!D17,"")</f>
        <v/>
      </c>
      <c r="K26" s="155"/>
    </row>
    <row r="27" spans="1:11">
      <c r="A27" s="78">
        <f>IF('5A-B'!A18&lt;&gt;0,'5A-B'!A18,"")</f>
        <v>16</v>
      </c>
      <c r="B27" s="149" t="str">
        <f>IF('5A-B'!B18&lt;&gt;0,'5A-B'!B18,"")</f>
        <v/>
      </c>
      <c r="C27" s="150"/>
      <c r="D27" s="150"/>
      <c r="E27" s="151"/>
      <c r="F27" s="152" t="str">
        <f>IF('5A-B'!G18&lt;&gt;0,'5A-B'!G18,"")</f>
        <v/>
      </c>
      <c r="G27" s="153"/>
      <c r="H27" s="159" t="str">
        <f>IF('5A-B'!C18&lt;&gt;0,'5A-B'!C18,"")</f>
        <v/>
      </c>
      <c r="I27" s="160"/>
      <c r="J27" s="152" t="str">
        <f>IF('5A-B'!D18&lt;&gt;0,'5A-B'!D18,"")</f>
        <v/>
      </c>
      <c r="K27" s="155"/>
    </row>
    <row r="28" spans="1:11">
      <c r="A28" s="78">
        <f>IF('5A-B'!A19&lt;&gt;0,'5A-B'!A19,"")</f>
        <v>17</v>
      </c>
      <c r="B28" s="149" t="str">
        <f>IF('5A-B'!B19&lt;&gt;0,'5A-B'!B19,"")</f>
        <v/>
      </c>
      <c r="C28" s="150"/>
      <c r="D28" s="150"/>
      <c r="E28" s="151"/>
      <c r="F28" s="152" t="str">
        <f>IF('5A-B'!G19&lt;&gt;0,'5A-B'!G19,"")</f>
        <v/>
      </c>
      <c r="G28" s="153"/>
      <c r="H28" s="159" t="str">
        <f>IF('5A-B'!C19&lt;&gt;0,'5A-B'!C19,"")</f>
        <v/>
      </c>
      <c r="I28" s="160"/>
      <c r="J28" s="152" t="str">
        <f>IF('5A-B'!D19&lt;&gt;0,'5A-B'!D19,"")</f>
        <v/>
      </c>
      <c r="K28" s="155"/>
    </row>
    <row r="29" spans="1:11">
      <c r="A29" s="78">
        <f>IF('5A-B'!A20&lt;&gt;0,'5A-B'!A20,"")</f>
        <v>18</v>
      </c>
      <c r="B29" s="149" t="str">
        <f>IF('5A-B'!B20&lt;&gt;0,'5A-B'!B20,"")</f>
        <v/>
      </c>
      <c r="C29" s="150"/>
      <c r="D29" s="150"/>
      <c r="E29" s="151"/>
      <c r="F29" s="152" t="str">
        <f>IF('5A-B'!G20&lt;&gt;0,'5A-B'!G20,"")</f>
        <v/>
      </c>
      <c r="G29" s="153"/>
      <c r="H29" s="159" t="str">
        <f>IF('5A-B'!C20&lt;&gt;0,'5A-B'!C20,"")</f>
        <v/>
      </c>
      <c r="I29" s="160"/>
      <c r="J29" s="152" t="str">
        <f>IF('5A-B'!D20&lt;&gt;0,'5A-B'!D20,"")</f>
        <v/>
      </c>
      <c r="K29" s="155"/>
    </row>
    <row r="30" spans="1:11">
      <c r="A30" s="78">
        <f>IF('5A-B'!A21&lt;&gt;0,'5A-B'!A21,"")</f>
        <v>19</v>
      </c>
      <c r="B30" s="149" t="str">
        <f>IF('5A-B'!B21&lt;&gt;0,'5A-B'!B21,"")</f>
        <v/>
      </c>
      <c r="C30" s="150"/>
      <c r="D30" s="150"/>
      <c r="E30" s="151"/>
      <c r="F30" s="152" t="str">
        <f>IF('5A-B'!G21&lt;&gt;0,'5A-B'!G21,"")</f>
        <v/>
      </c>
      <c r="G30" s="153"/>
      <c r="H30" s="159" t="str">
        <f>IF('5A-B'!C21&lt;&gt;0,'5A-B'!C21,"")</f>
        <v/>
      </c>
      <c r="I30" s="160"/>
      <c r="J30" s="152" t="str">
        <f>IF('5A-B'!D21&lt;&gt;0,'5A-B'!D21,"")</f>
        <v/>
      </c>
      <c r="K30" s="155"/>
    </row>
    <row r="31" spans="1:11">
      <c r="A31" s="78">
        <f>IF('5A-B'!A22&lt;&gt;0,'5A-B'!A22,"")</f>
        <v>20</v>
      </c>
      <c r="B31" s="149" t="str">
        <f>IF('5A-B'!B22&lt;&gt;0,'5A-B'!B22,"")</f>
        <v/>
      </c>
      <c r="C31" s="150"/>
      <c r="D31" s="150"/>
      <c r="E31" s="151"/>
      <c r="F31" s="152" t="str">
        <f>IF('5A-B'!G22&lt;&gt;0,'5A-B'!G22,"")</f>
        <v/>
      </c>
      <c r="G31" s="153"/>
      <c r="H31" s="159" t="str">
        <f>IF('5A-B'!C22&lt;&gt;0,'5A-B'!C22,"")</f>
        <v/>
      </c>
      <c r="I31" s="160"/>
      <c r="J31" s="152" t="str">
        <f>IF('5A-B'!D22&lt;&gt;0,'5A-B'!D22,"")</f>
        <v/>
      </c>
      <c r="K31" s="155"/>
    </row>
    <row r="32" spans="1:11">
      <c r="A32" s="78">
        <f>IF('5A-B'!A23&lt;&gt;0,'5A-B'!A23,"")</f>
        <v>21</v>
      </c>
      <c r="B32" s="149" t="str">
        <f>IF('5A-B'!B23&lt;&gt;0,'5A-B'!B23,"")</f>
        <v/>
      </c>
      <c r="C32" s="150"/>
      <c r="D32" s="150"/>
      <c r="E32" s="151"/>
      <c r="F32" s="152" t="str">
        <f>IF('5A-B'!G23&lt;&gt;0,'5A-B'!G23,"")</f>
        <v/>
      </c>
      <c r="G32" s="153"/>
      <c r="H32" s="159" t="str">
        <f>IF('5A-B'!C23&lt;&gt;0,'5A-B'!C23,"")</f>
        <v/>
      </c>
      <c r="I32" s="160"/>
      <c r="J32" s="152" t="str">
        <f>IF('5A-B'!D23&lt;&gt;0,'5A-B'!D23,"")</f>
        <v/>
      </c>
      <c r="K32" s="155"/>
    </row>
    <row r="33" spans="1:11">
      <c r="A33" s="78">
        <f>IF('5A-B'!A24&lt;&gt;0,'5A-B'!A24,"")</f>
        <v>22</v>
      </c>
      <c r="B33" s="149" t="str">
        <f>IF('5A-B'!B24&lt;&gt;0,'5A-B'!B24,"")</f>
        <v/>
      </c>
      <c r="C33" s="150"/>
      <c r="D33" s="150"/>
      <c r="E33" s="151"/>
      <c r="F33" s="152" t="str">
        <f>IF('5A-B'!G24&lt;&gt;0,'5A-B'!G24,"")</f>
        <v/>
      </c>
      <c r="G33" s="153"/>
      <c r="H33" s="159" t="str">
        <f>IF('5A-B'!C24&lt;&gt;0,'5A-B'!C24,"")</f>
        <v/>
      </c>
      <c r="I33" s="160"/>
      <c r="J33" s="152" t="str">
        <f>IF('5A-B'!D24&lt;&gt;0,'5A-B'!D24,"")</f>
        <v/>
      </c>
      <c r="K33" s="155"/>
    </row>
    <row r="34" spans="1:11">
      <c r="A34" s="78">
        <f>IF('5A-B'!A25&lt;&gt;0,'5A-B'!A25,"")</f>
        <v>23</v>
      </c>
      <c r="B34" s="149" t="str">
        <f>IF('5A-B'!B25&lt;&gt;0,'5A-B'!B25,"")</f>
        <v/>
      </c>
      <c r="C34" s="150"/>
      <c r="D34" s="150"/>
      <c r="E34" s="151"/>
      <c r="F34" s="152" t="str">
        <f>IF('5A-B'!G25&lt;&gt;0,'5A-B'!G25,"")</f>
        <v/>
      </c>
      <c r="G34" s="153"/>
      <c r="H34" s="159" t="str">
        <f>IF('5A-B'!C25&lt;&gt;0,'5A-B'!C25,"")</f>
        <v/>
      </c>
      <c r="I34" s="160"/>
      <c r="J34" s="152" t="str">
        <f>IF('5A-B'!D25&lt;&gt;0,'5A-B'!D25,"")</f>
        <v/>
      </c>
      <c r="K34" s="155"/>
    </row>
    <row r="35" spans="1:11">
      <c r="A35" s="78">
        <f>IF('5A-B'!A26&lt;&gt;0,'5A-B'!A26,"")</f>
        <v>24</v>
      </c>
      <c r="B35" s="149" t="str">
        <f>IF('5A-B'!B26&lt;&gt;0,'5A-B'!B26,"")</f>
        <v/>
      </c>
      <c r="C35" s="150"/>
      <c r="D35" s="150"/>
      <c r="E35" s="151"/>
      <c r="F35" s="152" t="str">
        <f>IF('5A-B'!G26&lt;&gt;0,'5A-B'!G26,"")</f>
        <v/>
      </c>
      <c r="G35" s="153"/>
      <c r="H35" s="159" t="str">
        <f>IF('5A-B'!C26&lt;&gt;0,'5A-B'!C26,"")</f>
        <v/>
      </c>
      <c r="I35" s="160"/>
      <c r="J35" s="152" t="str">
        <f>IF('5A-B'!D26&lt;&gt;0,'5A-B'!D26,"")</f>
        <v/>
      </c>
      <c r="K35" s="155"/>
    </row>
    <row r="36" spans="1:11">
      <c r="A36" s="78">
        <f>IF('5A-B'!A27&lt;&gt;0,'5A-B'!A27,"")</f>
        <v>25</v>
      </c>
      <c r="B36" s="149" t="str">
        <f>IF('5A-B'!B27&lt;&gt;0,'5A-B'!B27,"")</f>
        <v/>
      </c>
      <c r="C36" s="150"/>
      <c r="D36" s="150"/>
      <c r="E36" s="151"/>
      <c r="F36" s="152" t="str">
        <f>IF('5A-B'!G27&lt;&gt;0,'5A-B'!G27,"")</f>
        <v/>
      </c>
      <c r="G36" s="153"/>
      <c r="H36" s="159" t="str">
        <f>IF('5A-B'!C27&lt;&gt;0,'5A-B'!C27,"")</f>
        <v/>
      </c>
      <c r="I36" s="160"/>
      <c r="J36" s="152" t="str">
        <f>IF('5A-B'!D27&lt;&gt;0,'5A-B'!D27,"")</f>
        <v/>
      </c>
      <c r="K36" s="155"/>
    </row>
    <row r="37" spans="1:11">
      <c r="A37" s="78">
        <f>IF('5A-B'!A28&lt;&gt;0,'5A-B'!A28,"")</f>
        <v>26</v>
      </c>
      <c r="B37" s="149" t="str">
        <f>IF('5A-B'!B28&lt;&gt;0,'5A-B'!B28,"")</f>
        <v/>
      </c>
      <c r="C37" s="150"/>
      <c r="D37" s="150"/>
      <c r="E37" s="151"/>
      <c r="F37" s="152" t="str">
        <f>IF('5A-B'!G28&lt;&gt;0,'5A-B'!G28,"")</f>
        <v/>
      </c>
      <c r="G37" s="153"/>
      <c r="H37" s="159" t="str">
        <f>IF('5A-B'!C28&lt;&gt;0,'5A-B'!C28,"")</f>
        <v/>
      </c>
      <c r="I37" s="160"/>
      <c r="J37" s="152" t="str">
        <f>IF('5A-B'!D28&lt;&gt;0,'5A-B'!D28,"")</f>
        <v/>
      </c>
      <c r="K37" s="155"/>
    </row>
    <row r="38" spans="1:11">
      <c r="A38" s="78">
        <f>IF('5A-B'!A29&lt;&gt;0,'5A-B'!A29,"")</f>
        <v>27</v>
      </c>
      <c r="B38" s="149" t="str">
        <f>IF('5A-B'!B29&lt;&gt;0,'5A-B'!B29,"")</f>
        <v/>
      </c>
      <c r="C38" s="150"/>
      <c r="D38" s="150"/>
      <c r="E38" s="151"/>
      <c r="F38" s="152" t="str">
        <f>IF('5A-B'!G29&lt;&gt;0,'5A-B'!G29,"")</f>
        <v/>
      </c>
      <c r="G38" s="153"/>
      <c r="H38" s="159" t="str">
        <f>IF('5A-B'!C29&lt;&gt;0,'5A-B'!C29,"")</f>
        <v/>
      </c>
      <c r="I38" s="160"/>
      <c r="J38" s="152" t="str">
        <f>IF('5A-B'!D29&lt;&gt;0,'5A-B'!D29,"")</f>
        <v/>
      </c>
      <c r="K38" s="155"/>
    </row>
    <row r="39" spans="1:11">
      <c r="A39" s="78">
        <f>IF('5A-B'!A30&lt;&gt;0,'5A-B'!A30,"")</f>
        <v>28</v>
      </c>
      <c r="B39" s="149" t="str">
        <f>IF('5A-B'!B30&lt;&gt;0,'5A-B'!B30,"")</f>
        <v/>
      </c>
      <c r="C39" s="150"/>
      <c r="D39" s="150"/>
      <c r="E39" s="151"/>
      <c r="F39" s="152" t="str">
        <f>IF('5A-B'!G30&lt;&gt;0,'5A-B'!G30,"")</f>
        <v/>
      </c>
      <c r="G39" s="153"/>
      <c r="H39" s="159" t="str">
        <f>IF('5A-B'!C30&lt;&gt;0,'5A-B'!C30,"")</f>
        <v/>
      </c>
      <c r="I39" s="160"/>
      <c r="J39" s="152" t="str">
        <f>IF('5A-B'!D30&lt;&gt;0,'5A-B'!D30,"")</f>
        <v/>
      </c>
      <c r="K39" s="155"/>
    </row>
    <row r="40" spans="1:11">
      <c r="A40" s="78">
        <f>IF('5A-B'!A31&lt;&gt;0,'5A-B'!A31,"")</f>
        <v>29</v>
      </c>
      <c r="B40" s="149" t="str">
        <f>IF('5A-B'!B31&lt;&gt;0,'5A-B'!B31,"")</f>
        <v/>
      </c>
      <c r="C40" s="150"/>
      <c r="D40" s="150"/>
      <c r="E40" s="151"/>
      <c r="F40" s="152" t="str">
        <f>IF('5A-B'!G31&lt;&gt;0,'5A-B'!G31,"")</f>
        <v/>
      </c>
      <c r="G40" s="153"/>
      <c r="H40" s="159" t="str">
        <f>IF('5A-B'!C31&lt;&gt;0,'5A-B'!C31,"")</f>
        <v/>
      </c>
      <c r="I40" s="160"/>
      <c r="J40" s="152" t="str">
        <f>IF('5A-B'!D31&lt;&gt;0,'5A-B'!D31,"")</f>
        <v/>
      </c>
      <c r="K40" s="155"/>
    </row>
    <row r="41" spans="1:11" ht="15.75" thickBot="1">
      <c r="A41" s="80">
        <f>IF('5A-B'!A32&lt;&gt;0,'5A-B'!A32,"")</f>
        <v>30</v>
      </c>
      <c r="B41" s="142" t="str">
        <f>IF('5A-B'!B32&lt;&gt;0,'5A-B'!B32,"")</f>
        <v/>
      </c>
      <c r="C41" s="143"/>
      <c r="D41" s="143"/>
      <c r="E41" s="144"/>
      <c r="F41" s="145" t="str">
        <f>IF('5A-B'!G32&lt;&gt;0,'5A-B'!G32,"")</f>
        <v/>
      </c>
      <c r="G41" s="146"/>
      <c r="H41" s="157" t="str">
        <f>IF('5A-B'!C32&lt;&gt;0,'5A-B'!C32,"")</f>
        <v/>
      </c>
      <c r="I41" s="158"/>
      <c r="J41" s="145" t="str">
        <f>IF('5A-B'!D32&lt;&gt;0,'5A-B'!D32,"")</f>
        <v/>
      </c>
      <c r="K41" s="148"/>
    </row>
    <row r="43" spans="1:11" ht="15.75">
      <c r="A43" s="119" t="s">
        <v>81</v>
      </c>
      <c r="B43" s="119"/>
      <c r="C43" s="119"/>
      <c r="D43" s="119"/>
      <c r="E43" s="120">
        <f>'5A-B'!U4</f>
        <v>0</v>
      </c>
      <c r="F43" s="120"/>
    </row>
    <row r="44" spans="1:11">
      <c r="A44" s="66" t="s">
        <v>133</v>
      </c>
      <c r="E44" s="122">
        <f ca="1">'5A-B'!Q3</f>
        <v>0</v>
      </c>
      <c r="F44" s="122"/>
    </row>
    <row r="45" spans="1:11">
      <c r="A45" s="66" t="s">
        <v>134</v>
      </c>
      <c r="E45" s="122">
        <f ca="1">'5A-B'!R3</f>
        <v>0</v>
      </c>
      <c r="F45" s="122"/>
    </row>
    <row r="48" spans="1:11">
      <c r="A48" s="66" t="s">
        <v>84</v>
      </c>
      <c r="C48" s="121">
        <f ca="1">TODAY()</f>
        <v>44871</v>
      </c>
      <c r="D48" s="122"/>
      <c r="E48" s="122"/>
    </row>
  </sheetData>
  <sheetProtection algorithmName="SHA-512" hashValue="XHYD+mGXccOBiKsDiM43gSAr/pBnfbt0XgM8wtzO5EHNU2ek15bV6AZiMzaGi1AJNb4MipO2dLeTVzQb892mAA==" saltValue="+tQoaHGI47+EEIkeUbyQKg==" spinCount="100000" sheet="1" objects="1" scenarios="1" selectLockedCells="1"/>
  <mergeCells count="138">
    <mergeCell ref="A43:D43"/>
    <mergeCell ref="E43:F43"/>
    <mergeCell ref="E44:F44"/>
    <mergeCell ref="E45:F45"/>
    <mergeCell ref="C48:E48"/>
    <mergeCell ref="B40:E40"/>
    <mergeCell ref="F40:G40"/>
    <mergeCell ref="H40:I40"/>
    <mergeCell ref="J40:K40"/>
    <mergeCell ref="B41:E41"/>
    <mergeCell ref="F41:G41"/>
    <mergeCell ref="H41:I41"/>
    <mergeCell ref="J41:K41"/>
    <mergeCell ref="B38:E38"/>
    <mergeCell ref="F38:G38"/>
    <mergeCell ref="H38:I38"/>
    <mergeCell ref="J38:K38"/>
    <mergeCell ref="B39:E39"/>
    <mergeCell ref="F39:G39"/>
    <mergeCell ref="H39:I39"/>
    <mergeCell ref="J39:K39"/>
    <mergeCell ref="B36:E36"/>
    <mergeCell ref="F36:G36"/>
    <mergeCell ref="H36:I36"/>
    <mergeCell ref="J36:K36"/>
    <mergeCell ref="B37:E37"/>
    <mergeCell ref="F37:G37"/>
    <mergeCell ref="H37:I37"/>
    <mergeCell ref="J37:K37"/>
    <mergeCell ref="B34:E34"/>
    <mergeCell ref="F34:G34"/>
    <mergeCell ref="H34:I34"/>
    <mergeCell ref="J34:K34"/>
    <mergeCell ref="B35:E35"/>
    <mergeCell ref="F35:G35"/>
    <mergeCell ref="H35:I35"/>
    <mergeCell ref="J35:K35"/>
    <mergeCell ref="B32:E32"/>
    <mergeCell ref="F32:G32"/>
    <mergeCell ref="H32:I32"/>
    <mergeCell ref="J32:K32"/>
    <mergeCell ref="B33:E33"/>
    <mergeCell ref="F33:G33"/>
    <mergeCell ref="H33:I33"/>
    <mergeCell ref="J33:K33"/>
    <mergeCell ref="B30:E30"/>
    <mergeCell ref="F30:G30"/>
    <mergeCell ref="H30:I30"/>
    <mergeCell ref="J30:K30"/>
    <mergeCell ref="B31:E31"/>
    <mergeCell ref="F31:G31"/>
    <mergeCell ref="H31:I31"/>
    <mergeCell ref="J31:K31"/>
    <mergeCell ref="B28:E28"/>
    <mergeCell ref="F28:G28"/>
    <mergeCell ref="H28:I28"/>
    <mergeCell ref="J28:K28"/>
    <mergeCell ref="B29:E29"/>
    <mergeCell ref="F29:G29"/>
    <mergeCell ref="H29:I29"/>
    <mergeCell ref="J29:K29"/>
    <mergeCell ref="B26:E26"/>
    <mergeCell ref="F26:G26"/>
    <mergeCell ref="H26:I26"/>
    <mergeCell ref="J26:K26"/>
    <mergeCell ref="B27:E27"/>
    <mergeCell ref="F27:G27"/>
    <mergeCell ref="H27:I27"/>
    <mergeCell ref="J27:K27"/>
    <mergeCell ref="B24:E24"/>
    <mergeCell ref="F24:G24"/>
    <mergeCell ref="H24:I24"/>
    <mergeCell ref="J24:K24"/>
    <mergeCell ref="B25:E25"/>
    <mergeCell ref="F25:G25"/>
    <mergeCell ref="H25:I25"/>
    <mergeCell ref="J25:K25"/>
    <mergeCell ref="B22:E22"/>
    <mergeCell ref="F22:G22"/>
    <mergeCell ref="H22:I22"/>
    <mergeCell ref="J22:K22"/>
    <mergeCell ref="B23:E23"/>
    <mergeCell ref="F23:G23"/>
    <mergeCell ref="H23:I23"/>
    <mergeCell ref="J23:K23"/>
    <mergeCell ref="B20:E20"/>
    <mergeCell ref="F20:G20"/>
    <mergeCell ref="H20:I20"/>
    <mergeCell ref="J20:K20"/>
    <mergeCell ref="B21:E21"/>
    <mergeCell ref="F21:G21"/>
    <mergeCell ref="H21:I21"/>
    <mergeCell ref="J21:K21"/>
    <mergeCell ref="B18:E18"/>
    <mergeCell ref="F18:G18"/>
    <mergeCell ref="H18:I18"/>
    <mergeCell ref="J18:K18"/>
    <mergeCell ref="B19:E19"/>
    <mergeCell ref="F19:G19"/>
    <mergeCell ref="H19:I19"/>
    <mergeCell ref="J19:K19"/>
    <mergeCell ref="B16:E16"/>
    <mergeCell ref="F16:G16"/>
    <mergeCell ref="H16:I16"/>
    <mergeCell ref="J16:K16"/>
    <mergeCell ref="B17:E17"/>
    <mergeCell ref="F17:G17"/>
    <mergeCell ref="H17:I17"/>
    <mergeCell ref="J17:K17"/>
    <mergeCell ref="B14:E14"/>
    <mergeCell ref="F14:G14"/>
    <mergeCell ref="H14:I14"/>
    <mergeCell ref="J14:K14"/>
    <mergeCell ref="B15:E15"/>
    <mergeCell ref="F15:G15"/>
    <mergeCell ref="H15:I15"/>
    <mergeCell ref="J15:K15"/>
    <mergeCell ref="B12:E12"/>
    <mergeCell ref="F12:G12"/>
    <mergeCell ref="H12:I12"/>
    <mergeCell ref="J12:K12"/>
    <mergeCell ref="B13:E13"/>
    <mergeCell ref="F13:G13"/>
    <mergeCell ref="H13:I13"/>
    <mergeCell ref="J13:K13"/>
    <mergeCell ref="B7:K7"/>
    <mergeCell ref="A9:K10"/>
    <mergeCell ref="B11:E11"/>
    <mergeCell ref="F11:G11"/>
    <mergeCell ref="H11:I11"/>
    <mergeCell ref="J11:K11"/>
    <mergeCell ref="B1:K1"/>
    <mergeCell ref="B2:K2"/>
    <mergeCell ref="B3:K3"/>
    <mergeCell ref="B4:K4"/>
    <mergeCell ref="B5:K5"/>
    <mergeCell ref="A6:C6"/>
    <mergeCell ref="D6:K6"/>
  </mergeCells>
  <conditionalFormatting sqref="A12:K41">
    <cfRule type="expression" dxfId="51" priority="1">
      <formula>IF($J12&lt;&gt;"",1,0)</formula>
    </cfRule>
  </conditionalFormatting>
  <conditionalFormatting sqref="B2:B5 D6">
    <cfRule type="expression" dxfId="50" priority="2">
      <formula>ROW()=CELL("LIN")</formula>
    </cfRule>
  </conditionalFormatting>
  <pageMargins left="0.39370078740157483" right="0.3543307086614173" top="1.1417322834645669" bottom="0.39370078740157483" header="0.31496062992125984" footer="0.31496062992125984"/>
  <pageSetup paperSize="9" scale="96" fitToHeight="0" orientation="portrait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2F9A8-441F-43B0-BB6B-6EAFC63F0683}">
  <sheetPr codeName="Plan30">
    <pageSetUpPr fitToPage="1"/>
  </sheetPr>
  <dimension ref="A1:U32"/>
  <sheetViews>
    <sheetView showGridLines="0" showRowColHeaders="0" view="pageBreakPreview" zoomScale="60" zoomScaleNormal="60" zoomScalePageLayoutView="40" workbookViewId="0">
      <pane ySplit="1" topLeftCell="A2" activePane="bottomLeft" state="frozen"/>
      <selection pane="bottomLeft" activeCell="B3" sqref="B3"/>
    </sheetView>
  </sheetViews>
  <sheetFormatPr defaultColWidth="9.140625" defaultRowHeight="15"/>
  <cols>
    <col min="1" max="1" width="8.5703125" style="17" customWidth="1"/>
    <col min="2" max="2" width="42" style="17" customWidth="1"/>
    <col min="3" max="3" width="17" style="18" bestFit="1" customWidth="1"/>
    <col min="4" max="4" width="23.85546875" style="19" customWidth="1"/>
    <col min="5" max="5" width="28.5703125" style="17" customWidth="1"/>
    <col min="6" max="6" width="30.5703125" style="27" bestFit="1" customWidth="1"/>
    <col min="7" max="7" width="25.7109375" style="27" customWidth="1"/>
    <col min="8" max="8" width="21.140625" style="17" customWidth="1"/>
    <col min="9" max="9" width="17.5703125" style="17" customWidth="1"/>
    <col min="10" max="10" width="44.42578125" style="17" customWidth="1"/>
    <col min="11" max="11" width="9.7109375" style="17" customWidth="1"/>
    <col min="12" max="12" width="9.28515625" style="17" customWidth="1"/>
    <col min="13" max="13" width="9.140625" style="17"/>
    <col min="14" max="14" width="16.140625" style="17" customWidth="1"/>
    <col min="15" max="15" width="12.7109375" style="17" customWidth="1"/>
    <col min="16" max="16384" width="9.140625" style="17"/>
  </cols>
  <sheetData>
    <row r="1" spans="1:21" ht="75" customHeight="1"/>
    <row r="2" spans="1:21" ht="60">
      <c r="A2" s="20" t="s">
        <v>9</v>
      </c>
      <c r="B2" s="21" t="s">
        <v>10</v>
      </c>
      <c r="C2" s="22" t="s">
        <v>13</v>
      </c>
      <c r="D2" s="23" t="s">
        <v>16</v>
      </c>
      <c r="E2" s="22" t="s">
        <v>11</v>
      </c>
      <c r="F2" s="22" t="s">
        <v>12</v>
      </c>
      <c r="G2" s="22" t="s">
        <v>14</v>
      </c>
      <c r="H2" s="22" t="s">
        <v>15</v>
      </c>
      <c r="I2" s="22" t="s">
        <v>17</v>
      </c>
      <c r="J2" s="21" t="s">
        <v>18</v>
      </c>
      <c r="K2" s="26" t="s">
        <v>19</v>
      </c>
      <c r="L2" s="67"/>
      <c r="M2" s="68"/>
      <c r="N2" s="68"/>
      <c r="O2" s="68"/>
      <c r="P2" s="69" t="s">
        <v>0</v>
      </c>
      <c r="Q2" s="70" t="s">
        <v>22</v>
      </c>
      <c r="R2" s="70" t="s">
        <v>23</v>
      </c>
      <c r="S2" s="71" t="s">
        <v>3</v>
      </c>
      <c r="T2" s="70" t="s">
        <v>4</v>
      </c>
      <c r="U2" s="68"/>
    </row>
    <row r="3" spans="1:21">
      <c r="A3" s="81">
        <v>1</v>
      </c>
      <c r="B3" s="44"/>
      <c r="C3" s="45"/>
      <c r="D3" s="47"/>
      <c r="E3" s="46">
        <v>0</v>
      </c>
      <c r="F3" s="51"/>
      <c r="G3" s="52"/>
      <c r="H3" s="52"/>
      <c r="I3" s="47"/>
      <c r="J3" s="44"/>
      <c r="K3" s="24">
        <f t="shared" ref="K3:K27" ca="1" si="0">QUOTIENT(IF(DATEDIF(C3,TODAY(),"y")&gt;90,0,DATEDIF(C3,TODAY(),"m")),12)</f>
        <v>0</v>
      </c>
      <c r="L3" s="68">
        <f t="shared" ref="L3:L32" ca="1" si="1">IF($K3=0,0,IF($K3&lt;($P$3),1,0))</f>
        <v>0</v>
      </c>
      <c r="M3" s="68">
        <f t="shared" ref="M3:M32" ca="1" si="2">IF($K3&gt;($P$3),1,0)</f>
        <v>0</v>
      </c>
      <c r="N3" s="68" t="b">
        <f ca="1">IF(IF(DATEDIF(C3,TODAY(),"y")&gt;90,0,DATEDIF(C3,TODAY(),"m"))&gt;0,CONCATENATE(QUOTIENT(IF(DATEDIF(C3,TODAY(),"y")&gt;90,0,DATEDIF(C3,TODAY(),"m")),12)," anos e ",MOD(IF(DATEDIF(C3,TODAY(),"y")&gt;90,0,DATEDIF(C3,TODAY(),"m")),12)," mês"))</f>
        <v>0</v>
      </c>
      <c r="O3" s="68" t="str">
        <f ca="1">IF(C3="","",DATEDIF($C3,TODAY(),"m"))</f>
        <v/>
      </c>
      <c r="P3" s="68">
        <v>10</v>
      </c>
      <c r="Q3" s="68">
        <f ca="1">SUM(L3:L32)</f>
        <v>0</v>
      </c>
      <c r="R3" s="68">
        <f ca="1">SUM(M3:M32)</f>
        <v>0</v>
      </c>
      <c r="S3" s="71" t="s">
        <v>7</v>
      </c>
      <c r="T3" s="68">
        <f>($P$3*12)</f>
        <v>120</v>
      </c>
      <c r="U3" s="68"/>
    </row>
    <row r="4" spans="1:21" ht="15.75">
      <c r="A4" s="81">
        <v>2</v>
      </c>
      <c r="B4" s="44"/>
      <c r="C4" s="45"/>
      <c r="D4" s="47"/>
      <c r="E4" s="46">
        <v>0</v>
      </c>
      <c r="F4" s="51"/>
      <c r="G4" s="52"/>
      <c r="H4" s="52"/>
      <c r="I4" s="47"/>
      <c r="J4" s="44"/>
      <c r="K4" s="24">
        <f t="shared" ca="1" si="0"/>
        <v>0</v>
      </c>
      <c r="L4" s="68">
        <f t="shared" ca="1" si="1"/>
        <v>0</v>
      </c>
      <c r="M4" s="68">
        <f t="shared" ca="1" si="2"/>
        <v>0</v>
      </c>
      <c r="N4" s="68" t="b">
        <f t="shared" ref="N4:N32" ca="1" si="3">IF(IF(DATEDIF(C4,TODAY(),"y")&gt;90,0,DATEDIF(C4,TODAY(),"m"))&gt;0,CONCATENATE(QUOTIENT(IF(DATEDIF(C4,TODAY(),"y")&gt;90,0,DATEDIF(C4,TODAY(),"m")),12)," anos e ",MOD(IF(DATEDIF(C4,TODAY(),"y")&gt;90,0,DATEDIF(C4,TODAY(),"m")),12)," mês"))</f>
        <v>0</v>
      </c>
      <c r="O4" s="68" t="str">
        <f ca="1">IF(C4="","",DATEDIF($C4,TODAY(),"m"))</f>
        <v/>
      </c>
      <c r="P4" s="123" t="s">
        <v>6</v>
      </c>
      <c r="Q4" s="123"/>
      <c r="R4" s="123"/>
      <c r="S4" s="123"/>
      <c r="T4" s="123"/>
      <c r="U4" s="182">
        <f>COUNTA(B3:B32)-COUNTA(D3:D32)</f>
        <v>0</v>
      </c>
    </row>
    <row r="5" spans="1:21">
      <c r="A5" s="81">
        <v>3</v>
      </c>
      <c r="B5" s="44"/>
      <c r="C5" s="45"/>
      <c r="D5" s="47"/>
      <c r="E5" s="46">
        <v>0</v>
      </c>
      <c r="F5" s="51"/>
      <c r="G5" s="52"/>
      <c r="H5" s="52"/>
      <c r="I5" s="47"/>
      <c r="J5" s="44"/>
      <c r="K5" s="24">
        <f t="shared" ca="1" si="0"/>
        <v>0</v>
      </c>
      <c r="L5" s="68">
        <f t="shared" ca="1" si="1"/>
        <v>0</v>
      </c>
      <c r="M5" s="68">
        <f t="shared" ca="1" si="2"/>
        <v>0</v>
      </c>
      <c r="N5" s="68" t="b">
        <f t="shared" ca="1" si="3"/>
        <v>0</v>
      </c>
      <c r="O5" s="68" t="str">
        <f ca="1">IF(C5="","",DATEDIF($C5,TODAY(),"m"))</f>
        <v/>
      </c>
      <c r="P5" s="68"/>
      <c r="Q5" s="68"/>
      <c r="R5" s="68"/>
      <c r="S5" s="68"/>
      <c r="T5" s="68"/>
      <c r="U5" s="68"/>
    </row>
    <row r="6" spans="1:21">
      <c r="A6" s="81">
        <v>4</v>
      </c>
      <c r="B6" s="44"/>
      <c r="C6" s="45"/>
      <c r="D6" s="47"/>
      <c r="E6" s="46">
        <v>0</v>
      </c>
      <c r="F6" s="51"/>
      <c r="G6" s="52"/>
      <c r="H6" s="52"/>
      <c r="I6" s="47"/>
      <c r="J6" s="44"/>
      <c r="K6" s="24">
        <f t="shared" ca="1" si="0"/>
        <v>0</v>
      </c>
      <c r="L6" s="68">
        <f t="shared" ca="1" si="1"/>
        <v>0</v>
      </c>
      <c r="M6" s="68">
        <f t="shared" ca="1" si="2"/>
        <v>0</v>
      </c>
      <c r="N6" s="68" t="b">
        <f t="shared" ca="1" si="3"/>
        <v>0</v>
      </c>
      <c r="O6" s="68" t="str">
        <f t="shared" ref="O6:O26" ca="1" si="4">IF(C5="","",DATEDIF($C5,TODAY(),"m"))</f>
        <v/>
      </c>
      <c r="P6" s="68"/>
      <c r="Q6" s="68"/>
      <c r="R6" s="68"/>
      <c r="S6" s="68"/>
      <c r="T6" s="68"/>
      <c r="U6" s="68"/>
    </row>
    <row r="7" spans="1:21">
      <c r="A7" s="81">
        <v>5</v>
      </c>
      <c r="B7" s="44"/>
      <c r="C7" s="45"/>
      <c r="D7" s="47"/>
      <c r="E7" s="46">
        <v>0</v>
      </c>
      <c r="F7" s="51"/>
      <c r="G7" s="52"/>
      <c r="H7" s="52"/>
      <c r="I7" s="47"/>
      <c r="J7" s="44"/>
      <c r="K7" s="24">
        <f t="shared" ca="1" si="0"/>
        <v>0</v>
      </c>
      <c r="L7" s="68">
        <f t="shared" ca="1" si="1"/>
        <v>0</v>
      </c>
      <c r="M7" s="68">
        <f t="shared" ca="1" si="2"/>
        <v>0</v>
      </c>
      <c r="N7" s="68" t="b">
        <f t="shared" ca="1" si="3"/>
        <v>0</v>
      </c>
      <c r="O7" s="68" t="str">
        <f t="shared" ca="1" si="4"/>
        <v/>
      </c>
      <c r="P7" s="68"/>
      <c r="Q7" s="68"/>
      <c r="R7" s="68"/>
      <c r="S7" s="68"/>
      <c r="T7" s="68"/>
      <c r="U7" s="68"/>
    </row>
    <row r="8" spans="1:21">
      <c r="A8" s="81">
        <v>6</v>
      </c>
      <c r="B8" s="44"/>
      <c r="C8" s="45"/>
      <c r="D8" s="47"/>
      <c r="E8" s="46">
        <v>0</v>
      </c>
      <c r="F8" s="51"/>
      <c r="G8" s="52"/>
      <c r="H8" s="52"/>
      <c r="I8" s="47"/>
      <c r="J8" s="44"/>
      <c r="K8" s="24">
        <f t="shared" ca="1" si="0"/>
        <v>0</v>
      </c>
      <c r="L8" s="68">
        <f t="shared" ca="1" si="1"/>
        <v>0</v>
      </c>
      <c r="M8" s="68">
        <f t="shared" ca="1" si="2"/>
        <v>0</v>
      </c>
      <c r="N8" s="68" t="b">
        <f t="shared" ca="1" si="3"/>
        <v>0</v>
      </c>
      <c r="O8" s="68" t="str">
        <f t="shared" ca="1" si="4"/>
        <v/>
      </c>
      <c r="P8" s="68"/>
      <c r="Q8" s="68"/>
      <c r="R8" s="68"/>
      <c r="S8" s="68"/>
      <c r="T8" s="68"/>
      <c r="U8" s="68"/>
    </row>
    <row r="9" spans="1:21">
      <c r="A9" s="81">
        <v>7</v>
      </c>
      <c r="B9" s="44"/>
      <c r="C9" s="45"/>
      <c r="D9" s="47"/>
      <c r="E9" s="46">
        <v>0</v>
      </c>
      <c r="F9" s="51"/>
      <c r="G9" s="52"/>
      <c r="H9" s="52"/>
      <c r="I9" s="47"/>
      <c r="J9" s="44"/>
      <c r="K9" s="24">
        <f t="shared" ca="1" si="0"/>
        <v>0</v>
      </c>
      <c r="L9" s="68">
        <f t="shared" ca="1" si="1"/>
        <v>0</v>
      </c>
      <c r="M9" s="68">
        <f t="shared" ca="1" si="2"/>
        <v>0</v>
      </c>
      <c r="N9" s="68" t="b">
        <f t="shared" ca="1" si="3"/>
        <v>0</v>
      </c>
      <c r="O9" s="68" t="str">
        <f t="shared" ca="1" si="4"/>
        <v/>
      </c>
      <c r="P9" s="68"/>
      <c r="Q9" s="68"/>
      <c r="R9" s="68"/>
      <c r="S9" s="68"/>
      <c r="T9" s="68"/>
      <c r="U9" s="68"/>
    </row>
    <row r="10" spans="1:21">
      <c r="A10" s="81">
        <v>8</v>
      </c>
      <c r="B10" s="44"/>
      <c r="C10" s="45"/>
      <c r="D10" s="47"/>
      <c r="E10" s="46">
        <v>0</v>
      </c>
      <c r="F10" s="51"/>
      <c r="G10" s="52"/>
      <c r="H10" s="52"/>
      <c r="I10" s="47"/>
      <c r="J10" s="44"/>
      <c r="K10" s="24">
        <f t="shared" ca="1" si="0"/>
        <v>0</v>
      </c>
      <c r="L10" s="68">
        <f t="shared" ca="1" si="1"/>
        <v>0</v>
      </c>
      <c r="M10" s="68">
        <f t="shared" ca="1" si="2"/>
        <v>0</v>
      </c>
      <c r="N10" s="68" t="b">
        <f t="shared" ca="1" si="3"/>
        <v>0</v>
      </c>
      <c r="O10" s="68" t="str">
        <f t="shared" ca="1" si="4"/>
        <v/>
      </c>
      <c r="P10" s="68"/>
      <c r="Q10" s="68"/>
      <c r="R10" s="68"/>
      <c r="S10" s="68"/>
      <c r="T10" s="68"/>
      <c r="U10" s="68"/>
    </row>
    <row r="11" spans="1:21">
      <c r="A11" s="81">
        <v>9</v>
      </c>
      <c r="B11" s="44"/>
      <c r="C11" s="45"/>
      <c r="D11" s="47"/>
      <c r="E11" s="46">
        <v>0</v>
      </c>
      <c r="F11" s="51"/>
      <c r="G11" s="52"/>
      <c r="H11" s="52"/>
      <c r="I11" s="47"/>
      <c r="J11" s="44"/>
      <c r="K11" s="24">
        <f t="shared" ca="1" si="0"/>
        <v>0</v>
      </c>
      <c r="L11" s="68">
        <f t="shared" ca="1" si="1"/>
        <v>0</v>
      </c>
      <c r="M11" s="68">
        <f t="shared" ca="1" si="2"/>
        <v>0</v>
      </c>
      <c r="N11" s="68" t="b">
        <f t="shared" ca="1" si="3"/>
        <v>0</v>
      </c>
      <c r="O11" s="68" t="str">
        <f t="shared" ca="1" si="4"/>
        <v/>
      </c>
      <c r="P11" s="68"/>
      <c r="Q11" s="68"/>
      <c r="R11" s="68"/>
      <c r="S11" s="68"/>
      <c r="T11" s="68"/>
      <c r="U11" s="68"/>
    </row>
    <row r="12" spans="1:21">
      <c r="A12" s="81">
        <v>10</v>
      </c>
      <c r="B12" s="44"/>
      <c r="C12" s="45"/>
      <c r="D12" s="47"/>
      <c r="E12" s="46">
        <v>0</v>
      </c>
      <c r="F12" s="51"/>
      <c r="G12" s="52"/>
      <c r="H12" s="52"/>
      <c r="I12" s="47"/>
      <c r="J12" s="44"/>
      <c r="K12" s="24">
        <f t="shared" ca="1" si="0"/>
        <v>0</v>
      </c>
      <c r="L12" s="68">
        <f t="shared" ca="1" si="1"/>
        <v>0</v>
      </c>
      <c r="M12" s="68">
        <f t="shared" ca="1" si="2"/>
        <v>0</v>
      </c>
      <c r="N12" s="68" t="b">
        <f t="shared" ca="1" si="3"/>
        <v>0</v>
      </c>
      <c r="O12" s="68" t="str">
        <f t="shared" ca="1" si="4"/>
        <v/>
      </c>
      <c r="P12" s="68"/>
      <c r="Q12" s="68"/>
      <c r="R12" s="68"/>
      <c r="S12" s="68"/>
      <c r="T12" s="68"/>
      <c r="U12" s="68"/>
    </row>
    <row r="13" spans="1:21">
      <c r="A13" s="81">
        <v>11</v>
      </c>
      <c r="B13" s="44"/>
      <c r="C13" s="45"/>
      <c r="D13" s="47"/>
      <c r="E13" s="46">
        <v>0</v>
      </c>
      <c r="F13" s="51"/>
      <c r="G13" s="52"/>
      <c r="H13" s="52"/>
      <c r="I13" s="47"/>
      <c r="J13" s="44"/>
      <c r="K13" s="24">
        <f t="shared" ca="1" si="0"/>
        <v>0</v>
      </c>
      <c r="L13" s="68">
        <f t="shared" ca="1" si="1"/>
        <v>0</v>
      </c>
      <c r="M13" s="68">
        <f t="shared" ca="1" si="2"/>
        <v>0</v>
      </c>
      <c r="N13" s="68" t="b">
        <f t="shared" ca="1" si="3"/>
        <v>0</v>
      </c>
      <c r="O13" s="68" t="str">
        <f t="shared" ca="1" si="4"/>
        <v/>
      </c>
      <c r="P13" s="68"/>
      <c r="Q13" s="68"/>
      <c r="R13" s="68"/>
      <c r="S13" s="68"/>
      <c r="T13" s="68"/>
      <c r="U13" s="68"/>
    </row>
    <row r="14" spans="1:21">
      <c r="A14" s="81">
        <v>12</v>
      </c>
      <c r="B14" s="44"/>
      <c r="C14" s="45"/>
      <c r="D14" s="47"/>
      <c r="E14" s="46">
        <v>0</v>
      </c>
      <c r="F14" s="51"/>
      <c r="G14" s="52"/>
      <c r="H14" s="52"/>
      <c r="I14" s="47"/>
      <c r="J14" s="44"/>
      <c r="K14" s="24">
        <f t="shared" ca="1" si="0"/>
        <v>0</v>
      </c>
      <c r="L14" s="68">
        <f t="shared" ca="1" si="1"/>
        <v>0</v>
      </c>
      <c r="M14" s="68">
        <f t="shared" ca="1" si="2"/>
        <v>0</v>
      </c>
      <c r="N14" s="68" t="b">
        <f t="shared" ca="1" si="3"/>
        <v>0</v>
      </c>
      <c r="O14" s="68" t="str">
        <f t="shared" ca="1" si="4"/>
        <v/>
      </c>
      <c r="P14" s="68"/>
      <c r="Q14" s="68"/>
      <c r="R14" s="68"/>
      <c r="S14" s="68"/>
      <c r="T14" s="68"/>
      <c r="U14" s="68"/>
    </row>
    <row r="15" spans="1:21">
      <c r="A15" s="81">
        <v>13</v>
      </c>
      <c r="B15" s="44"/>
      <c r="C15" s="45"/>
      <c r="D15" s="47"/>
      <c r="E15" s="46">
        <v>0</v>
      </c>
      <c r="F15" s="51"/>
      <c r="G15" s="52"/>
      <c r="H15" s="52"/>
      <c r="I15" s="47"/>
      <c r="J15" s="44"/>
      <c r="K15" s="24">
        <f t="shared" ca="1" si="0"/>
        <v>0</v>
      </c>
      <c r="L15" s="68">
        <f t="shared" ca="1" si="1"/>
        <v>0</v>
      </c>
      <c r="M15" s="68">
        <f t="shared" ca="1" si="2"/>
        <v>0</v>
      </c>
      <c r="N15" s="68" t="b">
        <f t="shared" ca="1" si="3"/>
        <v>0</v>
      </c>
      <c r="O15" s="68" t="str">
        <f t="shared" ca="1" si="4"/>
        <v/>
      </c>
      <c r="P15" s="68"/>
      <c r="Q15" s="68"/>
      <c r="R15" s="68"/>
      <c r="S15" s="68"/>
      <c r="T15" s="68"/>
      <c r="U15" s="68"/>
    </row>
    <row r="16" spans="1:21">
      <c r="A16" s="81">
        <v>14</v>
      </c>
      <c r="B16" s="44"/>
      <c r="C16" s="45"/>
      <c r="D16" s="47"/>
      <c r="E16" s="46">
        <v>0</v>
      </c>
      <c r="F16" s="51"/>
      <c r="G16" s="52"/>
      <c r="H16" s="52"/>
      <c r="I16" s="47"/>
      <c r="J16" s="44"/>
      <c r="K16" s="24">
        <f t="shared" ca="1" si="0"/>
        <v>0</v>
      </c>
      <c r="L16" s="68">
        <f t="shared" ca="1" si="1"/>
        <v>0</v>
      </c>
      <c r="M16" s="68">
        <f t="shared" ca="1" si="2"/>
        <v>0</v>
      </c>
      <c r="N16" s="68" t="b">
        <f t="shared" ca="1" si="3"/>
        <v>0</v>
      </c>
      <c r="O16" s="68" t="str">
        <f t="shared" ca="1" si="4"/>
        <v/>
      </c>
      <c r="P16" s="68"/>
      <c r="Q16" s="68"/>
      <c r="R16" s="68"/>
      <c r="S16" s="68"/>
      <c r="T16" s="68"/>
      <c r="U16" s="68"/>
    </row>
    <row r="17" spans="1:21">
      <c r="A17" s="81">
        <v>15</v>
      </c>
      <c r="B17" s="44"/>
      <c r="C17" s="45"/>
      <c r="D17" s="47"/>
      <c r="E17" s="46">
        <v>0</v>
      </c>
      <c r="F17" s="51"/>
      <c r="G17" s="52"/>
      <c r="H17" s="52"/>
      <c r="I17" s="53"/>
      <c r="J17" s="44"/>
      <c r="K17" s="24">
        <f t="shared" ca="1" si="0"/>
        <v>0</v>
      </c>
      <c r="L17" s="68">
        <f t="shared" ca="1" si="1"/>
        <v>0</v>
      </c>
      <c r="M17" s="68">
        <f t="shared" ca="1" si="2"/>
        <v>0</v>
      </c>
      <c r="N17" s="68" t="b">
        <f t="shared" ca="1" si="3"/>
        <v>0</v>
      </c>
      <c r="O17" s="68" t="str">
        <f t="shared" ca="1" si="4"/>
        <v/>
      </c>
      <c r="P17" s="68"/>
      <c r="Q17" s="68"/>
      <c r="R17" s="68"/>
      <c r="S17" s="68"/>
      <c r="T17" s="68"/>
      <c r="U17" s="68"/>
    </row>
    <row r="18" spans="1:21">
      <c r="A18" s="81">
        <v>16</v>
      </c>
      <c r="B18" s="44"/>
      <c r="C18" s="45"/>
      <c r="D18" s="47"/>
      <c r="E18" s="46">
        <v>0</v>
      </c>
      <c r="F18" s="51"/>
      <c r="G18" s="52"/>
      <c r="H18" s="52"/>
      <c r="I18" s="47"/>
      <c r="J18" s="44"/>
      <c r="K18" s="24">
        <f t="shared" ca="1" si="0"/>
        <v>0</v>
      </c>
      <c r="L18" s="68">
        <f t="shared" ca="1" si="1"/>
        <v>0</v>
      </c>
      <c r="M18" s="68">
        <f t="shared" ca="1" si="2"/>
        <v>0</v>
      </c>
      <c r="N18" s="68" t="b">
        <f t="shared" ca="1" si="3"/>
        <v>0</v>
      </c>
      <c r="O18" s="68" t="str">
        <f t="shared" ca="1" si="4"/>
        <v/>
      </c>
      <c r="P18" s="68"/>
      <c r="Q18" s="68"/>
      <c r="R18" s="68"/>
      <c r="S18" s="68"/>
      <c r="T18" s="68"/>
      <c r="U18" s="68"/>
    </row>
    <row r="19" spans="1:21">
      <c r="A19" s="81">
        <v>17</v>
      </c>
      <c r="B19" s="44"/>
      <c r="C19" s="45"/>
      <c r="D19" s="47"/>
      <c r="E19" s="46">
        <v>0</v>
      </c>
      <c r="F19" s="51"/>
      <c r="G19" s="52"/>
      <c r="H19" s="52"/>
      <c r="I19" s="53"/>
      <c r="J19" s="44"/>
      <c r="K19" s="24">
        <f t="shared" ca="1" si="0"/>
        <v>0</v>
      </c>
      <c r="L19" s="68">
        <f t="shared" ca="1" si="1"/>
        <v>0</v>
      </c>
      <c r="M19" s="68">
        <f t="shared" ca="1" si="2"/>
        <v>0</v>
      </c>
      <c r="N19" s="68" t="b">
        <f t="shared" ca="1" si="3"/>
        <v>0</v>
      </c>
      <c r="O19" s="68" t="str">
        <f t="shared" ca="1" si="4"/>
        <v/>
      </c>
      <c r="P19" s="68"/>
      <c r="Q19" s="68"/>
      <c r="R19" s="68"/>
      <c r="S19" s="68"/>
      <c r="T19" s="68"/>
      <c r="U19" s="68"/>
    </row>
    <row r="20" spans="1:21">
      <c r="A20" s="81">
        <v>18</v>
      </c>
      <c r="B20" s="44"/>
      <c r="C20" s="45"/>
      <c r="D20" s="47"/>
      <c r="E20" s="46">
        <v>0</v>
      </c>
      <c r="F20" s="51"/>
      <c r="G20" s="52"/>
      <c r="H20" s="52"/>
      <c r="I20" s="47"/>
      <c r="J20" s="44"/>
      <c r="K20" s="24">
        <f t="shared" ca="1" si="0"/>
        <v>0</v>
      </c>
      <c r="L20" s="68">
        <f t="shared" ca="1" si="1"/>
        <v>0</v>
      </c>
      <c r="M20" s="68">
        <f t="shared" ca="1" si="2"/>
        <v>0</v>
      </c>
      <c r="N20" s="68" t="b">
        <f t="shared" ca="1" si="3"/>
        <v>0</v>
      </c>
      <c r="O20" s="68" t="str">
        <f t="shared" ca="1" si="4"/>
        <v/>
      </c>
      <c r="P20" s="68"/>
      <c r="Q20" s="68"/>
      <c r="R20" s="68"/>
      <c r="S20" s="68"/>
      <c r="T20" s="68"/>
      <c r="U20" s="68"/>
    </row>
    <row r="21" spans="1:21">
      <c r="A21" s="81">
        <v>19</v>
      </c>
      <c r="B21" s="44"/>
      <c r="C21" s="45"/>
      <c r="D21" s="47"/>
      <c r="E21" s="46">
        <v>0</v>
      </c>
      <c r="F21" s="51"/>
      <c r="G21" s="52"/>
      <c r="H21" s="52"/>
      <c r="I21" s="47"/>
      <c r="J21" s="44"/>
      <c r="K21" s="24">
        <f t="shared" ca="1" si="0"/>
        <v>0</v>
      </c>
      <c r="L21" s="68">
        <f t="shared" ca="1" si="1"/>
        <v>0</v>
      </c>
      <c r="M21" s="68">
        <f t="shared" ca="1" si="2"/>
        <v>0</v>
      </c>
      <c r="N21" s="68" t="b">
        <f t="shared" ca="1" si="3"/>
        <v>0</v>
      </c>
      <c r="O21" s="68" t="str">
        <f t="shared" ca="1" si="4"/>
        <v/>
      </c>
      <c r="P21" s="68"/>
      <c r="Q21" s="68"/>
      <c r="R21" s="68"/>
      <c r="S21" s="68"/>
      <c r="T21" s="68"/>
      <c r="U21" s="68"/>
    </row>
    <row r="22" spans="1:21">
      <c r="A22" s="81">
        <v>20</v>
      </c>
      <c r="B22" s="44"/>
      <c r="C22" s="45"/>
      <c r="D22" s="47"/>
      <c r="E22" s="46">
        <v>0</v>
      </c>
      <c r="F22" s="51"/>
      <c r="G22" s="52"/>
      <c r="H22" s="52"/>
      <c r="I22" s="47"/>
      <c r="J22" s="44"/>
      <c r="K22" s="24">
        <f t="shared" ca="1" si="0"/>
        <v>0</v>
      </c>
      <c r="L22" s="68">
        <f t="shared" ca="1" si="1"/>
        <v>0</v>
      </c>
      <c r="M22" s="68">
        <f t="shared" ca="1" si="2"/>
        <v>0</v>
      </c>
      <c r="N22" s="68" t="b">
        <f t="shared" ca="1" si="3"/>
        <v>0</v>
      </c>
      <c r="O22" s="68" t="str">
        <f t="shared" ca="1" si="4"/>
        <v/>
      </c>
      <c r="P22" s="68"/>
      <c r="Q22" s="68"/>
      <c r="R22" s="68"/>
      <c r="S22" s="68"/>
      <c r="T22" s="68"/>
      <c r="U22" s="68"/>
    </row>
    <row r="23" spans="1:21" ht="15.75">
      <c r="A23" s="82">
        <v>21</v>
      </c>
      <c r="B23" s="44"/>
      <c r="C23" s="45"/>
      <c r="D23" s="47"/>
      <c r="E23" s="46">
        <v>0</v>
      </c>
      <c r="F23" s="51"/>
      <c r="G23" s="52"/>
      <c r="H23" s="52"/>
      <c r="I23" s="47"/>
      <c r="J23" s="44"/>
      <c r="K23" s="24">
        <f t="shared" ca="1" si="0"/>
        <v>0</v>
      </c>
      <c r="L23" s="68">
        <f t="shared" ca="1" si="1"/>
        <v>0</v>
      </c>
      <c r="M23" s="68">
        <f t="shared" ca="1" si="2"/>
        <v>0</v>
      </c>
      <c r="N23" s="68" t="b">
        <f t="shared" ca="1" si="3"/>
        <v>0</v>
      </c>
      <c r="O23" s="68" t="str">
        <f t="shared" ca="1" si="4"/>
        <v/>
      </c>
      <c r="P23" s="68"/>
      <c r="Q23" s="68"/>
      <c r="R23" s="68"/>
      <c r="S23" s="68"/>
      <c r="T23" s="68"/>
      <c r="U23" s="68"/>
    </row>
    <row r="24" spans="1:21" ht="15.75">
      <c r="A24" s="82">
        <v>22</v>
      </c>
      <c r="B24" s="44"/>
      <c r="C24" s="45"/>
      <c r="D24" s="47"/>
      <c r="E24" s="46">
        <v>0</v>
      </c>
      <c r="F24" s="51"/>
      <c r="G24" s="52"/>
      <c r="H24" s="52"/>
      <c r="I24" s="47"/>
      <c r="J24" s="44"/>
      <c r="K24" s="24">
        <f t="shared" ca="1" si="0"/>
        <v>0</v>
      </c>
      <c r="L24" s="68">
        <f t="shared" ca="1" si="1"/>
        <v>0</v>
      </c>
      <c r="M24" s="68">
        <f t="shared" ca="1" si="2"/>
        <v>0</v>
      </c>
      <c r="N24" s="68" t="b">
        <f t="shared" ca="1" si="3"/>
        <v>0</v>
      </c>
      <c r="O24" s="68" t="str">
        <f t="shared" ca="1" si="4"/>
        <v/>
      </c>
      <c r="P24" s="68"/>
      <c r="Q24" s="68"/>
      <c r="R24" s="68"/>
      <c r="S24" s="68"/>
      <c r="T24" s="68"/>
      <c r="U24" s="68"/>
    </row>
    <row r="25" spans="1:21" ht="15.75">
      <c r="A25" s="82">
        <v>23</v>
      </c>
      <c r="B25" s="44"/>
      <c r="C25" s="45"/>
      <c r="D25" s="47"/>
      <c r="E25" s="46">
        <v>0</v>
      </c>
      <c r="F25" s="51"/>
      <c r="G25" s="52"/>
      <c r="H25" s="52"/>
      <c r="I25" s="47"/>
      <c r="J25" s="44"/>
      <c r="K25" s="24">
        <f t="shared" ca="1" si="0"/>
        <v>0</v>
      </c>
      <c r="L25" s="68">
        <f t="shared" ca="1" si="1"/>
        <v>0</v>
      </c>
      <c r="M25" s="68">
        <f t="shared" ca="1" si="2"/>
        <v>0</v>
      </c>
      <c r="N25" s="68" t="b">
        <f t="shared" ca="1" si="3"/>
        <v>0</v>
      </c>
      <c r="O25" s="68" t="str">
        <f t="shared" ca="1" si="4"/>
        <v/>
      </c>
      <c r="P25" s="68"/>
      <c r="Q25" s="68"/>
      <c r="R25" s="68"/>
      <c r="S25" s="68"/>
      <c r="T25" s="68"/>
      <c r="U25" s="68"/>
    </row>
    <row r="26" spans="1:21" ht="15.75">
      <c r="A26" s="82">
        <v>24</v>
      </c>
      <c r="B26" s="44"/>
      <c r="C26" s="45"/>
      <c r="D26" s="54"/>
      <c r="E26" s="46">
        <v>0</v>
      </c>
      <c r="F26" s="51"/>
      <c r="G26" s="52"/>
      <c r="H26" s="52"/>
      <c r="I26" s="47"/>
      <c r="J26" s="44"/>
      <c r="K26" s="24">
        <f t="shared" ca="1" si="0"/>
        <v>0</v>
      </c>
      <c r="L26" s="68">
        <f t="shared" ca="1" si="1"/>
        <v>0</v>
      </c>
      <c r="M26" s="68">
        <f t="shared" ca="1" si="2"/>
        <v>0</v>
      </c>
      <c r="N26" s="68" t="b">
        <f t="shared" ca="1" si="3"/>
        <v>0</v>
      </c>
      <c r="O26" s="68" t="str">
        <f t="shared" ca="1" si="4"/>
        <v/>
      </c>
      <c r="P26" s="68"/>
      <c r="Q26" s="68"/>
      <c r="R26" s="68"/>
      <c r="S26" s="68"/>
      <c r="T26" s="68"/>
      <c r="U26" s="68"/>
    </row>
    <row r="27" spans="1:21" ht="15.75">
      <c r="A27" s="83">
        <v>25</v>
      </c>
      <c r="B27" s="48"/>
      <c r="C27" s="49"/>
      <c r="D27" s="50"/>
      <c r="E27" s="46">
        <v>0</v>
      </c>
      <c r="F27" s="55"/>
      <c r="G27" s="56"/>
      <c r="H27" s="56"/>
      <c r="I27" s="50"/>
      <c r="J27" s="48"/>
      <c r="K27" s="25">
        <f t="shared" ca="1" si="0"/>
        <v>0</v>
      </c>
      <c r="L27" s="68">
        <f t="shared" ca="1" si="1"/>
        <v>0</v>
      </c>
      <c r="M27" s="68">
        <f t="shared" ca="1" si="2"/>
        <v>0</v>
      </c>
      <c r="N27" s="68" t="b">
        <f t="shared" ca="1" si="3"/>
        <v>0</v>
      </c>
      <c r="O27" s="68" t="str">
        <f ca="1">IF(C27="","",DATEDIF($C27,TODAY(),"m"))</f>
        <v/>
      </c>
      <c r="P27" s="68"/>
      <c r="Q27" s="68"/>
      <c r="R27" s="68"/>
      <c r="S27" s="68"/>
      <c r="T27" s="68"/>
      <c r="U27" s="68"/>
    </row>
    <row r="28" spans="1:21" ht="15.75">
      <c r="A28" s="174">
        <v>26</v>
      </c>
      <c r="B28" s="175"/>
      <c r="C28" s="176"/>
      <c r="D28" s="176"/>
      <c r="E28" s="177">
        <v>0</v>
      </c>
      <c r="F28" s="178"/>
      <c r="G28" s="179"/>
      <c r="H28" s="179"/>
      <c r="I28" s="180"/>
      <c r="J28" s="175"/>
      <c r="K28" s="181">
        <f ca="1">QUOTIENT(IF(DATEDIF(C28,TODAY(),"y")&gt;90,0,DATEDIF(C28,TODAY(),"m")),12)</f>
        <v>0</v>
      </c>
      <c r="L28" s="68">
        <f t="shared" ca="1" si="1"/>
        <v>0</v>
      </c>
      <c r="M28" s="68">
        <f t="shared" ca="1" si="2"/>
        <v>0</v>
      </c>
      <c r="N28" s="68" t="b">
        <f t="shared" ca="1" si="3"/>
        <v>0</v>
      </c>
    </row>
    <row r="29" spans="1:21" ht="15.75">
      <c r="A29" s="174">
        <v>27</v>
      </c>
      <c r="B29" s="175"/>
      <c r="C29" s="176"/>
      <c r="D29" s="176"/>
      <c r="E29" s="177">
        <v>0</v>
      </c>
      <c r="F29" s="178"/>
      <c r="G29" s="179"/>
      <c r="H29" s="179"/>
      <c r="I29" s="180"/>
      <c r="J29" s="175"/>
      <c r="K29" s="181">
        <f ca="1">QUOTIENT(IF(DATEDIF(C29,TODAY(),"y")&gt;90,0,DATEDIF(C29,TODAY(),"m")),12)</f>
        <v>0</v>
      </c>
      <c r="L29" s="68">
        <f t="shared" ca="1" si="1"/>
        <v>0</v>
      </c>
      <c r="M29" s="68">
        <f t="shared" ca="1" si="2"/>
        <v>0</v>
      </c>
      <c r="N29" s="68" t="b">
        <f t="shared" ca="1" si="3"/>
        <v>0</v>
      </c>
    </row>
    <row r="30" spans="1:21" ht="15.75">
      <c r="A30" s="174">
        <v>28</v>
      </c>
      <c r="B30" s="175"/>
      <c r="C30" s="176"/>
      <c r="D30" s="176"/>
      <c r="E30" s="177">
        <v>0</v>
      </c>
      <c r="F30" s="178"/>
      <c r="G30" s="179"/>
      <c r="H30" s="179"/>
      <c r="I30" s="180"/>
      <c r="J30" s="175"/>
      <c r="K30" s="181">
        <f ca="1">QUOTIENT(IF(DATEDIF(C30,TODAY(),"y")&gt;90,0,DATEDIF(C30,TODAY(),"m")),12)</f>
        <v>0</v>
      </c>
      <c r="L30" s="68">
        <f t="shared" ca="1" si="1"/>
        <v>0</v>
      </c>
      <c r="M30" s="68">
        <f t="shared" ca="1" si="2"/>
        <v>0</v>
      </c>
      <c r="N30" s="68" t="b">
        <f t="shared" ca="1" si="3"/>
        <v>0</v>
      </c>
    </row>
    <row r="31" spans="1:21" ht="15.75">
      <c r="A31" s="174">
        <v>29</v>
      </c>
      <c r="B31" s="175"/>
      <c r="C31" s="176"/>
      <c r="D31" s="176"/>
      <c r="E31" s="177">
        <v>0</v>
      </c>
      <c r="F31" s="178"/>
      <c r="G31" s="179"/>
      <c r="H31" s="179"/>
      <c r="I31" s="180"/>
      <c r="J31" s="175"/>
      <c r="K31" s="181">
        <f ca="1">QUOTIENT(IF(DATEDIF(C31,TODAY(),"y")&gt;90,0,DATEDIF(C31,TODAY(),"m")),12)</f>
        <v>0</v>
      </c>
      <c r="L31" s="68">
        <f t="shared" ca="1" si="1"/>
        <v>0</v>
      </c>
      <c r="M31" s="68">
        <f t="shared" ca="1" si="2"/>
        <v>0</v>
      </c>
      <c r="N31" s="68" t="b">
        <f t="shared" ca="1" si="3"/>
        <v>0</v>
      </c>
    </row>
    <row r="32" spans="1:21" ht="15.75">
      <c r="A32" s="174">
        <v>30</v>
      </c>
      <c r="B32" s="175"/>
      <c r="C32" s="176"/>
      <c r="D32" s="176"/>
      <c r="E32" s="177">
        <v>0</v>
      </c>
      <c r="F32" s="178"/>
      <c r="G32" s="179"/>
      <c r="H32" s="179"/>
      <c r="I32" s="180"/>
      <c r="J32" s="175"/>
      <c r="K32" s="181">
        <f ca="1">QUOTIENT(IF(DATEDIF(C32,TODAY(),"y")&gt;90,0,DATEDIF(C32,TODAY(),"m")),12)</f>
        <v>0</v>
      </c>
      <c r="L32" s="68">
        <f t="shared" ca="1" si="1"/>
        <v>0</v>
      </c>
      <c r="M32" s="68">
        <f t="shared" ca="1" si="2"/>
        <v>0</v>
      </c>
      <c r="N32" s="68" t="b">
        <f t="shared" ca="1" si="3"/>
        <v>0</v>
      </c>
    </row>
  </sheetData>
  <sheetProtection algorithmName="SHA-512" hashValue="iEpXd4obyRLPvLvVSWglxDyJ85vvaBsh/jZuTaLzhP9KBUgmkdAvrrx3zWAkzGNuRs3+5lGzLUFuPKpIKXPBCA==" saltValue="3qoM2fGvhVHyUap/Z6suAA==" spinCount="100000" sheet="1" objects="1" scenarios="1" selectLockedCells="1"/>
  <mergeCells count="1">
    <mergeCell ref="P4:T4"/>
  </mergeCells>
  <conditionalFormatting sqref="A3:K32">
    <cfRule type="expression" dxfId="49" priority="1">
      <formula>ROW()=CELL("LIN")</formula>
    </cfRule>
    <cfRule type="expression" dxfId="48" priority="2">
      <formula>IF($D3&lt;&gt;"",1,0)</formula>
    </cfRule>
  </conditionalFormatting>
  <conditionalFormatting sqref="O3:O27">
    <cfRule type="cellIs" dxfId="47" priority="3" operator="lessThan">
      <formula>$T$3</formula>
    </cfRule>
  </conditionalFormatting>
  <pageMargins left="1" right="1" top="1" bottom="1" header="0.5" footer="0.5"/>
  <pageSetup paperSize="9" scale="51" fitToHeight="0" orientation="landscape" horizontalDpi="300" verticalDpi="300" r:id="rId1"/>
  <drawing r:id="rId2"/>
  <tableParts count="1">
    <tablePart r:id="rId3"/>
  </tablePart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F7EF2-CF3F-40A2-9E69-7F0BA5FFEFA8}">
  <sheetPr codeName="Planilha15"/>
  <dimension ref="A1:AE34"/>
  <sheetViews>
    <sheetView showGridLines="0" showRowColHeaders="0" view="pageBreakPreview" zoomScale="60" zoomScaleNormal="70" workbookViewId="0">
      <pane xSplit="4" topLeftCell="E1" activePane="topRight" state="frozen"/>
      <selection sqref="A1:D3"/>
      <selection pane="topRight" activeCell="E5" sqref="E5"/>
    </sheetView>
  </sheetViews>
  <sheetFormatPr defaultRowHeight="12.75"/>
  <cols>
    <col min="2" max="2" width="39.28515625" bestFit="1" customWidth="1"/>
    <col min="3" max="3" width="14.28515625" customWidth="1"/>
    <col min="4" max="4" width="40.140625" customWidth="1"/>
    <col min="5" max="5" width="15.28515625" customWidth="1"/>
    <col min="6" max="6" width="16.28515625" customWidth="1"/>
    <col min="7" max="7" width="24.7109375" customWidth="1"/>
    <col min="8" max="8" width="15.140625" customWidth="1"/>
    <col min="9" max="9" width="14.5703125" customWidth="1"/>
    <col min="10" max="10" width="24.5703125" customWidth="1"/>
    <col min="12" max="12" width="14.140625" customWidth="1"/>
    <col min="13" max="13" width="15.140625" customWidth="1"/>
    <col min="14" max="14" width="23.5703125" customWidth="1"/>
    <col min="15" max="15" width="14.85546875" customWidth="1"/>
    <col min="16" max="16" width="15.85546875" customWidth="1"/>
    <col min="17" max="17" width="24.28515625" customWidth="1"/>
    <col min="19" max="19" width="15.140625" customWidth="1"/>
    <col min="20" max="20" width="16.140625" customWidth="1"/>
    <col min="21" max="21" width="24.5703125" customWidth="1"/>
    <col min="22" max="22" width="14.7109375" customWidth="1"/>
    <col min="23" max="23" width="15.7109375" customWidth="1"/>
    <col min="24" max="24" width="24.140625" customWidth="1"/>
    <col min="26" max="26" width="15" customWidth="1"/>
    <col min="27" max="27" width="16" customWidth="1"/>
    <col min="28" max="28" width="24.42578125" customWidth="1"/>
    <col min="29" max="29" width="15.140625" customWidth="1"/>
    <col min="30" max="30" width="16.140625" customWidth="1"/>
    <col min="31" max="31" width="24.5703125" customWidth="1"/>
  </cols>
  <sheetData>
    <row r="1" spans="1:31" ht="30" customHeight="1" thickBot="1">
      <c r="A1" s="124" t="str">
        <f>CONCATENATE('5A-B-Turma'!B2&amp;" - ",'5A-B-Turma'!B3)</f>
        <v>5º Ano - B - Tarde</v>
      </c>
      <c r="B1" s="124"/>
      <c r="C1" s="124"/>
      <c r="D1" s="125"/>
      <c r="E1" s="128" t="s">
        <v>41</v>
      </c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  <c r="V1" s="129"/>
      <c r="W1" s="129"/>
      <c r="X1" s="129"/>
      <c r="Y1" s="129"/>
      <c r="Z1" s="129"/>
      <c r="AA1" s="129"/>
      <c r="AB1" s="129"/>
      <c r="AC1" s="129"/>
      <c r="AD1" s="129"/>
      <c r="AE1" s="130"/>
    </row>
    <row r="2" spans="1:31" ht="16.5" thickBot="1">
      <c r="A2" s="124"/>
      <c r="B2" s="124"/>
      <c r="C2" s="124"/>
      <c r="D2" s="125"/>
      <c r="E2" s="131" t="s">
        <v>37</v>
      </c>
      <c r="F2" s="132"/>
      <c r="G2" s="132"/>
      <c r="H2" s="132"/>
      <c r="I2" s="132"/>
      <c r="J2" s="132"/>
      <c r="K2" s="132"/>
      <c r="L2" s="132"/>
      <c r="M2" s="132"/>
      <c r="N2" s="132"/>
      <c r="O2" s="132"/>
      <c r="P2" s="132"/>
      <c r="Q2" s="133"/>
      <c r="R2" s="64"/>
      <c r="S2" s="131" t="s">
        <v>38</v>
      </c>
      <c r="T2" s="132"/>
      <c r="U2" s="132"/>
      <c r="V2" s="132"/>
      <c r="W2" s="132"/>
      <c r="X2" s="132"/>
      <c r="Y2" s="132"/>
      <c r="Z2" s="132"/>
      <c r="AA2" s="132"/>
      <c r="AB2" s="132"/>
      <c r="AC2" s="132"/>
      <c r="AD2" s="132"/>
      <c r="AE2" s="133"/>
    </row>
    <row r="3" spans="1:31" ht="15">
      <c r="A3" s="126"/>
      <c r="B3" s="126"/>
      <c r="C3" s="126"/>
      <c r="D3" s="127"/>
      <c r="E3" s="134" t="s">
        <v>33</v>
      </c>
      <c r="F3" s="135"/>
      <c r="G3" s="136"/>
      <c r="H3" s="202" t="s">
        <v>34</v>
      </c>
      <c r="I3" s="203"/>
      <c r="J3" s="204"/>
      <c r="K3" s="64"/>
      <c r="L3" s="194" t="s">
        <v>35</v>
      </c>
      <c r="M3" s="195"/>
      <c r="N3" s="196"/>
      <c r="O3" s="202" t="s">
        <v>36</v>
      </c>
      <c r="P3" s="203"/>
      <c r="Q3" s="204"/>
      <c r="R3" s="64"/>
      <c r="S3" s="201" t="s">
        <v>39</v>
      </c>
      <c r="T3" s="195"/>
      <c r="U3" s="196"/>
      <c r="V3" s="209" t="s">
        <v>40</v>
      </c>
      <c r="W3" s="203"/>
      <c r="X3" s="204"/>
      <c r="Y3" s="64"/>
      <c r="Z3" s="194" t="s">
        <v>31</v>
      </c>
      <c r="AA3" s="195"/>
      <c r="AB3" s="196"/>
      <c r="AC3" s="138" t="s">
        <v>32</v>
      </c>
      <c r="AD3" s="139"/>
      <c r="AE3" s="140"/>
    </row>
    <row r="4" spans="1:31" ht="15.75">
      <c r="A4" s="63" t="s">
        <v>9</v>
      </c>
      <c r="B4" s="57" t="s">
        <v>10</v>
      </c>
      <c r="C4" s="58" t="s">
        <v>13</v>
      </c>
      <c r="D4" s="59" t="s">
        <v>16</v>
      </c>
      <c r="E4" s="31" t="s">
        <v>42</v>
      </c>
      <c r="F4" s="32" t="s">
        <v>43</v>
      </c>
      <c r="G4" s="33" t="s">
        <v>44</v>
      </c>
      <c r="H4" s="34" t="s">
        <v>46</v>
      </c>
      <c r="I4" s="35" t="s">
        <v>45</v>
      </c>
      <c r="J4" s="36" t="s">
        <v>51</v>
      </c>
      <c r="K4" s="65" t="s">
        <v>47</v>
      </c>
      <c r="L4" s="37" t="s">
        <v>48</v>
      </c>
      <c r="M4" s="32" t="s">
        <v>49</v>
      </c>
      <c r="N4" s="33" t="s">
        <v>50</v>
      </c>
      <c r="O4" s="34" t="s">
        <v>52</v>
      </c>
      <c r="P4" s="35" t="s">
        <v>53</v>
      </c>
      <c r="Q4" s="36" t="s">
        <v>54</v>
      </c>
      <c r="R4" s="65" t="s">
        <v>55</v>
      </c>
      <c r="S4" s="37" t="s">
        <v>56</v>
      </c>
      <c r="T4" s="32" t="s">
        <v>57</v>
      </c>
      <c r="U4" s="33" t="s">
        <v>58</v>
      </c>
      <c r="V4" s="34" t="s">
        <v>59</v>
      </c>
      <c r="W4" s="35" t="s">
        <v>60</v>
      </c>
      <c r="X4" s="36" t="s">
        <v>61</v>
      </c>
      <c r="Y4" s="65" t="s">
        <v>62</v>
      </c>
      <c r="Z4" s="37" t="s">
        <v>63</v>
      </c>
      <c r="AA4" s="32" t="s">
        <v>64</v>
      </c>
      <c r="AB4" s="33" t="s">
        <v>65</v>
      </c>
      <c r="AC4" s="34" t="s">
        <v>66</v>
      </c>
      <c r="AD4" s="35" t="s">
        <v>67</v>
      </c>
      <c r="AE4" s="38" t="s">
        <v>68</v>
      </c>
    </row>
    <row r="5" spans="1:31" ht="15">
      <c r="A5" s="72">
        <v>1</v>
      </c>
      <c r="B5" s="60" t="str">
        <f>IF('5A-B'!B3&lt;&gt;0,'5A-B'!B3,"")</f>
        <v/>
      </c>
      <c r="C5" s="61" t="str">
        <f>IF('5A-B'!C3&lt;&gt;0,'5A-B'!C3,"")</f>
        <v/>
      </c>
      <c r="D5" s="62" t="str">
        <f>IF('5A-B'!D3&lt;&gt;0,'5A-B'!D3,"")</f>
        <v/>
      </c>
      <c r="E5" s="43"/>
      <c r="F5" s="42"/>
      <c r="G5" s="28" t="e">
        <f t="shared" ref="G5:G29" si="0">ROUND((E5*100)/(E5+F5),0)/100</f>
        <v>#DIV/0!</v>
      </c>
      <c r="H5" s="39"/>
      <c r="I5" s="40"/>
      <c r="J5" s="29" t="e">
        <f t="shared" ref="J5:J29" si="1">ROUND((H5*100)/(H5+I5),0)/100</f>
        <v>#DIV/0!</v>
      </c>
      <c r="K5" s="87">
        <f>Tabela2736810121416192123252730[[#This Row],[Nº]]</f>
        <v>1</v>
      </c>
      <c r="L5" s="41"/>
      <c r="M5" s="42"/>
      <c r="N5" s="28" t="e">
        <f t="shared" ref="N5:N29" si="2">ROUND((L5*100)/(L5+M5),0)/100</f>
        <v>#DIV/0!</v>
      </c>
      <c r="O5" s="39"/>
      <c r="P5" s="40"/>
      <c r="Q5" s="29" t="e">
        <f t="shared" ref="Q5:Q29" si="3">ROUND((O5*100)/(O5+P5),0)/100</f>
        <v>#DIV/0!</v>
      </c>
      <c r="R5" s="87">
        <f>Tabela2736810121416192123252730[[#This Row],[Nº]]</f>
        <v>1</v>
      </c>
      <c r="S5" s="41"/>
      <c r="T5" s="42"/>
      <c r="U5" s="28" t="e">
        <f t="shared" ref="U5:U29" si="4">ROUND((S5*100)/(S5+T5),0)/100</f>
        <v>#DIV/0!</v>
      </c>
      <c r="V5" s="39"/>
      <c r="W5" s="40"/>
      <c r="X5" s="29" t="e">
        <f t="shared" ref="X5:X29" si="5">ROUND((V5*100)/(V5+W5),0)/100</f>
        <v>#DIV/0!</v>
      </c>
      <c r="Y5" s="87">
        <f>Tabela2736810121416192123252730[[#This Row],[Nº]]</f>
        <v>1</v>
      </c>
      <c r="Z5" s="41"/>
      <c r="AA5" s="42"/>
      <c r="AB5" s="28" t="e">
        <f t="shared" ref="AB5:AB29" si="6">ROUND((Z5*100)/(Z5+AA5),0)/100</f>
        <v>#DIV/0!</v>
      </c>
      <c r="AC5" s="39"/>
      <c r="AD5" s="40"/>
      <c r="AE5" s="30" t="e">
        <f t="shared" ref="AE5:AE29" si="7">ROUND((AC5*100)/(AC5+AD5),0)/100</f>
        <v>#DIV/0!</v>
      </c>
    </row>
    <row r="6" spans="1:31" ht="15">
      <c r="A6" s="72">
        <v>2</v>
      </c>
      <c r="B6" s="60" t="str">
        <f>IF('5A-B'!B4&lt;&gt;0,'5A-B'!B4,"")</f>
        <v/>
      </c>
      <c r="C6" s="61" t="str">
        <f>IF('5A-B'!C4&lt;&gt;0,'5A-B'!C4,"")</f>
        <v/>
      </c>
      <c r="D6" s="62" t="str">
        <f>IF('5A-B'!D4&lt;&gt;0,'5A-B'!D4,"")</f>
        <v/>
      </c>
      <c r="E6" s="43"/>
      <c r="F6" s="42"/>
      <c r="G6" s="28" t="e">
        <f t="shared" si="0"/>
        <v>#DIV/0!</v>
      </c>
      <c r="H6" s="39"/>
      <c r="I6" s="40"/>
      <c r="J6" s="29" t="e">
        <f t="shared" si="1"/>
        <v>#DIV/0!</v>
      </c>
      <c r="K6" s="87">
        <f>Tabela2736810121416192123252730[[#This Row],[Nº]]</f>
        <v>2</v>
      </c>
      <c r="L6" s="41"/>
      <c r="M6" s="42"/>
      <c r="N6" s="28" t="e">
        <f t="shared" si="2"/>
        <v>#DIV/0!</v>
      </c>
      <c r="O6" s="39"/>
      <c r="P6" s="40"/>
      <c r="Q6" s="29" t="e">
        <f t="shared" si="3"/>
        <v>#DIV/0!</v>
      </c>
      <c r="R6" s="87">
        <f>Tabela2736810121416192123252730[[#This Row],[Nº]]</f>
        <v>2</v>
      </c>
      <c r="S6" s="41"/>
      <c r="T6" s="42"/>
      <c r="U6" s="28" t="e">
        <f t="shared" si="4"/>
        <v>#DIV/0!</v>
      </c>
      <c r="V6" s="39"/>
      <c r="W6" s="40"/>
      <c r="X6" s="29" t="e">
        <f t="shared" si="5"/>
        <v>#DIV/0!</v>
      </c>
      <c r="Y6" s="87">
        <f>Tabela2736810121416192123252730[[#This Row],[Nº]]</f>
        <v>2</v>
      </c>
      <c r="Z6" s="41"/>
      <c r="AA6" s="42"/>
      <c r="AB6" s="28" t="e">
        <f t="shared" si="6"/>
        <v>#DIV/0!</v>
      </c>
      <c r="AC6" s="39"/>
      <c r="AD6" s="40"/>
      <c r="AE6" s="30" t="e">
        <f t="shared" si="7"/>
        <v>#DIV/0!</v>
      </c>
    </row>
    <row r="7" spans="1:31" ht="15">
      <c r="A7" s="72">
        <v>3</v>
      </c>
      <c r="B7" s="60" t="str">
        <f>IF('5A-B'!B5&lt;&gt;0,'5A-B'!B5,"")</f>
        <v/>
      </c>
      <c r="C7" s="61" t="str">
        <f>IF('5A-B'!C5&lt;&gt;0,'5A-B'!C5,"")</f>
        <v/>
      </c>
      <c r="D7" s="62" t="str">
        <f>IF('5A-B'!D5&lt;&gt;0,'5A-B'!D5,"")</f>
        <v/>
      </c>
      <c r="E7" s="43"/>
      <c r="F7" s="42"/>
      <c r="G7" s="28" t="e">
        <f t="shared" si="0"/>
        <v>#DIV/0!</v>
      </c>
      <c r="H7" s="39"/>
      <c r="I7" s="40"/>
      <c r="J7" s="29" t="e">
        <f t="shared" si="1"/>
        <v>#DIV/0!</v>
      </c>
      <c r="K7" s="87">
        <f>Tabela2736810121416192123252730[[#This Row],[Nº]]</f>
        <v>3</v>
      </c>
      <c r="L7" s="41"/>
      <c r="M7" s="42"/>
      <c r="N7" s="28" t="e">
        <f t="shared" si="2"/>
        <v>#DIV/0!</v>
      </c>
      <c r="O7" s="39"/>
      <c r="P7" s="40"/>
      <c r="Q7" s="29" t="e">
        <f t="shared" si="3"/>
        <v>#DIV/0!</v>
      </c>
      <c r="R7" s="87">
        <f>Tabela2736810121416192123252730[[#This Row],[Nº]]</f>
        <v>3</v>
      </c>
      <c r="S7" s="41"/>
      <c r="T7" s="42"/>
      <c r="U7" s="28" t="e">
        <f t="shared" si="4"/>
        <v>#DIV/0!</v>
      </c>
      <c r="V7" s="39"/>
      <c r="W7" s="40"/>
      <c r="X7" s="29" t="e">
        <f t="shared" si="5"/>
        <v>#DIV/0!</v>
      </c>
      <c r="Y7" s="87">
        <f>Tabela2736810121416192123252730[[#This Row],[Nº]]</f>
        <v>3</v>
      </c>
      <c r="Z7" s="41"/>
      <c r="AA7" s="42"/>
      <c r="AB7" s="28" t="e">
        <f t="shared" si="6"/>
        <v>#DIV/0!</v>
      </c>
      <c r="AC7" s="39"/>
      <c r="AD7" s="40"/>
      <c r="AE7" s="30" t="e">
        <f t="shared" si="7"/>
        <v>#DIV/0!</v>
      </c>
    </row>
    <row r="8" spans="1:31" ht="15">
      <c r="A8" s="72">
        <v>4</v>
      </c>
      <c r="B8" s="60" t="str">
        <f>IF('5A-B'!B6&lt;&gt;0,'5A-B'!B6,"")</f>
        <v/>
      </c>
      <c r="C8" s="61" t="str">
        <f>IF('5A-B'!C6&lt;&gt;0,'5A-B'!C6,"")</f>
        <v/>
      </c>
      <c r="D8" s="62" t="str">
        <f>IF('5A-B'!D6&lt;&gt;0,'5A-B'!D6,"")</f>
        <v/>
      </c>
      <c r="E8" s="43"/>
      <c r="F8" s="42"/>
      <c r="G8" s="28" t="e">
        <f t="shared" si="0"/>
        <v>#DIV/0!</v>
      </c>
      <c r="H8" s="39"/>
      <c r="I8" s="40"/>
      <c r="J8" s="29" t="e">
        <f t="shared" si="1"/>
        <v>#DIV/0!</v>
      </c>
      <c r="K8" s="87">
        <f>Tabela2736810121416192123252730[[#This Row],[Nº]]</f>
        <v>4</v>
      </c>
      <c r="L8" s="41"/>
      <c r="M8" s="42"/>
      <c r="N8" s="28" t="e">
        <f t="shared" si="2"/>
        <v>#DIV/0!</v>
      </c>
      <c r="O8" s="39"/>
      <c r="P8" s="40"/>
      <c r="Q8" s="29" t="e">
        <f t="shared" si="3"/>
        <v>#DIV/0!</v>
      </c>
      <c r="R8" s="87">
        <f>Tabela2736810121416192123252730[[#This Row],[Nº]]</f>
        <v>4</v>
      </c>
      <c r="S8" s="41"/>
      <c r="T8" s="42"/>
      <c r="U8" s="28" t="e">
        <f t="shared" si="4"/>
        <v>#DIV/0!</v>
      </c>
      <c r="V8" s="39"/>
      <c r="W8" s="40"/>
      <c r="X8" s="29" t="e">
        <f t="shared" si="5"/>
        <v>#DIV/0!</v>
      </c>
      <c r="Y8" s="87">
        <f>Tabela2736810121416192123252730[[#This Row],[Nº]]</f>
        <v>4</v>
      </c>
      <c r="Z8" s="41"/>
      <c r="AA8" s="42"/>
      <c r="AB8" s="28" t="e">
        <f t="shared" si="6"/>
        <v>#DIV/0!</v>
      </c>
      <c r="AC8" s="39"/>
      <c r="AD8" s="40"/>
      <c r="AE8" s="30" t="e">
        <f t="shared" si="7"/>
        <v>#DIV/0!</v>
      </c>
    </row>
    <row r="9" spans="1:31" ht="15">
      <c r="A9" s="72">
        <v>5</v>
      </c>
      <c r="B9" s="60" t="str">
        <f>IF('5A-B'!B7&lt;&gt;0,'5A-B'!B7,"")</f>
        <v/>
      </c>
      <c r="C9" s="61" t="str">
        <f>IF('5A-B'!C7&lt;&gt;0,'5A-B'!C7,"")</f>
        <v/>
      </c>
      <c r="D9" s="62" t="str">
        <f>IF('5A-B'!D7&lt;&gt;0,'5A-B'!D7,"")</f>
        <v/>
      </c>
      <c r="E9" s="43"/>
      <c r="F9" s="42"/>
      <c r="G9" s="28" t="e">
        <f t="shared" si="0"/>
        <v>#DIV/0!</v>
      </c>
      <c r="H9" s="39"/>
      <c r="I9" s="40"/>
      <c r="J9" s="29" t="e">
        <f t="shared" si="1"/>
        <v>#DIV/0!</v>
      </c>
      <c r="K9" s="87">
        <f>Tabela2736810121416192123252730[[#This Row],[Nº]]</f>
        <v>5</v>
      </c>
      <c r="L9" s="41"/>
      <c r="M9" s="42"/>
      <c r="N9" s="28" t="e">
        <f t="shared" si="2"/>
        <v>#DIV/0!</v>
      </c>
      <c r="O9" s="39"/>
      <c r="P9" s="40"/>
      <c r="Q9" s="29" t="e">
        <f t="shared" si="3"/>
        <v>#DIV/0!</v>
      </c>
      <c r="R9" s="87">
        <f>Tabela2736810121416192123252730[[#This Row],[Nº]]</f>
        <v>5</v>
      </c>
      <c r="S9" s="41"/>
      <c r="T9" s="42"/>
      <c r="U9" s="28" t="e">
        <f t="shared" si="4"/>
        <v>#DIV/0!</v>
      </c>
      <c r="V9" s="39"/>
      <c r="W9" s="40"/>
      <c r="X9" s="29" t="e">
        <f t="shared" si="5"/>
        <v>#DIV/0!</v>
      </c>
      <c r="Y9" s="87">
        <f>Tabela2736810121416192123252730[[#This Row],[Nº]]</f>
        <v>5</v>
      </c>
      <c r="Z9" s="41"/>
      <c r="AA9" s="42"/>
      <c r="AB9" s="28" t="e">
        <f t="shared" si="6"/>
        <v>#DIV/0!</v>
      </c>
      <c r="AC9" s="39"/>
      <c r="AD9" s="40"/>
      <c r="AE9" s="30" t="e">
        <f t="shared" si="7"/>
        <v>#DIV/0!</v>
      </c>
    </row>
    <row r="10" spans="1:31" ht="15">
      <c r="A10" s="72">
        <v>6</v>
      </c>
      <c r="B10" s="60" t="str">
        <f>IF('5A-B'!B8&lt;&gt;0,'5A-B'!B8,"")</f>
        <v/>
      </c>
      <c r="C10" s="61" t="str">
        <f>IF('5A-B'!C8&lt;&gt;0,'5A-B'!C8,"")</f>
        <v/>
      </c>
      <c r="D10" s="62" t="str">
        <f>IF('5A-B'!D8&lt;&gt;0,'5A-B'!D8,"")</f>
        <v/>
      </c>
      <c r="E10" s="43"/>
      <c r="F10" s="42"/>
      <c r="G10" s="28" t="e">
        <f t="shared" si="0"/>
        <v>#DIV/0!</v>
      </c>
      <c r="H10" s="39"/>
      <c r="I10" s="40"/>
      <c r="J10" s="29" t="e">
        <f t="shared" si="1"/>
        <v>#DIV/0!</v>
      </c>
      <c r="K10" s="87">
        <f>Tabela2736810121416192123252730[[#This Row],[Nº]]</f>
        <v>6</v>
      </c>
      <c r="L10" s="41"/>
      <c r="M10" s="42"/>
      <c r="N10" s="28" t="e">
        <f t="shared" si="2"/>
        <v>#DIV/0!</v>
      </c>
      <c r="O10" s="39"/>
      <c r="P10" s="40"/>
      <c r="Q10" s="29" t="e">
        <f t="shared" si="3"/>
        <v>#DIV/0!</v>
      </c>
      <c r="R10" s="87">
        <f>Tabela2736810121416192123252730[[#This Row],[Nº]]</f>
        <v>6</v>
      </c>
      <c r="S10" s="41"/>
      <c r="T10" s="42"/>
      <c r="U10" s="28" t="e">
        <f t="shared" si="4"/>
        <v>#DIV/0!</v>
      </c>
      <c r="V10" s="39"/>
      <c r="W10" s="40"/>
      <c r="X10" s="29" t="e">
        <f t="shared" si="5"/>
        <v>#DIV/0!</v>
      </c>
      <c r="Y10" s="87">
        <f>Tabela2736810121416192123252730[[#This Row],[Nº]]</f>
        <v>6</v>
      </c>
      <c r="Z10" s="41"/>
      <c r="AA10" s="42"/>
      <c r="AB10" s="28" t="e">
        <f t="shared" si="6"/>
        <v>#DIV/0!</v>
      </c>
      <c r="AC10" s="39"/>
      <c r="AD10" s="40"/>
      <c r="AE10" s="30" t="e">
        <f t="shared" si="7"/>
        <v>#DIV/0!</v>
      </c>
    </row>
    <row r="11" spans="1:31" ht="15">
      <c r="A11" s="72">
        <v>7</v>
      </c>
      <c r="B11" s="60" t="str">
        <f>IF('5A-B'!B9&lt;&gt;0,'5A-B'!B9,"")</f>
        <v/>
      </c>
      <c r="C11" s="61" t="str">
        <f>IF('5A-B'!C9&lt;&gt;0,'5A-B'!C9,"")</f>
        <v/>
      </c>
      <c r="D11" s="62" t="str">
        <f>IF('5A-B'!D9&lt;&gt;0,'5A-B'!D9,"")</f>
        <v/>
      </c>
      <c r="E11" s="43"/>
      <c r="F11" s="42"/>
      <c r="G11" s="28" t="e">
        <f t="shared" si="0"/>
        <v>#DIV/0!</v>
      </c>
      <c r="H11" s="39"/>
      <c r="I11" s="40"/>
      <c r="J11" s="29" t="e">
        <f t="shared" si="1"/>
        <v>#DIV/0!</v>
      </c>
      <c r="K11" s="87">
        <f>Tabela2736810121416192123252730[[#This Row],[Nº]]</f>
        <v>7</v>
      </c>
      <c r="L11" s="41"/>
      <c r="M11" s="42"/>
      <c r="N11" s="28" t="e">
        <f t="shared" si="2"/>
        <v>#DIV/0!</v>
      </c>
      <c r="O11" s="39"/>
      <c r="P11" s="40"/>
      <c r="Q11" s="29" t="e">
        <f t="shared" si="3"/>
        <v>#DIV/0!</v>
      </c>
      <c r="R11" s="87">
        <f>Tabela2736810121416192123252730[[#This Row],[Nº]]</f>
        <v>7</v>
      </c>
      <c r="S11" s="41"/>
      <c r="T11" s="42"/>
      <c r="U11" s="28" t="e">
        <f t="shared" si="4"/>
        <v>#DIV/0!</v>
      </c>
      <c r="V11" s="39"/>
      <c r="W11" s="40"/>
      <c r="X11" s="29" t="e">
        <f t="shared" si="5"/>
        <v>#DIV/0!</v>
      </c>
      <c r="Y11" s="87">
        <f>Tabela2736810121416192123252730[[#This Row],[Nº]]</f>
        <v>7</v>
      </c>
      <c r="Z11" s="41"/>
      <c r="AA11" s="42"/>
      <c r="AB11" s="28" t="e">
        <f t="shared" si="6"/>
        <v>#DIV/0!</v>
      </c>
      <c r="AC11" s="39"/>
      <c r="AD11" s="40"/>
      <c r="AE11" s="30" t="e">
        <f t="shared" si="7"/>
        <v>#DIV/0!</v>
      </c>
    </row>
    <row r="12" spans="1:31" ht="15">
      <c r="A12" s="72">
        <v>8</v>
      </c>
      <c r="B12" s="60" t="str">
        <f>IF('5A-B'!B10&lt;&gt;0,'5A-B'!B10,"")</f>
        <v/>
      </c>
      <c r="C12" s="61" t="str">
        <f>IF('5A-B'!C10&lt;&gt;0,'5A-B'!C10,"")</f>
        <v/>
      </c>
      <c r="D12" s="62" t="str">
        <f>IF('5A-B'!D10&lt;&gt;0,'5A-B'!D10,"")</f>
        <v/>
      </c>
      <c r="E12" s="43"/>
      <c r="F12" s="42"/>
      <c r="G12" s="28" t="e">
        <f t="shared" si="0"/>
        <v>#DIV/0!</v>
      </c>
      <c r="H12" s="39"/>
      <c r="I12" s="40"/>
      <c r="J12" s="29" t="e">
        <f t="shared" si="1"/>
        <v>#DIV/0!</v>
      </c>
      <c r="K12" s="87">
        <f>Tabela2736810121416192123252730[[#This Row],[Nº]]</f>
        <v>8</v>
      </c>
      <c r="L12" s="41"/>
      <c r="M12" s="42"/>
      <c r="N12" s="28" t="e">
        <f t="shared" si="2"/>
        <v>#DIV/0!</v>
      </c>
      <c r="O12" s="39"/>
      <c r="P12" s="40"/>
      <c r="Q12" s="29" t="e">
        <f t="shared" si="3"/>
        <v>#DIV/0!</v>
      </c>
      <c r="R12" s="87">
        <f>Tabela2736810121416192123252730[[#This Row],[Nº]]</f>
        <v>8</v>
      </c>
      <c r="S12" s="41"/>
      <c r="T12" s="42"/>
      <c r="U12" s="28" t="e">
        <f t="shared" si="4"/>
        <v>#DIV/0!</v>
      </c>
      <c r="V12" s="39"/>
      <c r="W12" s="40"/>
      <c r="X12" s="29" t="e">
        <f t="shared" si="5"/>
        <v>#DIV/0!</v>
      </c>
      <c r="Y12" s="87">
        <f>Tabela2736810121416192123252730[[#This Row],[Nº]]</f>
        <v>8</v>
      </c>
      <c r="Z12" s="41"/>
      <c r="AA12" s="42"/>
      <c r="AB12" s="28" t="e">
        <f t="shared" si="6"/>
        <v>#DIV/0!</v>
      </c>
      <c r="AC12" s="39"/>
      <c r="AD12" s="40"/>
      <c r="AE12" s="30" t="e">
        <f t="shared" si="7"/>
        <v>#DIV/0!</v>
      </c>
    </row>
    <row r="13" spans="1:31" ht="15">
      <c r="A13" s="72">
        <v>9</v>
      </c>
      <c r="B13" s="60" t="str">
        <f>IF('5A-B'!B11&lt;&gt;0,'5A-B'!B11,"")</f>
        <v/>
      </c>
      <c r="C13" s="61" t="str">
        <f>IF('5A-B'!C11&lt;&gt;0,'5A-B'!C11,"")</f>
        <v/>
      </c>
      <c r="D13" s="62" t="str">
        <f>IF('5A-B'!D11&lt;&gt;0,'5A-B'!D11,"")</f>
        <v/>
      </c>
      <c r="E13" s="43"/>
      <c r="F13" s="42"/>
      <c r="G13" s="28" t="e">
        <f t="shared" si="0"/>
        <v>#DIV/0!</v>
      </c>
      <c r="H13" s="39"/>
      <c r="I13" s="40"/>
      <c r="J13" s="29" t="e">
        <f t="shared" si="1"/>
        <v>#DIV/0!</v>
      </c>
      <c r="K13" s="87">
        <f>Tabela2736810121416192123252730[[#This Row],[Nº]]</f>
        <v>9</v>
      </c>
      <c r="L13" s="41"/>
      <c r="M13" s="42"/>
      <c r="N13" s="28" t="e">
        <f t="shared" si="2"/>
        <v>#DIV/0!</v>
      </c>
      <c r="O13" s="39"/>
      <c r="P13" s="40"/>
      <c r="Q13" s="29" t="e">
        <f t="shared" si="3"/>
        <v>#DIV/0!</v>
      </c>
      <c r="R13" s="87">
        <f>Tabela2736810121416192123252730[[#This Row],[Nº]]</f>
        <v>9</v>
      </c>
      <c r="S13" s="41"/>
      <c r="T13" s="42"/>
      <c r="U13" s="28" t="e">
        <f t="shared" si="4"/>
        <v>#DIV/0!</v>
      </c>
      <c r="V13" s="39"/>
      <c r="W13" s="40"/>
      <c r="X13" s="29" t="e">
        <f t="shared" si="5"/>
        <v>#DIV/0!</v>
      </c>
      <c r="Y13" s="87">
        <f>Tabela2736810121416192123252730[[#This Row],[Nº]]</f>
        <v>9</v>
      </c>
      <c r="Z13" s="41"/>
      <c r="AA13" s="42"/>
      <c r="AB13" s="28" t="e">
        <f t="shared" si="6"/>
        <v>#DIV/0!</v>
      </c>
      <c r="AC13" s="39"/>
      <c r="AD13" s="40"/>
      <c r="AE13" s="30" t="e">
        <f t="shared" si="7"/>
        <v>#DIV/0!</v>
      </c>
    </row>
    <row r="14" spans="1:31" ht="15">
      <c r="A14" s="72">
        <v>10</v>
      </c>
      <c r="B14" s="60" t="str">
        <f>IF('5A-B'!B12&lt;&gt;0,'5A-B'!B12,"")</f>
        <v/>
      </c>
      <c r="C14" s="61" t="str">
        <f>IF('5A-B'!C12&lt;&gt;0,'5A-B'!C12,"")</f>
        <v/>
      </c>
      <c r="D14" s="62" t="str">
        <f>IF('5A-B'!D12&lt;&gt;0,'5A-B'!D12,"")</f>
        <v/>
      </c>
      <c r="E14" s="43"/>
      <c r="F14" s="42"/>
      <c r="G14" s="28" t="e">
        <f t="shared" si="0"/>
        <v>#DIV/0!</v>
      </c>
      <c r="H14" s="39"/>
      <c r="I14" s="40"/>
      <c r="J14" s="29" t="e">
        <f t="shared" si="1"/>
        <v>#DIV/0!</v>
      </c>
      <c r="K14" s="87">
        <f>Tabela2736810121416192123252730[[#This Row],[Nº]]</f>
        <v>10</v>
      </c>
      <c r="L14" s="41"/>
      <c r="M14" s="42"/>
      <c r="N14" s="28" t="e">
        <f t="shared" si="2"/>
        <v>#DIV/0!</v>
      </c>
      <c r="O14" s="39"/>
      <c r="P14" s="40"/>
      <c r="Q14" s="29" t="e">
        <f t="shared" si="3"/>
        <v>#DIV/0!</v>
      </c>
      <c r="R14" s="87">
        <f>Tabela2736810121416192123252730[[#This Row],[Nº]]</f>
        <v>10</v>
      </c>
      <c r="S14" s="41"/>
      <c r="T14" s="42"/>
      <c r="U14" s="28" t="e">
        <f t="shared" si="4"/>
        <v>#DIV/0!</v>
      </c>
      <c r="V14" s="39"/>
      <c r="W14" s="40"/>
      <c r="X14" s="29" t="e">
        <f t="shared" si="5"/>
        <v>#DIV/0!</v>
      </c>
      <c r="Y14" s="87">
        <f>Tabela2736810121416192123252730[[#This Row],[Nº]]</f>
        <v>10</v>
      </c>
      <c r="Z14" s="41"/>
      <c r="AA14" s="42"/>
      <c r="AB14" s="28" t="e">
        <f t="shared" si="6"/>
        <v>#DIV/0!</v>
      </c>
      <c r="AC14" s="39"/>
      <c r="AD14" s="40"/>
      <c r="AE14" s="30" t="e">
        <f t="shared" si="7"/>
        <v>#DIV/0!</v>
      </c>
    </row>
    <row r="15" spans="1:31" ht="15">
      <c r="A15" s="72">
        <v>11</v>
      </c>
      <c r="B15" s="60" t="str">
        <f>IF('5A-B'!B13&lt;&gt;0,'5A-B'!B13,"")</f>
        <v/>
      </c>
      <c r="C15" s="61" t="str">
        <f>IF('5A-B'!C13&lt;&gt;0,'5A-B'!C13,"")</f>
        <v/>
      </c>
      <c r="D15" s="62" t="str">
        <f>IF('5A-B'!D13&lt;&gt;0,'5A-B'!D13,"")</f>
        <v/>
      </c>
      <c r="E15" s="43"/>
      <c r="F15" s="42"/>
      <c r="G15" s="28" t="e">
        <f t="shared" si="0"/>
        <v>#DIV/0!</v>
      </c>
      <c r="H15" s="39"/>
      <c r="I15" s="40"/>
      <c r="J15" s="29" t="e">
        <f t="shared" si="1"/>
        <v>#DIV/0!</v>
      </c>
      <c r="K15" s="87">
        <f>Tabela2736810121416192123252730[[#This Row],[Nº]]</f>
        <v>11</v>
      </c>
      <c r="L15" s="41"/>
      <c r="M15" s="42"/>
      <c r="N15" s="28" t="e">
        <f t="shared" si="2"/>
        <v>#DIV/0!</v>
      </c>
      <c r="O15" s="39"/>
      <c r="P15" s="40"/>
      <c r="Q15" s="29" t="e">
        <f t="shared" si="3"/>
        <v>#DIV/0!</v>
      </c>
      <c r="R15" s="87">
        <f>Tabela2736810121416192123252730[[#This Row],[Nº]]</f>
        <v>11</v>
      </c>
      <c r="S15" s="41"/>
      <c r="T15" s="42"/>
      <c r="U15" s="28" t="e">
        <f t="shared" si="4"/>
        <v>#DIV/0!</v>
      </c>
      <c r="V15" s="39"/>
      <c r="W15" s="40"/>
      <c r="X15" s="29" t="e">
        <f t="shared" si="5"/>
        <v>#DIV/0!</v>
      </c>
      <c r="Y15" s="87">
        <f>Tabela2736810121416192123252730[[#This Row],[Nº]]</f>
        <v>11</v>
      </c>
      <c r="Z15" s="41"/>
      <c r="AA15" s="42"/>
      <c r="AB15" s="28" t="e">
        <f t="shared" si="6"/>
        <v>#DIV/0!</v>
      </c>
      <c r="AC15" s="39"/>
      <c r="AD15" s="40"/>
      <c r="AE15" s="30" t="e">
        <f t="shared" si="7"/>
        <v>#DIV/0!</v>
      </c>
    </row>
    <row r="16" spans="1:31" ht="15">
      <c r="A16" s="72">
        <v>12</v>
      </c>
      <c r="B16" s="60" t="str">
        <f>IF('5A-B'!B14&lt;&gt;0,'5A-B'!B14,"")</f>
        <v/>
      </c>
      <c r="C16" s="61" t="str">
        <f>IF('5A-B'!C14&lt;&gt;0,'5A-B'!C14,"")</f>
        <v/>
      </c>
      <c r="D16" s="62" t="str">
        <f>IF('5A-B'!D14&lt;&gt;0,'5A-B'!D14,"")</f>
        <v/>
      </c>
      <c r="E16" s="43"/>
      <c r="F16" s="42"/>
      <c r="G16" s="28" t="e">
        <f t="shared" si="0"/>
        <v>#DIV/0!</v>
      </c>
      <c r="H16" s="39"/>
      <c r="I16" s="40"/>
      <c r="J16" s="29" t="e">
        <f t="shared" si="1"/>
        <v>#DIV/0!</v>
      </c>
      <c r="K16" s="87">
        <f>Tabela2736810121416192123252730[[#This Row],[Nº]]</f>
        <v>12</v>
      </c>
      <c r="L16" s="41"/>
      <c r="M16" s="42"/>
      <c r="N16" s="28" t="e">
        <f t="shared" si="2"/>
        <v>#DIV/0!</v>
      </c>
      <c r="O16" s="39"/>
      <c r="P16" s="40"/>
      <c r="Q16" s="29" t="e">
        <f t="shared" si="3"/>
        <v>#DIV/0!</v>
      </c>
      <c r="R16" s="87">
        <f>Tabela2736810121416192123252730[[#This Row],[Nº]]</f>
        <v>12</v>
      </c>
      <c r="S16" s="41"/>
      <c r="T16" s="42"/>
      <c r="U16" s="28" t="e">
        <f t="shared" si="4"/>
        <v>#DIV/0!</v>
      </c>
      <c r="V16" s="39"/>
      <c r="W16" s="40"/>
      <c r="X16" s="29" t="e">
        <f t="shared" si="5"/>
        <v>#DIV/0!</v>
      </c>
      <c r="Y16" s="87">
        <f>Tabela2736810121416192123252730[[#This Row],[Nº]]</f>
        <v>12</v>
      </c>
      <c r="Z16" s="41"/>
      <c r="AA16" s="42"/>
      <c r="AB16" s="28" t="e">
        <f t="shared" si="6"/>
        <v>#DIV/0!</v>
      </c>
      <c r="AC16" s="39"/>
      <c r="AD16" s="40"/>
      <c r="AE16" s="30" t="e">
        <f t="shared" si="7"/>
        <v>#DIV/0!</v>
      </c>
    </row>
    <row r="17" spans="1:31" ht="15">
      <c r="A17" s="72">
        <v>13</v>
      </c>
      <c r="B17" s="60" t="str">
        <f>IF('5A-B'!B15&lt;&gt;0,'5A-B'!B15,"")</f>
        <v/>
      </c>
      <c r="C17" s="61" t="str">
        <f>IF('5A-B'!C15&lt;&gt;0,'5A-B'!C15,"")</f>
        <v/>
      </c>
      <c r="D17" s="62" t="str">
        <f>IF('5A-B'!D15&lt;&gt;0,'5A-B'!D15,"")</f>
        <v/>
      </c>
      <c r="E17" s="43"/>
      <c r="F17" s="42"/>
      <c r="G17" s="28" t="e">
        <f t="shared" si="0"/>
        <v>#DIV/0!</v>
      </c>
      <c r="H17" s="39"/>
      <c r="I17" s="40"/>
      <c r="J17" s="29" t="e">
        <f t="shared" si="1"/>
        <v>#DIV/0!</v>
      </c>
      <c r="K17" s="87">
        <f>Tabela2736810121416192123252730[[#This Row],[Nº]]</f>
        <v>13</v>
      </c>
      <c r="L17" s="41"/>
      <c r="M17" s="42"/>
      <c r="N17" s="28" t="e">
        <f t="shared" si="2"/>
        <v>#DIV/0!</v>
      </c>
      <c r="O17" s="39"/>
      <c r="P17" s="40"/>
      <c r="Q17" s="29" t="e">
        <f t="shared" si="3"/>
        <v>#DIV/0!</v>
      </c>
      <c r="R17" s="87">
        <f>Tabela2736810121416192123252730[[#This Row],[Nº]]</f>
        <v>13</v>
      </c>
      <c r="S17" s="41"/>
      <c r="T17" s="42"/>
      <c r="U17" s="28" t="e">
        <f t="shared" si="4"/>
        <v>#DIV/0!</v>
      </c>
      <c r="V17" s="39"/>
      <c r="W17" s="40"/>
      <c r="X17" s="29" t="e">
        <f t="shared" si="5"/>
        <v>#DIV/0!</v>
      </c>
      <c r="Y17" s="87">
        <f>Tabela2736810121416192123252730[[#This Row],[Nº]]</f>
        <v>13</v>
      </c>
      <c r="Z17" s="41"/>
      <c r="AA17" s="42"/>
      <c r="AB17" s="28" t="e">
        <f t="shared" si="6"/>
        <v>#DIV/0!</v>
      </c>
      <c r="AC17" s="39"/>
      <c r="AD17" s="40"/>
      <c r="AE17" s="30" t="e">
        <f t="shared" si="7"/>
        <v>#DIV/0!</v>
      </c>
    </row>
    <row r="18" spans="1:31" ht="15">
      <c r="A18" s="72">
        <v>14</v>
      </c>
      <c r="B18" s="60" t="str">
        <f>IF('5A-B'!B16&lt;&gt;0,'5A-B'!B16,"")</f>
        <v/>
      </c>
      <c r="C18" s="61" t="str">
        <f>IF('5A-B'!C16&lt;&gt;0,'5A-B'!C16,"")</f>
        <v/>
      </c>
      <c r="D18" s="62" t="str">
        <f>IF('5A-B'!D16&lt;&gt;0,'5A-B'!D16,"")</f>
        <v/>
      </c>
      <c r="E18" s="43"/>
      <c r="F18" s="42"/>
      <c r="G18" s="28" t="e">
        <f t="shared" si="0"/>
        <v>#DIV/0!</v>
      </c>
      <c r="H18" s="39"/>
      <c r="I18" s="40"/>
      <c r="J18" s="29" t="e">
        <f t="shared" si="1"/>
        <v>#DIV/0!</v>
      </c>
      <c r="K18" s="87">
        <f>Tabela2736810121416192123252730[[#This Row],[Nº]]</f>
        <v>14</v>
      </c>
      <c r="L18" s="41"/>
      <c r="M18" s="42"/>
      <c r="N18" s="28" t="e">
        <f t="shared" si="2"/>
        <v>#DIV/0!</v>
      </c>
      <c r="O18" s="39"/>
      <c r="P18" s="40"/>
      <c r="Q18" s="29" t="e">
        <f t="shared" si="3"/>
        <v>#DIV/0!</v>
      </c>
      <c r="R18" s="87">
        <f>Tabela2736810121416192123252730[[#This Row],[Nº]]</f>
        <v>14</v>
      </c>
      <c r="S18" s="41"/>
      <c r="T18" s="42"/>
      <c r="U18" s="28" t="e">
        <f t="shared" si="4"/>
        <v>#DIV/0!</v>
      </c>
      <c r="V18" s="39"/>
      <c r="W18" s="40"/>
      <c r="X18" s="29" t="e">
        <f t="shared" si="5"/>
        <v>#DIV/0!</v>
      </c>
      <c r="Y18" s="87">
        <f>Tabela2736810121416192123252730[[#This Row],[Nº]]</f>
        <v>14</v>
      </c>
      <c r="Z18" s="41"/>
      <c r="AA18" s="42"/>
      <c r="AB18" s="28" t="e">
        <f t="shared" si="6"/>
        <v>#DIV/0!</v>
      </c>
      <c r="AC18" s="39"/>
      <c r="AD18" s="40"/>
      <c r="AE18" s="30" t="e">
        <f t="shared" si="7"/>
        <v>#DIV/0!</v>
      </c>
    </row>
    <row r="19" spans="1:31" ht="15">
      <c r="A19" s="72">
        <v>15</v>
      </c>
      <c r="B19" s="60" t="str">
        <f>IF('5A-B'!B17&lt;&gt;0,'5A-B'!B17,"")</f>
        <v/>
      </c>
      <c r="C19" s="61" t="str">
        <f>IF('5A-B'!C17&lt;&gt;0,'5A-B'!C17,"")</f>
        <v/>
      </c>
      <c r="D19" s="62" t="str">
        <f>IF('5A-B'!D17&lt;&gt;0,'5A-B'!D17,"")</f>
        <v/>
      </c>
      <c r="E19" s="43"/>
      <c r="F19" s="42"/>
      <c r="G19" s="28" t="e">
        <f t="shared" si="0"/>
        <v>#DIV/0!</v>
      </c>
      <c r="H19" s="39"/>
      <c r="I19" s="40"/>
      <c r="J19" s="29" t="e">
        <f t="shared" si="1"/>
        <v>#DIV/0!</v>
      </c>
      <c r="K19" s="87">
        <f>Tabela2736810121416192123252730[[#This Row],[Nº]]</f>
        <v>15</v>
      </c>
      <c r="L19" s="41"/>
      <c r="M19" s="42"/>
      <c r="N19" s="28" t="e">
        <f t="shared" si="2"/>
        <v>#DIV/0!</v>
      </c>
      <c r="O19" s="39"/>
      <c r="P19" s="40"/>
      <c r="Q19" s="29" t="e">
        <f t="shared" si="3"/>
        <v>#DIV/0!</v>
      </c>
      <c r="R19" s="87">
        <f>Tabela2736810121416192123252730[[#This Row],[Nº]]</f>
        <v>15</v>
      </c>
      <c r="S19" s="41"/>
      <c r="T19" s="42"/>
      <c r="U19" s="28" t="e">
        <f t="shared" si="4"/>
        <v>#DIV/0!</v>
      </c>
      <c r="V19" s="39"/>
      <c r="W19" s="40"/>
      <c r="X19" s="29" t="e">
        <f t="shared" si="5"/>
        <v>#DIV/0!</v>
      </c>
      <c r="Y19" s="87">
        <f>Tabela2736810121416192123252730[[#This Row],[Nº]]</f>
        <v>15</v>
      </c>
      <c r="Z19" s="41"/>
      <c r="AA19" s="42"/>
      <c r="AB19" s="28" t="e">
        <f t="shared" si="6"/>
        <v>#DIV/0!</v>
      </c>
      <c r="AC19" s="39"/>
      <c r="AD19" s="40"/>
      <c r="AE19" s="30" t="e">
        <f t="shared" si="7"/>
        <v>#DIV/0!</v>
      </c>
    </row>
    <row r="20" spans="1:31" ht="15">
      <c r="A20" s="72">
        <v>16</v>
      </c>
      <c r="B20" s="60" t="str">
        <f>IF('5A-B'!B18&lt;&gt;0,'5A-B'!B18,"")</f>
        <v/>
      </c>
      <c r="C20" s="61" t="str">
        <f>IF('5A-B'!C18&lt;&gt;0,'5A-B'!C18,"")</f>
        <v/>
      </c>
      <c r="D20" s="62" t="str">
        <f>IF('5A-B'!D18&lt;&gt;0,'5A-B'!D18,"")</f>
        <v/>
      </c>
      <c r="E20" s="43"/>
      <c r="F20" s="42"/>
      <c r="G20" s="28" t="e">
        <f t="shared" si="0"/>
        <v>#DIV/0!</v>
      </c>
      <c r="H20" s="39"/>
      <c r="I20" s="40"/>
      <c r="J20" s="29" t="e">
        <f t="shared" si="1"/>
        <v>#DIV/0!</v>
      </c>
      <c r="K20" s="87">
        <f>Tabela2736810121416192123252730[[#This Row],[Nº]]</f>
        <v>16</v>
      </c>
      <c r="L20" s="41"/>
      <c r="M20" s="42"/>
      <c r="N20" s="28" t="e">
        <f t="shared" si="2"/>
        <v>#DIV/0!</v>
      </c>
      <c r="O20" s="39"/>
      <c r="P20" s="40"/>
      <c r="Q20" s="29" t="e">
        <f t="shared" si="3"/>
        <v>#DIV/0!</v>
      </c>
      <c r="R20" s="87">
        <f>Tabela2736810121416192123252730[[#This Row],[Nº]]</f>
        <v>16</v>
      </c>
      <c r="S20" s="41"/>
      <c r="T20" s="42"/>
      <c r="U20" s="28" t="e">
        <f t="shared" si="4"/>
        <v>#DIV/0!</v>
      </c>
      <c r="V20" s="39"/>
      <c r="W20" s="40"/>
      <c r="X20" s="29" t="e">
        <f t="shared" si="5"/>
        <v>#DIV/0!</v>
      </c>
      <c r="Y20" s="87">
        <f>Tabela2736810121416192123252730[[#This Row],[Nº]]</f>
        <v>16</v>
      </c>
      <c r="Z20" s="41"/>
      <c r="AA20" s="42"/>
      <c r="AB20" s="28" t="e">
        <f t="shared" si="6"/>
        <v>#DIV/0!</v>
      </c>
      <c r="AC20" s="39"/>
      <c r="AD20" s="40"/>
      <c r="AE20" s="30" t="e">
        <f t="shared" si="7"/>
        <v>#DIV/0!</v>
      </c>
    </row>
    <row r="21" spans="1:31" ht="15">
      <c r="A21" s="72">
        <v>17</v>
      </c>
      <c r="B21" s="60" t="str">
        <f>IF('5A-B'!B19&lt;&gt;0,'5A-B'!B19,"")</f>
        <v/>
      </c>
      <c r="C21" s="61" t="str">
        <f>IF('5A-B'!C19&lt;&gt;0,'5A-B'!C19,"")</f>
        <v/>
      </c>
      <c r="D21" s="62" t="str">
        <f>IF('5A-B'!D19&lt;&gt;0,'5A-B'!D19,"")</f>
        <v/>
      </c>
      <c r="E21" s="43"/>
      <c r="F21" s="42"/>
      <c r="G21" s="28" t="e">
        <f t="shared" si="0"/>
        <v>#DIV/0!</v>
      </c>
      <c r="H21" s="39"/>
      <c r="I21" s="40"/>
      <c r="J21" s="29" t="e">
        <f t="shared" si="1"/>
        <v>#DIV/0!</v>
      </c>
      <c r="K21" s="87">
        <f>Tabela2736810121416192123252730[[#This Row],[Nº]]</f>
        <v>17</v>
      </c>
      <c r="L21" s="41"/>
      <c r="M21" s="42"/>
      <c r="N21" s="28" t="e">
        <f t="shared" si="2"/>
        <v>#DIV/0!</v>
      </c>
      <c r="O21" s="39"/>
      <c r="P21" s="40"/>
      <c r="Q21" s="29" t="e">
        <f t="shared" si="3"/>
        <v>#DIV/0!</v>
      </c>
      <c r="R21" s="87">
        <f>Tabela2736810121416192123252730[[#This Row],[Nº]]</f>
        <v>17</v>
      </c>
      <c r="S21" s="41"/>
      <c r="T21" s="42"/>
      <c r="U21" s="28" t="e">
        <f t="shared" si="4"/>
        <v>#DIV/0!</v>
      </c>
      <c r="V21" s="39"/>
      <c r="W21" s="40"/>
      <c r="X21" s="29" t="e">
        <f t="shared" si="5"/>
        <v>#DIV/0!</v>
      </c>
      <c r="Y21" s="87">
        <f>Tabela2736810121416192123252730[[#This Row],[Nº]]</f>
        <v>17</v>
      </c>
      <c r="Z21" s="41"/>
      <c r="AA21" s="42"/>
      <c r="AB21" s="28" t="e">
        <f t="shared" si="6"/>
        <v>#DIV/0!</v>
      </c>
      <c r="AC21" s="39"/>
      <c r="AD21" s="40"/>
      <c r="AE21" s="30" t="e">
        <f t="shared" si="7"/>
        <v>#DIV/0!</v>
      </c>
    </row>
    <row r="22" spans="1:31" ht="15">
      <c r="A22" s="72">
        <v>18</v>
      </c>
      <c r="B22" s="60" t="str">
        <f>IF('5A-B'!B20&lt;&gt;0,'5A-B'!B20,"")</f>
        <v/>
      </c>
      <c r="C22" s="61" t="str">
        <f>IF('5A-B'!C20&lt;&gt;0,'5A-B'!C20,"")</f>
        <v/>
      </c>
      <c r="D22" s="62" t="str">
        <f>IF('5A-B'!D20&lt;&gt;0,'5A-B'!D20,"")</f>
        <v/>
      </c>
      <c r="E22" s="43"/>
      <c r="F22" s="42"/>
      <c r="G22" s="28" t="e">
        <f t="shared" si="0"/>
        <v>#DIV/0!</v>
      </c>
      <c r="H22" s="39"/>
      <c r="I22" s="40"/>
      <c r="J22" s="29" t="e">
        <f t="shared" si="1"/>
        <v>#DIV/0!</v>
      </c>
      <c r="K22" s="87">
        <f>Tabela2736810121416192123252730[[#This Row],[Nº]]</f>
        <v>18</v>
      </c>
      <c r="L22" s="41"/>
      <c r="M22" s="42"/>
      <c r="N22" s="28" t="e">
        <f t="shared" si="2"/>
        <v>#DIV/0!</v>
      </c>
      <c r="O22" s="39"/>
      <c r="P22" s="40"/>
      <c r="Q22" s="29" t="e">
        <f t="shared" si="3"/>
        <v>#DIV/0!</v>
      </c>
      <c r="R22" s="87">
        <f>Tabela2736810121416192123252730[[#This Row],[Nº]]</f>
        <v>18</v>
      </c>
      <c r="S22" s="41"/>
      <c r="T22" s="42"/>
      <c r="U22" s="28" t="e">
        <f t="shared" si="4"/>
        <v>#DIV/0!</v>
      </c>
      <c r="V22" s="39"/>
      <c r="W22" s="40"/>
      <c r="X22" s="29" t="e">
        <f t="shared" si="5"/>
        <v>#DIV/0!</v>
      </c>
      <c r="Y22" s="87">
        <f>Tabela2736810121416192123252730[[#This Row],[Nº]]</f>
        <v>18</v>
      </c>
      <c r="Z22" s="41"/>
      <c r="AA22" s="42"/>
      <c r="AB22" s="28" t="e">
        <f t="shared" si="6"/>
        <v>#DIV/0!</v>
      </c>
      <c r="AC22" s="39"/>
      <c r="AD22" s="40"/>
      <c r="AE22" s="30" t="e">
        <f t="shared" si="7"/>
        <v>#DIV/0!</v>
      </c>
    </row>
    <row r="23" spans="1:31" ht="15">
      <c r="A23" s="72">
        <v>19</v>
      </c>
      <c r="B23" s="60" t="str">
        <f>IF('5A-B'!B21&lt;&gt;0,'5A-B'!B21,"")</f>
        <v/>
      </c>
      <c r="C23" s="61" t="str">
        <f>IF('5A-B'!C21&lt;&gt;0,'5A-B'!C21,"")</f>
        <v/>
      </c>
      <c r="D23" s="62" t="str">
        <f>IF('5A-B'!D21&lt;&gt;0,'5A-B'!D21,"")</f>
        <v/>
      </c>
      <c r="E23" s="43"/>
      <c r="F23" s="42"/>
      <c r="G23" s="28" t="e">
        <f t="shared" si="0"/>
        <v>#DIV/0!</v>
      </c>
      <c r="H23" s="39"/>
      <c r="I23" s="40"/>
      <c r="J23" s="29" t="e">
        <f t="shared" si="1"/>
        <v>#DIV/0!</v>
      </c>
      <c r="K23" s="87">
        <f>Tabela2736810121416192123252730[[#This Row],[Nº]]</f>
        <v>19</v>
      </c>
      <c r="L23" s="41"/>
      <c r="M23" s="42"/>
      <c r="N23" s="28" t="e">
        <f t="shared" si="2"/>
        <v>#DIV/0!</v>
      </c>
      <c r="O23" s="39"/>
      <c r="P23" s="40"/>
      <c r="Q23" s="29" t="e">
        <f t="shared" si="3"/>
        <v>#DIV/0!</v>
      </c>
      <c r="R23" s="87">
        <f>Tabela2736810121416192123252730[[#This Row],[Nº]]</f>
        <v>19</v>
      </c>
      <c r="S23" s="41"/>
      <c r="T23" s="42"/>
      <c r="U23" s="28" t="e">
        <f t="shared" si="4"/>
        <v>#DIV/0!</v>
      </c>
      <c r="V23" s="39"/>
      <c r="W23" s="40"/>
      <c r="X23" s="29" t="e">
        <f t="shared" si="5"/>
        <v>#DIV/0!</v>
      </c>
      <c r="Y23" s="87">
        <f>Tabela2736810121416192123252730[[#This Row],[Nº]]</f>
        <v>19</v>
      </c>
      <c r="Z23" s="41"/>
      <c r="AA23" s="42"/>
      <c r="AB23" s="28" t="e">
        <f t="shared" si="6"/>
        <v>#DIV/0!</v>
      </c>
      <c r="AC23" s="39"/>
      <c r="AD23" s="40"/>
      <c r="AE23" s="30" t="e">
        <f t="shared" si="7"/>
        <v>#DIV/0!</v>
      </c>
    </row>
    <row r="24" spans="1:31" ht="15">
      <c r="A24" s="72">
        <v>20</v>
      </c>
      <c r="B24" s="60" t="str">
        <f>IF('5A-B'!B22&lt;&gt;0,'5A-B'!B22,"")</f>
        <v/>
      </c>
      <c r="C24" s="61" t="str">
        <f>IF('5A-B'!C22&lt;&gt;0,'5A-B'!C22,"")</f>
        <v/>
      </c>
      <c r="D24" s="62" t="str">
        <f>IF('5A-B'!D22&lt;&gt;0,'5A-B'!D22,"")</f>
        <v/>
      </c>
      <c r="E24" s="43"/>
      <c r="F24" s="42"/>
      <c r="G24" s="28" t="e">
        <f t="shared" si="0"/>
        <v>#DIV/0!</v>
      </c>
      <c r="H24" s="39"/>
      <c r="I24" s="40"/>
      <c r="J24" s="29" t="e">
        <f t="shared" si="1"/>
        <v>#DIV/0!</v>
      </c>
      <c r="K24" s="87">
        <f>Tabela2736810121416192123252730[[#This Row],[Nº]]</f>
        <v>20</v>
      </c>
      <c r="L24" s="41"/>
      <c r="M24" s="42"/>
      <c r="N24" s="28" t="e">
        <f t="shared" si="2"/>
        <v>#DIV/0!</v>
      </c>
      <c r="O24" s="39"/>
      <c r="P24" s="40"/>
      <c r="Q24" s="29" t="e">
        <f t="shared" si="3"/>
        <v>#DIV/0!</v>
      </c>
      <c r="R24" s="87">
        <f>Tabela2736810121416192123252730[[#This Row],[Nº]]</f>
        <v>20</v>
      </c>
      <c r="S24" s="41"/>
      <c r="T24" s="42"/>
      <c r="U24" s="28" t="e">
        <f t="shared" si="4"/>
        <v>#DIV/0!</v>
      </c>
      <c r="V24" s="39"/>
      <c r="W24" s="40"/>
      <c r="X24" s="29" t="e">
        <f t="shared" si="5"/>
        <v>#DIV/0!</v>
      </c>
      <c r="Y24" s="87">
        <f>Tabela2736810121416192123252730[[#This Row],[Nº]]</f>
        <v>20</v>
      </c>
      <c r="Z24" s="41"/>
      <c r="AA24" s="42"/>
      <c r="AB24" s="28" t="e">
        <f t="shared" si="6"/>
        <v>#DIV/0!</v>
      </c>
      <c r="AC24" s="39"/>
      <c r="AD24" s="40"/>
      <c r="AE24" s="30" t="e">
        <f t="shared" si="7"/>
        <v>#DIV/0!</v>
      </c>
    </row>
    <row r="25" spans="1:31" ht="15">
      <c r="A25" s="72">
        <v>21</v>
      </c>
      <c r="B25" s="60" t="str">
        <f>IF('5A-B'!B23&lt;&gt;0,'5A-B'!B23,"")</f>
        <v/>
      </c>
      <c r="C25" s="61" t="str">
        <f>IF('5A-B'!C23&lt;&gt;0,'5A-B'!C23,"")</f>
        <v/>
      </c>
      <c r="D25" s="62" t="str">
        <f>IF('5A-B'!D23&lt;&gt;0,'5A-B'!D23,"")</f>
        <v/>
      </c>
      <c r="E25" s="43"/>
      <c r="F25" s="42"/>
      <c r="G25" s="28" t="e">
        <f t="shared" si="0"/>
        <v>#DIV/0!</v>
      </c>
      <c r="H25" s="39"/>
      <c r="I25" s="40"/>
      <c r="J25" s="29" t="e">
        <f t="shared" si="1"/>
        <v>#DIV/0!</v>
      </c>
      <c r="K25" s="87">
        <f>Tabela2736810121416192123252730[[#This Row],[Nº]]</f>
        <v>21</v>
      </c>
      <c r="L25" s="41"/>
      <c r="M25" s="42"/>
      <c r="N25" s="28" t="e">
        <f t="shared" si="2"/>
        <v>#DIV/0!</v>
      </c>
      <c r="O25" s="39"/>
      <c r="P25" s="40"/>
      <c r="Q25" s="29" t="e">
        <f t="shared" si="3"/>
        <v>#DIV/0!</v>
      </c>
      <c r="R25" s="87">
        <f>Tabela2736810121416192123252730[[#This Row],[Nº]]</f>
        <v>21</v>
      </c>
      <c r="S25" s="41"/>
      <c r="T25" s="42"/>
      <c r="U25" s="28" t="e">
        <f t="shared" si="4"/>
        <v>#DIV/0!</v>
      </c>
      <c r="V25" s="39"/>
      <c r="W25" s="40"/>
      <c r="X25" s="29" t="e">
        <f t="shared" si="5"/>
        <v>#DIV/0!</v>
      </c>
      <c r="Y25" s="87">
        <f>Tabela2736810121416192123252730[[#This Row],[Nº]]</f>
        <v>21</v>
      </c>
      <c r="Z25" s="41"/>
      <c r="AA25" s="42"/>
      <c r="AB25" s="28" t="e">
        <f t="shared" si="6"/>
        <v>#DIV/0!</v>
      </c>
      <c r="AC25" s="39"/>
      <c r="AD25" s="40"/>
      <c r="AE25" s="30" t="e">
        <f t="shared" si="7"/>
        <v>#DIV/0!</v>
      </c>
    </row>
    <row r="26" spans="1:31" ht="15">
      <c r="A26" s="72">
        <v>22</v>
      </c>
      <c r="B26" s="60" t="str">
        <f>IF('5A-B'!B24&lt;&gt;0,'5A-B'!B24,"")</f>
        <v/>
      </c>
      <c r="C26" s="61" t="str">
        <f>IF('5A-B'!C24&lt;&gt;0,'5A-B'!C24,"")</f>
        <v/>
      </c>
      <c r="D26" s="62" t="str">
        <f>IF('5A-B'!D24&lt;&gt;0,'5A-B'!D24,"")</f>
        <v/>
      </c>
      <c r="E26" s="43"/>
      <c r="F26" s="42"/>
      <c r="G26" s="28" t="e">
        <f t="shared" si="0"/>
        <v>#DIV/0!</v>
      </c>
      <c r="H26" s="39"/>
      <c r="I26" s="40"/>
      <c r="J26" s="29" t="e">
        <f t="shared" si="1"/>
        <v>#DIV/0!</v>
      </c>
      <c r="K26" s="87">
        <f>Tabela2736810121416192123252730[[#This Row],[Nº]]</f>
        <v>22</v>
      </c>
      <c r="L26" s="41"/>
      <c r="M26" s="42"/>
      <c r="N26" s="28" t="e">
        <f t="shared" si="2"/>
        <v>#DIV/0!</v>
      </c>
      <c r="O26" s="39"/>
      <c r="P26" s="40"/>
      <c r="Q26" s="29" t="e">
        <f t="shared" si="3"/>
        <v>#DIV/0!</v>
      </c>
      <c r="R26" s="87">
        <f>Tabela2736810121416192123252730[[#This Row],[Nº]]</f>
        <v>22</v>
      </c>
      <c r="S26" s="41"/>
      <c r="T26" s="42"/>
      <c r="U26" s="28" t="e">
        <f t="shared" si="4"/>
        <v>#DIV/0!</v>
      </c>
      <c r="V26" s="39"/>
      <c r="W26" s="40"/>
      <c r="X26" s="29" t="e">
        <f t="shared" si="5"/>
        <v>#DIV/0!</v>
      </c>
      <c r="Y26" s="87">
        <f>Tabela2736810121416192123252730[[#This Row],[Nº]]</f>
        <v>22</v>
      </c>
      <c r="Z26" s="41"/>
      <c r="AA26" s="42"/>
      <c r="AB26" s="28" t="e">
        <f t="shared" si="6"/>
        <v>#DIV/0!</v>
      </c>
      <c r="AC26" s="39"/>
      <c r="AD26" s="40"/>
      <c r="AE26" s="30" t="e">
        <f t="shared" si="7"/>
        <v>#DIV/0!</v>
      </c>
    </row>
    <row r="27" spans="1:31" ht="15">
      <c r="A27" s="72">
        <v>23</v>
      </c>
      <c r="B27" s="60" t="str">
        <f>IF('5A-B'!B25&lt;&gt;0,'5A-B'!B25,"")</f>
        <v/>
      </c>
      <c r="C27" s="61" t="str">
        <f>IF('5A-B'!C25&lt;&gt;0,'5A-B'!C25,"")</f>
        <v/>
      </c>
      <c r="D27" s="62" t="str">
        <f>IF('5A-B'!D25&lt;&gt;0,'5A-B'!D25,"")</f>
        <v/>
      </c>
      <c r="E27" s="43"/>
      <c r="F27" s="42"/>
      <c r="G27" s="28" t="e">
        <f t="shared" si="0"/>
        <v>#DIV/0!</v>
      </c>
      <c r="H27" s="39"/>
      <c r="I27" s="40"/>
      <c r="J27" s="29" t="e">
        <f t="shared" si="1"/>
        <v>#DIV/0!</v>
      </c>
      <c r="K27" s="87">
        <f>Tabela2736810121416192123252730[[#This Row],[Nº]]</f>
        <v>23</v>
      </c>
      <c r="L27" s="41"/>
      <c r="M27" s="42"/>
      <c r="N27" s="28" t="e">
        <f t="shared" si="2"/>
        <v>#DIV/0!</v>
      </c>
      <c r="O27" s="39"/>
      <c r="P27" s="40"/>
      <c r="Q27" s="29" t="e">
        <f t="shared" si="3"/>
        <v>#DIV/0!</v>
      </c>
      <c r="R27" s="87">
        <f>Tabela2736810121416192123252730[[#This Row],[Nº]]</f>
        <v>23</v>
      </c>
      <c r="S27" s="41"/>
      <c r="T27" s="42"/>
      <c r="U27" s="28" t="e">
        <f t="shared" si="4"/>
        <v>#DIV/0!</v>
      </c>
      <c r="V27" s="39"/>
      <c r="W27" s="40"/>
      <c r="X27" s="29" t="e">
        <f t="shared" si="5"/>
        <v>#DIV/0!</v>
      </c>
      <c r="Y27" s="87">
        <f>Tabela2736810121416192123252730[[#This Row],[Nº]]</f>
        <v>23</v>
      </c>
      <c r="Z27" s="41"/>
      <c r="AA27" s="42"/>
      <c r="AB27" s="28" t="e">
        <f t="shared" si="6"/>
        <v>#DIV/0!</v>
      </c>
      <c r="AC27" s="39"/>
      <c r="AD27" s="40"/>
      <c r="AE27" s="30" t="e">
        <f t="shared" si="7"/>
        <v>#DIV/0!</v>
      </c>
    </row>
    <row r="28" spans="1:31" ht="15">
      <c r="A28" s="72">
        <v>24</v>
      </c>
      <c r="B28" s="60" t="str">
        <f>IF('5A-B'!B26&lt;&gt;0,'5A-B'!B26,"")</f>
        <v/>
      </c>
      <c r="C28" s="61" t="str">
        <f>IF('5A-B'!C26&lt;&gt;0,'5A-B'!C26,"")</f>
        <v/>
      </c>
      <c r="D28" s="62" t="str">
        <f>IF('5A-B'!D26&lt;&gt;0,'5A-B'!D26,"")</f>
        <v/>
      </c>
      <c r="E28" s="43"/>
      <c r="F28" s="42"/>
      <c r="G28" s="28" t="e">
        <f t="shared" si="0"/>
        <v>#DIV/0!</v>
      </c>
      <c r="H28" s="39"/>
      <c r="I28" s="40"/>
      <c r="J28" s="29" t="e">
        <f t="shared" si="1"/>
        <v>#DIV/0!</v>
      </c>
      <c r="K28" s="87">
        <f>Tabela2736810121416192123252730[[#This Row],[Nº]]</f>
        <v>24</v>
      </c>
      <c r="L28" s="41"/>
      <c r="M28" s="42"/>
      <c r="N28" s="28" t="e">
        <f t="shared" si="2"/>
        <v>#DIV/0!</v>
      </c>
      <c r="O28" s="39"/>
      <c r="P28" s="40"/>
      <c r="Q28" s="29" t="e">
        <f t="shared" si="3"/>
        <v>#DIV/0!</v>
      </c>
      <c r="R28" s="87">
        <f>Tabela2736810121416192123252730[[#This Row],[Nº]]</f>
        <v>24</v>
      </c>
      <c r="S28" s="41"/>
      <c r="T28" s="42"/>
      <c r="U28" s="28" t="e">
        <f t="shared" si="4"/>
        <v>#DIV/0!</v>
      </c>
      <c r="V28" s="39"/>
      <c r="W28" s="40"/>
      <c r="X28" s="29" t="e">
        <f t="shared" si="5"/>
        <v>#DIV/0!</v>
      </c>
      <c r="Y28" s="87">
        <f>Tabela2736810121416192123252730[[#This Row],[Nº]]</f>
        <v>24</v>
      </c>
      <c r="Z28" s="41"/>
      <c r="AA28" s="42"/>
      <c r="AB28" s="28" t="e">
        <f t="shared" si="6"/>
        <v>#DIV/0!</v>
      </c>
      <c r="AC28" s="39"/>
      <c r="AD28" s="40"/>
      <c r="AE28" s="30" t="e">
        <f t="shared" si="7"/>
        <v>#DIV/0!</v>
      </c>
    </row>
    <row r="29" spans="1:31" ht="15">
      <c r="A29" s="72">
        <v>25</v>
      </c>
      <c r="B29" s="60" t="str">
        <f>IF('5A-B'!B27&lt;&gt;0,'5A-B'!B27,"")</f>
        <v/>
      </c>
      <c r="C29" s="61" t="str">
        <f>IF('5A-B'!C27&lt;&gt;0,'5A-B'!C27,"")</f>
        <v/>
      </c>
      <c r="D29" s="62" t="str">
        <f>IF('5A-B'!D27&lt;&gt;0,'5A-B'!D27,"")</f>
        <v/>
      </c>
      <c r="E29" s="43"/>
      <c r="F29" s="42"/>
      <c r="G29" s="28" t="e">
        <f t="shared" si="0"/>
        <v>#DIV/0!</v>
      </c>
      <c r="H29" s="39"/>
      <c r="I29" s="40"/>
      <c r="J29" s="29" t="e">
        <f t="shared" si="1"/>
        <v>#DIV/0!</v>
      </c>
      <c r="K29" s="87">
        <f>Tabela2736810121416192123252730[[#This Row],[Nº]]</f>
        <v>25</v>
      </c>
      <c r="L29" s="41"/>
      <c r="M29" s="42"/>
      <c r="N29" s="28" t="e">
        <f t="shared" si="2"/>
        <v>#DIV/0!</v>
      </c>
      <c r="O29" s="39"/>
      <c r="P29" s="40"/>
      <c r="Q29" s="29" t="e">
        <f t="shared" si="3"/>
        <v>#DIV/0!</v>
      </c>
      <c r="R29" s="87">
        <f>Tabela2736810121416192123252730[[#This Row],[Nº]]</f>
        <v>25</v>
      </c>
      <c r="S29" s="41"/>
      <c r="T29" s="42"/>
      <c r="U29" s="28" t="e">
        <f t="shared" si="4"/>
        <v>#DIV/0!</v>
      </c>
      <c r="V29" s="39"/>
      <c r="W29" s="40"/>
      <c r="X29" s="29" t="e">
        <f t="shared" si="5"/>
        <v>#DIV/0!</v>
      </c>
      <c r="Y29" s="87">
        <f>Tabela2736810121416192123252730[[#This Row],[Nº]]</f>
        <v>25</v>
      </c>
      <c r="Z29" s="41"/>
      <c r="AA29" s="42"/>
      <c r="AB29" s="28" t="e">
        <f t="shared" si="6"/>
        <v>#DIV/0!</v>
      </c>
      <c r="AC29" s="39"/>
      <c r="AD29" s="40"/>
      <c r="AE29" s="30" t="e">
        <f t="shared" si="7"/>
        <v>#DIV/0!</v>
      </c>
    </row>
    <row r="30" spans="1:31" ht="15.75">
      <c r="A30" s="183">
        <v>26</v>
      </c>
      <c r="B30" s="184" t="str">
        <f>IF('5A-B'!B28&lt;&gt;0,'5A-B'!B28,"")</f>
        <v/>
      </c>
      <c r="C30" s="185" t="str">
        <f>IF('5A-B'!C28&lt;&gt;0,'5A-B'!C28,"")</f>
        <v/>
      </c>
      <c r="D30" s="186" t="str">
        <f>IF('5A-B'!D28&lt;&gt;0,'5A-B'!D28,"")</f>
        <v/>
      </c>
      <c r="E30" s="187"/>
      <c r="F30" s="188"/>
      <c r="G30" s="189" t="e">
        <f>ROUND((E30*100)/(E30+F30),0)/100</f>
        <v>#DIV/0!</v>
      </c>
      <c r="H30" s="190"/>
      <c r="I30" s="191"/>
      <c r="J30" s="205" t="e">
        <f>ROUND((H30*100)/(H30+I30),0)/100</f>
        <v>#DIV/0!</v>
      </c>
      <c r="K30" s="193">
        <f>Tabela2736810121416192123252730[[#This Row],[Nº]]</f>
        <v>26</v>
      </c>
      <c r="L30" s="197"/>
      <c r="M30" s="188"/>
      <c r="N30" s="189" t="e">
        <f>ROUND((L30*100)/(L30+M30),0)/100</f>
        <v>#DIV/0!</v>
      </c>
      <c r="O30" s="190"/>
      <c r="P30" s="191"/>
      <c r="Q30" s="205" t="e">
        <f>ROUND((O30*100)/(O30+P30),0)/100</f>
        <v>#DIV/0!</v>
      </c>
      <c r="R30" s="193">
        <f>Tabela2736810121416192123252730[[#This Row],[Nº]]</f>
        <v>26</v>
      </c>
      <c r="S30" s="197"/>
      <c r="T30" s="188"/>
      <c r="U30" s="189" t="e">
        <f>ROUND((S30*100)/(S30+T30),0)/100</f>
        <v>#DIV/0!</v>
      </c>
      <c r="V30" s="190"/>
      <c r="W30" s="191"/>
      <c r="X30" s="205" t="e">
        <f>ROUND((V30*100)/(V30+W30),0)/100</f>
        <v>#DIV/0!</v>
      </c>
      <c r="Y30" s="193">
        <f>Tabela2736810121416192123252730[[#This Row],[Nº]]</f>
        <v>26</v>
      </c>
      <c r="Z30" s="197"/>
      <c r="AA30" s="188"/>
      <c r="AB30" s="189" t="e">
        <f>ROUND((Z30*100)/(Z30+AA30),0)/100</f>
        <v>#DIV/0!</v>
      </c>
      <c r="AC30" s="190"/>
      <c r="AD30" s="191"/>
      <c r="AE30" s="192" t="e">
        <f>ROUND((AC30*100)/(AC30+AD30),0)/100</f>
        <v>#DIV/0!</v>
      </c>
    </row>
    <row r="31" spans="1:31" ht="15.75">
      <c r="A31" s="183">
        <v>27</v>
      </c>
      <c r="B31" s="184" t="str">
        <f>IF('5A-B'!B29&lt;&gt;0,'5A-B'!B29,"")</f>
        <v/>
      </c>
      <c r="C31" s="185" t="str">
        <f>IF('5A-B'!C29&lt;&gt;0,'5A-B'!C29,"")</f>
        <v/>
      </c>
      <c r="D31" s="186" t="str">
        <f>IF('5A-B'!D29&lt;&gt;0,'5A-B'!D29,"")</f>
        <v/>
      </c>
      <c r="E31" s="187"/>
      <c r="F31" s="188"/>
      <c r="G31" s="189" t="e">
        <f>ROUND((E31*100)/(E31+F31),0)/100</f>
        <v>#DIV/0!</v>
      </c>
      <c r="H31" s="190"/>
      <c r="I31" s="191"/>
      <c r="J31" s="205" t="e">
        <f>ROUND((H31*100)/(H31+I31),0)/100</f>
        <v>#DIV/0!</v>
      </c>
      <c r="K31" s="193">
        <f>Tabela2736810121416192123252730[[#This Row],[Nº]]</f>
        <v>27</v>
      </c>
      <c r="L31" s="197"/>
      <c r="M31" s="188"/>
      <c r="N31" s="189" t="e">
        <f>ROUND((L31*100)/(L31+M31),0)/100</f>
        <v>#DIV/0!</v>
      </c>
      <c r="O31" s="190"/>
      <c r="P31" s="191"/>
      <c r="Q31" s="205" t="e">
        <f>ROUND((O31*100)/(O31+P31),0)/100</f>
        <v>#DIV/0!</v>
      </c>
      <c r="R31" s="193">
        <f>Tabela2736810121416192123252730[[#This Row],[Nº]]</f>
        <v>27</v>
      </c>
      <c r="S31" s="197"/>
      <c r="T31" s="188"/>
      <c r="U31" s="189" t="e">
        <f>ROUND((S31*100)/(S31+T31),0)/100</f>
        <v>#DIV/0!</v>
      </c>
      <c r="V31" s="190"/>
      <c r="W31" s="191"/>
      <c r="X31" s="205" t="e">
        <f>ROUND((V31*100)/(V31+W31),0)/100</f>
        <v>#DIV/0!</v>
      </c>
      <c r="Y31" s="193">
        <f>Tabela2736810121416192123252730[[#This Row],[Nº]]</f>
        <v>27</v>
      </c>
      <c r="Z31" s="197"/>
      <c r="AA31" s="188"/>
      <c r="AB31" s="189" t="e">
        <f>ROUND((Z31*100)/(Z31+AA31),0)/100</f>
        <v>#DIV/0!</v>
      </c>
      <c r="AC31" s="190"/>
      <c r="AD31" s="191"/>
      <c r="AE31" s="192" t="e">
        <f>ROUND((AC31*100)/(AC31+AD31),0)/100</f>
        <v>#DIV/0!</v>
      </c>
    </row>
    <row r="32" spans="1:31" ht="15.75">
      <c r="A32" s="183">
        <v>28</v>
      </c>
      <c r="B32" s="184" t="str">
        <f>IF('5A-B'!B30&lt;&gt;0,'5A-B'!B30,"")</f>
        <v/>
      </c>
      <c r="C32" s="185" t="str">
        <f>IF('5A-B'!C30&lt;&gt;0,'5A-B'!C30,"")</f>
        <v/>
      </c>
      <c r="D32" s="186" t="str">
        <f>IF('5A-B'!D30&lt;&gt;0,'5A-B'!D30,"")</f>
        <v/>
      </c>
      <c r="E32" s="187"/>
      <c r="F32" s="188"/>
      <c r="G32" s="189" t="e">
        <f>ROUND((E32*100)/(E32+F32),0)/100</f>
        <v>#DIV/0!</v>
      </c>
      <c r="H32" s="190"/>
      <c r="I32" s="191"/>
      <c r="J32" s="205" t="e">
        <f>ROUND((H32*100)/(H32+I32),0)/100</f>
        <v>#DIV/0!</v>
      </c>
      <c r="K32" s="193">
        <f>Tabela2736810121416192123252730[[#This Row],[Nº]]</f>
        <v>28</v>
      </c>
      <c r="L32" s="197"/>
      <c r="M32" s="188"/>
      <c r="N32" s="189" t="e">
        <f>ROUND((L32*100)/(L32+M32),0)/100</f>
        <v>#DIV/0!</v>
      </c>
      <c r="O32" s="190"/>
      <c r="P32" s="191"/>
      <c r="Q32" s="205" t="e">
        <f>ROUND((O32*100)/(O32+P32),0)/100</f>
        <v>#DIV/0!</v>
      </c>
      <c r="R32" s="193">
        <f>Tabela2736810121416192123252730[[#This Row],[Nº]]</f>
        <v>28</v>
      </c>
      <c r="S32" s="197"/>
      <c r="T32" s="188"/>
      <c r="U32" s="189" t="e">
        <f>ROUND((S32*100)/(S32+T32),0)/100</f>
        <v>#DIV/0!</v>
      </c>
      <c r="V32" s="190"/>
      <c r="W32" s="191"/>
      <c r="X32" s="205" t="e">
        <f>ROUND((V32*100)/(V32+W32),0)/100</f>
        <v>#DIV/0!</v>
      </c>
      <c r="Y32" s="193">
        <f>Tabela2736810121416192123252730[[#This Row],[Nº]]</f>
        <v>28</v>
      </c>
      <c r="Z32" s="197"/>
      <c r="AA32" s="188"/>
      <c r="AB32" s="189" t="e">
        <f>ROUND((Z32*100)/(Z32+AA32),0)/100</f>
        <v>#DIV/0!</v>
      </c>
      <c r="AC32" s="190"/>
      <c r="AD32" s="191"/>
      <c r="AE32" s="192" t="e">
        <f>ROUND((AC32*100)/(AC32+AD32),0)/100</f>
        <v>#DIV/0!</v>
      </c>
    </row>
    <row r="33" spans="1:31" ht="15.75">
      <c r="A33" s="183">
        <v>29</v>
      </c>
      <c r="B33" s="184" t="str">
        <f>IF('5A-B'!B31&lt;&gt;0,'5A-B'!B31,"")</f>
        <v/>
      </c>
      <c r="C33" s="185" t="str">
        <f>IF('5A-B'!C31&lt;&gt;0,'5A-B'!C31,"")</f>
        <v/>
      </c>
      <c r="D33" s="186" t="str">
        <f>IF('5A-B'!D31&lt;&gt;0,'5A-B'!D31,"")</f>
        <v/>
      </c>
      <c r="E33" s="187"/>
      <c r="F33" s="188"/>
      <c r="G33" s="189" t="e">
        <f>ROUND((E33*100)/(E33+F33),0)/100</f>
        <v>#DIV/0!</v>
      </c>
      <c r="H33" s="190"/>
      <c r="I33" s="191"/>
      <c r="J33" s="205" t="e">
        <f>ROUND((H33*100)/(H33+I33),0)/100</f>
        <v>#DIV/0!</v>
      </c>
      <c r="K33" s="193">
        <f>Tabela2736810121416192123252730[[#This Row],[Nº]]</f>
        <v>29</v>
      </c>
      <c r="L33" s="197"/>
      <c r="M33" s="188"/>
      <c r="N33" s="189" t="e">
        <f>ROUND((L33*100)/(L33+M33),0)/100</f>
        <v>#DIV/0!</v>
      </c>
      <c r="O33" s="190"/>
      <c r="P33" s="191"/>
      <c r="Q33" s="205" t="e">
        <f>ROUND((O33*100)/(O33+P33),0)/100</f>
        <v>#DIV/0!</v>
      </c>
      <c r="R33" s="193">
        <f>Tabela2736810121416192123252730[[#This Row],[Nº]]</f>
        <v>29</v>
      </c>
      <c r="S33" s="197"/>
      <c r="T33" s="188"/>
      <c r="U33" s="189" t="e">
        <f>ROUND((S33*100)/(S33+T33),0)/100</f>
        <v>#DIV/0!</v>
      </c>
      <c r="V33" s="190"/>
      <c r="W33" s="191"/>
      <c r="X33" s="205" t="e">
        <f>ROUND((V33*100)/(V33+W33),0)/100</f>
        <v>#DIV/0!</v>
      </c>
      <c r="Y33" s="193">
        <f>Tabela2736810121416192123252730[[#This Row],[Nº]]</f>
        <v>29</v>
      </c>
      <c r="Z33" s="197"/>
      <c r="AA33" s="188"/>
      <c r="AB33" s="189" t="e">
        <f>ROUND((Z33*100)/(Z33+AA33),0)/100</f>
        <v>#DIV/0!</v>
      </c>
      <c r="AC33" s="190"/>
      <c r="AD33" s="191"/>
      <c r="AE33" s="192" t="e">
        <f>ROUND((AC33*100)/(AC33+AD33),0)/100</f>
        <v>#DIV/0!</v>
      </c>
    </row>
    <row r="34" spans="1:31" ht="16.5" thickBot="1">
      <c r="A34" s="183">
        <v>30</v>
      </c>
      <c r="B34" s="184" t="str">
        <f>IF('5A-B'!B32&lt;&gt;0,'5A-B'!B32,"")</f>
        <v/>
      </c>
      <c r="C34" s="185" t="str">
        <f>IF('5A-B'!C32&lt;&gt;0,'5A-B'!C32,"")</f>
        <v/>
      </c>
      <c r="D34" s="186" t="str">
        <f>IF('5A-B'!D32&lt;&gt;0,'5A-B'!D32,"")</f>
        <v/>
      </c>
      <c r="E34" s="187"/>
      <c r="F34" s="188"/>
      <c r="G34" s="189" t="e">
        <f>ROUND((E34*100)/(E34+F34),0)/100</f>
        <v>#DIV/0!</v>
      </c>
      <c r="H34" s="206"/>
      <c r="I34" s="207"/>
      <c r="J34" s="208" t="e">
        <f>ROUND((H34*100)/(H34+I34),0)/100</f>
        <v>#DIV/0!</v>
      </c>
      <c r="K34" s="193">
        <f>Tabela2736810121416192123252730[[#This Row],[Nº]]</f>
        <v>30</v>
      </c>
      <c r="L34" s="198"/>
      <c r="M34" s="199"/>
      <c r="N34" s="200" t="e">
        <f>ROUND((L34*100)/(L34+M34),0)/100</f>
        <v>#DIV/0!</v>
      </c>
      <c r="O34" s="206"/>
      <c r="P34" s="207"/>
      <c r="Q34" s="208" t="e">
        <f>ROUND((O34*100)/(O34+P34),0)/100</f>
        <v>#DIV/0!</v>
      </c>
      <c r="R34" s="193">
        <f>Tabela2736810121416192123252730[[#This Row],[Nº]]</f>
        <v>30</v>
      </c>
      <c r="S34" s="198"/>
      <c r="T34" s="199"/>
      <c r="U34" s="200" t="e">
        <f>ROUND((S34*100)/(S34+T34),0)/100</f>
        <v>#DIV/0!</v>
      </c>
      <c r="V34" s="206"/>
      <c r="W34" s="207"/>
      <c r="X34" s="208" t="e">
        <f>ROUND((V34*100)/(V34+W34),0)/100</f>
        <v>#DIV/0!</v>
      </c>
      <c r="Y34" s="193">
        <f>Tabela2736810121416192123252730[[#This Row],[Nº]]</f>
        <v>30</v>
      </c>
      <c r="Z34" s="198"/>
      <c r="AA34" s="199"/>
      <c r="AB34" s="200" t="e">
        <f>ROUND((Z34*100)/(Z34+AA34),0)/100</f>
        <v>#DIV/0!</v>
      </c>
      <c r="AC34" s="190"/>
      <c r="AD34" s="191"/>
      <c r="AE34" s="192" t="e">
        <f>ROUND((AC34*100)/(AC34+AD34),0)/100</f>
        <v>#DIV/0!</v>
      </c>
    </row>
  </sheetData>
  <sheetProtection algorithmName="SHA-512" hashValue="BD+dTftjBQfBTsEgNC3k05hzfaCWw4IH6ZRh7WxauWuowvu4XcTV6WsUP0O5JcMoM5ILS/2qQJ4VbnBIfCkQdw==" saltValue="kwi39j62GXVPCwgeDfFzzg==" spinCount="100000" sheet="1" objects="1" scenarios="1" selectLockedCells="1"/>
  <mergeCells count="12">
    <mergeCell ref="Z3:AB3"/>
    <mergeCell ref="AC3:AE3"/>
    <mergeCell ref="A1:D3"/>
    <mergeCell ref="E1:AE1"/>
    <mergeCell ref="E2:Q2"/>
    <mergeCell ref="S2:AE2"/>
    <mergeCell ref="E3:G3"/>
    <mergeCell ref="H3:J3"/>
    <mergeCell ref="L3:N3"/>
    <mergeCell ref="O3:Q3"/>
    <mergeCell ref="S3:U3"/>
    <mergeCell ref="V3:X3"/>
  </mergeCells>
  <conditionalFormatting sqref="A5:D34">
    <cfRule type="expression" dxfId="35" priority="11">
      <formula>ROW()=CELL("LIN")</formula>
    </cfRule>
    <cfRule type="expression" dxfId="34" priority="12">
      <formula>IF($D5&lt;&gt;"",1,0)</formula>
    </cfRule>
  </conditionalFormatting>
  <conditionalFormatting sqref="G5:G34">
    <cfRule type="iconSet" priority="8">
      <iconSet iconSet="3Symbols">
        <cfvo type="percent" val="0"/>
        <cfvo type="num" val="0.75"/>
        <cfvo type="num" val="0.8"/>
      </iconSet>
    </cfRule>
  </conditionalFormatting>
  <conditionalFormatting sqref="J5:J34">
    <cfRule type="iconSet" priority="7">
      <iconSet iconSet="3Symbols">
        <cfvo type="percent" val="0"/>
        <cfvo type="num" val="0.75"/>
        <cfvo type="num" val="0.8"/>
      </iconSet>
    </cfRule>
  </conditionalFormatting>
  <conditionalFormatting sqref="N5:N34">
    <cfRule type="iconSet" priority="6">
      <iconSet iconSet="3Symbols">
        <cfvo type="percent" val="0"/>
        <cfvo type="num" val="0.75"/>
        <cfvo type="num" val="0.8"/>
      </iconSet>
    </cfRule>
  </conditionalFormatting>
  <conditionalFormatting sqref="Q5:Q34">
    <cfRule type="iconSet" priority="5">
      <iconSet iconSet="3Symbols">
        <cfvo type="percent" val="0"/>
        <cfvo type="num" val="0.75"/>
        <cfvo type="num" val="0.8"/>
      </iconSet>
    </cfRule>
  </conditionalFormatting>
  <conditionalFormatting sqref="U5:U34">
    <cfRule type="iconSet" priority="4">
      <iconSet iconSet="3Symbols">
        <cfvo type="percent" val="0"/>
        <cfvo type="num" val="0.75"/>
        <cfvo type="num" val="0.8"/>
      </iconSet>
    </cfRule>
  </conditionalFormatting>
  <conditionalFormatting sqref="X5:X34">
    <cfRule type="iconSet" priority="3">
      <iconSet iconSet="3Symbols">
        <cfvo type="percent" val="0"/>
        <cfvo type="num" val="0.75"/>
        <cfvo type="num" val="0.8"/>
      </iconSet>
    </cfRule>
  </conditionalFormatting>
  <conditionalFormatting sqref="AB5:AB34">
    <cfRule type="iconSet" priority="2">
      <iconSet iconSet="3Symbols">
        <cfvo type="percent" val="0"/>
        <cfvo type="num" val="0.75"/>
        <cfvo type="num" val="0.8"/>
      </iconSet>
    </cfRule>
  </conditionalFormatting>
  <conditionalFormatting sqref="AE5:AE34">
    <cfRule type="iconSet" priority="1">
      <iconSet iconSet="3Symbols">
        <cfvo type="percent" val="0"/>
        <cfvo type="num" val="0.75"/>
        <cfvo type="num" val="0.8"/>
      </iconSet>
    </cfRule>
  </conditionalFormatting>
  <conditionalFormatting sqref="E5:AE34">
    <cfRule type="expression" dxfId="33" priority="9">
      <formula>ROW()=CELL("LIN")</formula>
    </cfRule>
    <cfRule type="expression" dxfId="32" priority="10">
      <formula>IF($D5&lt;&gt;"",1,0)</formula>
    </cfRule>
  </conditionalFormatting>
  <pageMargins left="0.511811024" right="0.511811024" top="0.78740157499999996" bottom="0.78740157499999996" header="0.31496062000000002" footer="0.31496062000000002"/>
  <pageSetup paperSize="9" scale="54" orientation="landscape" r:id="rId1"/>
  <colBreaks count="2" manualBreakCount="2">
    <brk id="10" max="1048575" man="1"/>
    <brk id="24" max="1048575" man="1"/>
  </colBreaks>
  <drawing r:id="rId2"/>
  <tableParts count="1">
    <tablePart r:id="rId3"/>
  </tablePart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14"/>
  <dimension ref="A15:J53"/>
  <sheetViews>
    <sheetView showGridLines="0" showRowColHeaders="0" tabSelected="1" view="pageBreakPreview" zoomScaleNormal="100" zoomScaleSheetLayoutView="100" zoomScalePageLayoutView="91" workbookViewId="0">
      <pane ySplit="5" topLeftCell="A6" activePane="bottomLeft" state="frozen"/>
      <selection pane="bottomLeft" activeCell="H27" sqref="H27:I28"/>
    </sheetView>
  </sheetViews>
  <sheetFormatPr defaultColWidth="9.140625" defaultRowHeight="12.75"/>
  <cols>
    <col min="2" max="2" width="9.140625" customWidth="1"/>
  </cols>
  <sheetData>
    <row r="15" spans="2:10">
      <c r="B15" s="210" t="str">
        <f>'1P-A-Turma'!B2</f>
        <v>1º Período - Único</v>
      </c>
      <c r="C15" s="211"/>
      <c r="D15" s="10">
        <f>'1P-A'!U4</f>
        <v>0</v>
      </c>
      <c r="F15" s="222" t="s">
        <v>24</v>
      </c>
      <c r="G15" s="223"/>
      <c r="H15" s="223"/>
      <c r="I15" s="11">
        <f>SUM(D15:D18)</f>
        <v>0</v>
      </c>
    </row>
    <row r="16" spans="2:10">
      <c r="B16" s="210" t="str">
        <f>'1P-B-Turma'!B2</f>
        <v>1º Periodo - B</v>
      </c>
      <c r="C16" s="211"/>
      <c r="D16" s="224">
        <f>'1P-B'!U4</f>
        <v>0</v>
      </c>
      <c r="E16" s="225"/>
      <c r="F16" s="226"/>
      <c r="G16" s="226"/>
      <c r="H16" s="226"/>
      <c r="I16" s="226"/>
      <c r="J16" s="225"/>
    </row>
    <row r="17" spans="2:9">
      <c r="B17" s="212" t="str">
        <f>'2P-A-Turma'!B2</f>
        <v>2º Periodo - A</v>
      </c>
      <c r="C17" s="213"/>
      <c r="D17" s="12">
        <f>'2P-A'!U4</f>
        <v>0</v>
      </c>
      <c r="F17" s="222" t="s">
        <v>25</v>
      </c>
      <c r="G17" s="223"/>
      <c r="H17" s="223"/>
      <c r="I17" s="11">
        <f>SUM(D19:D28)</f>
        <v>0</v>
      </c>
    </row>
    <row r="18" spans="2:9">
      <c r="B18" s="214" t="str">
        <f>'2P-B-Turma'!B2</f>
        <v>2º Periodo - B</v>
      </c>
      <c r="C18" s="215"/>
      <c r="D18" s="13">
        <f>'2P-B'!U4</f>
        <v>0</v>
      </c>
      <c r="G18" s="76"/>
      <c r="H18" s="76"/>
      <c r="I18" s="77"/>
    </row>
    <row r="19" spans="2:9">
      <c r="B19" s="216" t="str">
        <f>'1A-A-Turma'!B2</f>
        <v>1º Ano - A</v>
      </c>
      <c r="C19" s="217"/>
      <c r="D19" s="14">
        <f>'1A-A'!U4</f>
        <v>0</v>
      </c>
      <c r="E19" s="169">
        <f t="shared" ref="E19:E23" si="0">SUM(D19:D20)</f>
        <v>0</v>
      </c>
      <c r="G19" s="76"/>
      <c r="H19" s="76"/>
      <c r="I19" s="76"/>
    </row>
    <row r="20" spans="2:9">
      <c r="B20" s="216" t="str">
        <f>'1A-B-Turma'!B2</f>
        <v>1º Ano - B</v>
      </c>
      <c r="C20" s="217"/>
      <c r="D20" s="14">
        <f>'1A-B'!U4</f>
        <v>0</v>
      </c>
      <c r="E20" s="169"/>
      <c r="G20" s="76"/>
      <c r="H20" s="76"/>
      <c r="I20" s="76"/>
    </row>
    <row r="21" spans="2:9">
      <c r="B21" s="218" t="str">
        <f>'2A-A-Turma'!B2</f>
        <v>2º Ano - A</v>
      </c>
      <c r="C21" s="219"/>
      <c r="D21" s="15">
        <f>'2A-A'!U4</f>
        <v>0</v>
      </c>
      <c r="E21" s="170">
        <f t="shared" si="0"/>
        <v>0</v>
      </c>
    </row>
    <row r="22" spans="2:9">
      <c r="B22" s="218" t="str">
        <f>'2A-B-Turma'!B2</f>
        <v>2º Ano - B</v>
      </c>
      <c r="C22" s="219"/>
      <c r="D22" s="15">
        <f>'2A-B'!U4</f>
        <v>0</v>
      </c>
      <c r="E22" s="170"/>
    </row>
    <row r="23" spans="2:9">
      <c r="B23" s="212" t="str">
        <f>'3A-A-Turma'!B2</f>
        <v>3º Ano - A</v>
      </c>
      <c r="C23" s="213"/>
      <c r="D23" s="12">
        <f>'3A-A'!U4</f>
        <v>0</v>
      </c>
      <c r="E23" s="171">
        <f t="shared" si="0"/>
        <v>0</v>
      </c>
      <c r="F23" s="163" t="s">
        <v>26</v>
      </c>
      <c r="G23" s="164"/>
      <c r="H23" s="165">
        <f>SUM(I15:I17)</f>
        <v>0</v>
      </c>
      <c r="I23" s="165"/>
    </row>
    <row r="24" spans="2:9">
      <c r="B24" s="212" t="str">
        <f>'3A-B-Turma'!B2</f>
        <v>3º Ano - B</v>
      </c>
      <c r="C24" s="213"/>
      <c r="D24" s="12">
        <f>'3A-B'!U4</f>
        <v>0</v>
      </c>
      <c r="E24" s="171"/>
      <c r="F24" s="163"/>
      <c r="G24" s="164"/>
      <c r="H24" s="165"/>
      <c r="I24" s="165"/>
    </row>
    <row r="25" spans="2:9">
      <c r="B25" s="220" t="str">
        <f>'4A-A-Turma'!B2</f>
        <v>4º Ano - A</v>
      </c>
      <c r="C25" s="221"/>
      <c r="D25" s="16">
        <f>'4A-A'!U4</f>
        <v>0</v>
      </c>
      <c r="E25" s="172">
        <f>SUM(D25:D26)</f>
        <v>0</v>
      </c>
      <c r="F25" s="163"/>
      <c r="G25" s="164"/>
      <c r="H25" s="165"/>
      <c r="I25" s="165"/>
    </row>
    <row r="26" spans="2:9">
      <c r="B26" s="220" t="str">
        <f>'4A-B-Turma'!B2</f>
        <v>4º Ano - B</v>
      </c>
      <c r="C26" s="221"/>
      <c r="D26" s="16">
        <f>'4A-B'!U4</f>
        <v>0</v>
      </c>
      <c r="E26" s="172"/>
    </row>
    <row r="27" spans="2:9">
      <c r="B27" s="210" t="str">
        <f>'5A-A-Turma'!B2</f>
        <v>5º Ano - A</v>
      </c>
      <c r="C27" s="211"/>
      <c r="D27" s="10">
        <f>'5A-A'!U4</f>
        <v>0</v>
      </c>
      <c r="E27" s="173">
        <f>SUM(D27:D28)</f>
        <v>0</v>
      </c>
      <c r="F27" s="166" t="s">
        <v>27</v>
      </c>
      <c r="G27" s="167"/>
      <c r="H27" s="168">
        <f>SUM(IF(D15&lt;&gt;0,INT(25),0),IF(D16&lt;&gt;0,INT(25),0),IF(D17&lt;&gt;0,INT(25),0),IF(D18&lt;&gt;0,INT(25),0),IF(D19&lt;&gt;0,INT(25),0),IF(D20&lt;&gt;0,INT(25),0),IF(D21&lt;&gt;0,INT(25),0),IF(D22&lt;&gt;0,INT(25),0),IF(D23&lt;&gt;0,INT(25),0),IF(D24&lt;&gt;0,INT(25),0),IF(D25&lt;&gt;0,INT(30),0),IF(D26&lt;&gt;0,INT(30),0),IF(D27&lt;&gt;0,INT(30),0),IF(D28&lt;&gt;0,INT(30),0))</f>
        <v>0</v>
      </c>
      <c r="I27" s="168"/>
    </row>
    <row r="28" spans="2:9">
      <c r="B28" s="210" t="str">
        <f>'5A-B-Turma'!B2</f>
        <v>5º Ano - B</v>
      </c>
      <c r="C28" s="211"/>
      <c r="D28" s="10">
        <f>'5A-B'!U4</f>
        <v>0</v>
      </c>
      <c r="E28" s="173"/>
      <c r="F28" s="166"/>
      <c r="G28" s="167"/>
      <c r="H28" s="168"/>
      <c r="I28" s="168"/>
    </row>
    <row r="53" spans="1:6">
      <c r="A53" t="s">
        <v>86</v>
      </c>
      <c r="D53" s="161">
        <f ca="1">TODAY()</f>
        <v>44871</v>
      </c>
      <c r="E53" s="162"/>
      <c r="F53" s="162"/>
    </row>
  </sheetData>
  <sheetProtection algorithmName="SHA-512" hashValue="IvKFewaZTRUEOUsaLlOgn2i8+bJQSV6JZtQv2lAfA7ehgjdz9aLNaHTVlLfNalDMDoTi/olQuojszK26maguWg==" saltValue="zbUH5YLDGYHZqS6hdGvq8Q==" spinCount="100000" sheet="1" objects="1" scenarios="1" selectLockedCells="1"/>
  <mergeCells count="26">
    <mergeCell ref="B25:C25"/>
    <mergeCell ref="B26:C26"/>
    <mergeCell ref="B27:C27"/>
    <mergeCell ref="B28:C28"/>
    <mergeCell ref="F15:H15"/>
    <mergeCell ref="F17:H17"/>
    <mergeCell ref="B20:C20"/>
    <mergeCell ref="B21:C21"/>
    <mergeCell ref="B22:C22"/>
    <mergeCell ref="B23:C23"/>
    <mergeCell ref="B24:C24"/>
    <mergeCell ref="B15:C15"/>
    <mergeCell ref="B16:C16"/>
    <mergeCell ref="B17:C17"/>
    <mergeCell ref="B18:C18"/>
    <mergeCell ref="B19:C19"/>
    <mergeCell ref="E19:E20"/>
    <mergeCell ref="E21:E22"/>
    <mergeCell ref="E23:E24"/>
    <mergeCell ref="E25:E26"/>
    <mergeCell ref="E27:E28"/>
    <mergeCell ref="D53:F53"/>
    <mergeCell ref="F23:G25"/>
    <mergeCell ref="H23:I25"/>
    <mergeCell ref="F27:G28"/>
    <mergeCell ref="H27:I28"/>
  </mergeCells>
  <pageMargins left="0.75" right="0.75" top="1" bottom="1" header="0.511811023622047" footer="0.511811023622047"/>
  <pageSetup paperSize="9" orientation="portrait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15"/>
  <dimension ref="A1:D8"/>
  <sheetViews>
    <sheetView showGridLines="0" showRowColHeaders="0" view="pageBreakPreview" zoomScaleNormal="100" zoomScaleSheetLayoutView="100" workbookViewId="0">
      <selection activeCell="A2" sqref="A2"/>
    </sheetView>
  </sheetViews>
  <sheetFormatPr defaultColWidth="9" defaultRowHeight="12.75"/>
  <cols>
    <col min="1" max="1" width="23.5703125" customWidth="1"/>
    <col min="2" max="2" width="18.28515625" customWidth="1"/>
    <col min="3" max="3" width="77" customWidth="1"/>
    <col min="4" max="4" width="19.42578125" customWidth="1"/>
  </cols>
  <sheetData>
    <row r="1" spans="1:4" s="1" customFormat="1" ht="33.75">
      <c r="A1" s="2" t="s">
        <v>28</v>
      </c>
      <c r="B1" s="3" t="s">
        <v>20</v>
      </c>
      <c r="C1" s="4" t="s">
        <v>29</v>
      </c>
      <c r="D1" s="5" t="s">
        <v>30</v>
      </c>
    </row>
    <row r="2" spans="1:4" ht="127.5">
      <c r="A2" s="6">
        <v>13</v>
      </c>
      <c r="B2" s="7">
        <v>3</v>
      </c>
      <c r="C2" s="8" t="str">
        <f>CONCATENATE(ROUND((A2*100)/(A2+B2),0),"%")</f>
        <v>81%</v>
      </c>
      <c r="D2" s="9" t="str">
        <f>CONCATENATE(ROUND((B2*100)/(A2+B2),2),"%")</f>
        <v>18,75%</v>
      </c>
    </row>
    <row r="7" spans="1:4">
      <c r="A7" s="90" t="s">
        <v>100</v>
      </c>
      <c r="B7" s="90"/>
      <c r="C7" s="90"/>
      <c r="D7" s="90"/>
    </row>
    <row r="8" spans="1:4">
      <c r="A8" s="90"/>
      <c r="B8" s="90"/>
      <c r="C8" s="90"/>
      <c r="D8" s="90"/>
    </row>
  </sheetData>
  <sheetProtection algorithmName="SHA-512" hashValue="PwAfIsPw0d3CNUk1x9xfldnJ1ly9ipEBZxDnEKEvAgeNp/yYzF7a9cxzuqefdiBBQN5WccDULHncefAnZhf6ww==" saltValue="LeOtD8+P5fIogqvZ4JThBg==" spinCount="100000" sheet="1" objects="1" scenarios="1" selectLockedCells="1"/>
  <mergeCells count="1">
    <mergeCell ref="A7:D8"/>
  </mergeCells>
  <pageMargins left="0.511811024" right="0.511811024" top="0.78740157499999996" bottom="0.78740157499999996" header="0.31496062000000002" footer="0.31496062000000002"/>
  <pageSetup paperSize="9" scale="74" orientation="portrait" horizontalDpi="360" verticalDpi="36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45</vt:i4>
      </vt:variant>
      <vt:variant>
        <vt:lpstr>Intervalos Nomeados</vt:lpstr>
      </vt:variant>
      <vt:variant>
        <vt:i4>58</vt:i4>
      </vt:variant>
    </vt:vector>
  </HeadingPairs>
  <TitlesOfParts>
    <vt:vector size="103" baseType="lpstr">
      <vt:lpstr>MENU</vt:lpstr>
      <vt:lpstr>1P-A-Turma</vt:lpstr>
      <vt:lpstr>1P-A</vt:lpstr>
      <vt:lpstr>Presença1P-A</vt:lpstr>
      <vt:lpstr>1P-B-Turma</vt:lpstr>
      <vt:lpstr>1P-B</vt:lpstr>
      <vt:lpstr>Presença1P-B</vt:lpstr>
      <vt:lpstr>2P-A-Turma</vt:lpstr>
      <vt:lpstr>2P-A</vt:lpstr>
      <vt:lpstr>Presença2P-A</vt:lpstr>
      <vt:lpstr>2P-B-Turma</vt:lpstr>
      <vt:lpstr>2P-B</vt:lpstr>
      <vt:lpstr>Presença2P-B</vt:lpstr>
      <vt:lpstr>1A-A-Turma</vt:lpstr>
      <vt:lpstr>1A-A</vt:lpstr>
      <vt:lpstr>Presença1A-A</vt:lpstr>
      <vt:lpstr>1A-B-Turma</vt:lpstr>
      <vt:lpstr>1A-B</vt:lpstr>
      <vt:lpstr>Presença1A-B</vt:lpstr>
      <vt:lpstr>2A-A-Turma</vt:lpstr>
      <vt:lpstr>2A-A</vt:lpstr>
      <vt:lpstr>Presença2A-A</vt:lpstr>
      <vt:lpstr>2A-B-Turma</vt:lpstr>
      <vt:lpstr>2A-B</vt:lpstr>
      <vt:lpstr>Presença2A-B</vt:lpstr>
      <vt:lpstr>3A-A-Turma</vt:lpstr>
      <vt:lpstr>3A-A</vt:lpstr>
      <vt:lpstr>Presença3A-A</vt:lpstr>
      <vt:lpstr>3A-B-Turma</vt:lpstr>
      <vt:lpstr>3A-B</vt:lpstr>
      <vt:lpstr>Presença3A-B</vt:lpstr>
      <vt:lpstr>4A-A-Turma</vt:lpstr>
      <vt:lpstr>4A-A</vt:lpstr>
      <vt:lpstr>Presença4A-A</vt:lpstr>
      <vt:lpstr>4A-B-Turma</vt:lpstr>
      <vt:lpstr>4A-B</vt:lpstr>
      <vt:lpstr>Presença4A-B</vt:lpstr>
      <vt:lpstr>5A-A-Turma</vt:lpstr>
      <vt:lpstr>5A-A</vt:lpstr>
      <vt:lpstr>Presença5A-A</vt:lpstr>
      <vt:lpstr>5A-B-Turma</vt:lpstr>
      <vt:lpstr>5A-B</vt:lpstr>
      <vt:lpstr>Presença5A-B</vt:lpstr>
      <vt:lpstr>TOTAL</vt:lpstr>
      <vt:lpstr>PERCENTAGEM</vt:lpstr>
      <vt:lpstr>'1A-A'!Area_de_impressao</vt:lpstr>
      <vt:lpstr>'1A-A-Turma'!Area_de_impressao</vt:lpstr>
      <vt:lpstr>'1A-B'!Area_de_impressao</vt:lpstr>
      <vt:lpstr>'1A-B-Turma'!Area_de_impressao</vt:lpstr>
      <vt:lpstr>'1P-A'!Area_de_impressao</vt:lpstr>
      <vt:lpstr>'1P-A-Turma'!Area_de_impressao</vt:lpstr>
      <vt:lpstr>'1P-B'!Area_de_impressao</vt:lpstr>
      <vt:lpstr>'1P-B-Turma'!Area_de_impressao</vt:lpstr>
      <vt:lpstr>'2A-A'!Area_de_impressao</vt:lpstr>
      <vt:lpstr>'2A-A-Turma'!Area_de_impressao</vt:lpstr>
      <vt:lpstr>'2A-B'!Area_de_impressao</vt:lpstr>
      <vt:lpstr>'2A-B-Turma'!Area_de_impressao</vt:lpstr>
      <vt:lpstr>'2P-A'!Area_de_impressao</vt:lpstr>
      <vt:lpstr>'2P-A-Turma'!Area_de_impressao</vt:lpstr>
      <vt:lpstr>'2P-B'!Area_de_impressao</vt:lpstr>
      <vt:lpstr>'2P-B-Turma'!Area_de_impressao</vt:lpstr>
      <vt:lpstr>'3A-A'!Area_de_impressao</vt:lpstr>
      <vt:lpstr>'3A-A-Turma'!Area_de_impressao</vt:lpstr>
      <vt:lpstr>'3A-B'!Area_de_impressao</vt:lpstr>
      <vt:lpstr>'3A-B-Turma'!Area_de_impressao</vt:lpstr>
      <vt:lpstr>'4A-A'!Area_de_impressao</vt:lpstr>
      <vt:lpstr>'4A-A-Turma'!Area_de_impressao</vt:lpstr>
      <vt:lpstr>'4A-B'!Area_de_impressao</vt:lpstr>
      <vt:lpstr>'4A-B-Turma'!Area_de_impressao</vt:lpstr>
      <vt:lpstr>'5A-A'!Area_de_impressao</vt:lpstr>
      <vt:lpstr>'5A-A-Turma'!Area_de_impressao</vt:lpstr>
      <vt:lpstr>'5A-B'!Area_de_impressao</vt:lpstr>
      <vt:lpstr>'5A-B-Turma'!Area_de_impressao</vt:lpstr>
      <vt:lpstr>MENU!Area_de_impressao</vt:lpstr>
      <vt:lpstr>TOTAL!Area_de_impressao</vt:lpstr>
      <vt:lpstr>'1A-A'!Titulos_de_impressao</vt:lpstr>
      <vt:lpstr>'1A-A-Turma'!Titulos_de_impressao</vt:lpstr>
      <vt:lpstr>'1A-B'!Titulos_de_impressao</vt:lpstr>
      <vt:lpstr>'1A-B-Turma'!Titulos_de_impressao</vt:lpstr>
      <vt:lpstr>'1P-A'!Titulos_de_impressao</vt:lpstr>
      <vt:lpstr>'1P-A-Turma'!Titulos_de_impressao</vt:lpstr>
      <vt:lpstr>'1P-B'!Titulos_de_impressao</vt:lpstr>
      <vt:lpstr>'1P-B-Turma'!Titulos_de_impressao</vt:lpstr>
      <vt:lpstr>'2A-A'!Titulos_de_impressao</vt:lpstr>
      <vt:lpstr>'2A-A-Turma'!Titulos_de_impressao</vt:lpstr>
      <vt:lpstr>'2A-B'!Titulos_de_impressao</vt:lpstr>
      <vt:lpstr>'2A-B-Turma'!Titulos_de_impressao</vt:lpstr>
      <vt:lpstr>'2P-A'!Titulos_de_impressao</vt:lpstr>
      <vt:lpstr>'2P-A-Turma'!Titulos_de_impressao</vt:lpstr>
      <vt:lpstr>'2P-B'!Titulos_de_impressao</vt:lpstr>
      <vt:lpstr>'2P-B-Turma'!Titulos_de_impressao</vt:lpstr>
      <vt:lpstr>'3A-A'!Titulos_de_impressao</vt:lpstr>
      <vt:lpstr>'3A-A-Turma'!Titulos_de_impressao</vt:lpstr>
      <vt:lpstr>'3A-B'!Titulos_de_impressao</vt:lpstr>
      <vt:lpstr>'3A-B-Turma'!Titulos_de_impressao</vt:lpstr>
      <vt:lpstr>'4A-A'!Titulos_de_impressao</vt:lpstr>
      <vt:lpstr>'4A-A-Turma'!Titulos_de_impressao</vt:lpstr>
      <vt:lpstr>'4A-B'!Titulos_de_impressao</vt:lpstr>
      <vt:lpstr>'4A-B-Turma'!Titulos_de_impressao</vt:lpstr>
      <vt:lpstr>'5A-A'!Titulos_de_impressao</vt:lpstr>
      <vt:lpstr>'5A-A-Turma'!Titulos_de_impressao</vt:lpstr>
      <vt:lpstr>'5A-B'!Titulos_de_impressao</vt:lpstr>
      <vt:lpstr>'5A-B-Turma'!Titulos_de_impressao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cp:revision>8</cp:revision>
  <cp:lastPrinted>2022-11-06T17:57:51Z</cp:lastPrinted>
  <dcterms:created xsi:type="dcterms:W3CDTF">2021-08-19T09:01:00Z</dcterms:created>
  <dcterms:modified xsi:type="dcterms:W3CDTF">2022-11-06T18:09:38Z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EE5854817C954016B5DDA1859845C19E</vt:lpwstr>
  </property>
  <property fmtid="{D5CDD505-2E9C-101B-9397-08002B2CF9AE}" pid="3" name="KSOProductBuildVer">
    <vt:lpwstr>1046-11.2.0.11380</vt:lpwstr>
  </property>
  <property fmtid="{D5CDD505-2E9C-101B-9397-08002B2CF9AE}" pid="4" name="KSOReadingLayout">
    <vt:bool>true</vt:bool>
  </property>
</Properties>
</file>